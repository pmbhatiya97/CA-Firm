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showInkAnnotation="0" codeName="ThisWorkbook" defaultThemeVersion="124226"/>
  <xr:revisionPtr revIDLastSave="0" documentId="13_ncr:1_{AC15F466-DDE0-48F7-B2E0-FB7917731FB1}" xr6:coauthVersionLast="47" xr6:coauthVersionMax="47" xr10:uidLastSave="{00000000-0000-0000-0000-000000000000}"/>
  <bookViews>
    <workbookView xWindow="-108" yWindow="-108" windowWidth="23256" windowHeight="12456" tabRatio="760" firstSheet="6" activeTab="11" xr2:uid="{00000000-000D-0000-FFFF-FFFF00000000}"/>
  </bookViews>
  <sheets>
    <sheet name="Pending works on each acc bal" sheetId="57" state="hidden" r:id="rId1"/>
    <sheet name="NET of FAP" sheetId="54" state="hidden" r:id="rId2"/>
    <sheet name="Fixed Assets" sheetId="1" state="hidden" r:id="rId3"/>
    <sheet name="NET Summary" sheetId="76" state="hidden" r:id="rId4"/>
    <sheet name="ROMM &amp; FAP summary - FS level" sheetId="79" r:id="rId5"/>
    <sheet name="Sheet1" sheetId="85" r:id="rId6"/>
    <sheet name="ROMM &amp; FAP summary - MCOTABD" sheetId="80" r:id="rId7"/>
    <sheet name="Relating Assertions to Risks" sheetId="86" state="hidden" r:id="rId8"/>
    <sheet name="Controls not tested" sheetId="88" state="hidden" r:id="rId9"/>
    <sheet name="Controls not tested1" sheetId="87" r:id="rId10"/>
    <sheet name="FA" sheetId="60" r:id="rId11"/>
    <sheet name="Cash Bank" sheetId="71" r:id="rId12"/>
    <sheet name="Payroll" sheetId="66" r:id="rId13"/>
    <sheet name="Inventory" sheetId="62" r:id="rId14"/>
    <sheet name="Receivables" sheetId="61" r:id="rId15"/>
    <sheet name="Salary" sheetId="20" state="hidden" r:id="rId16"/>
    <sheet name="Debtors" sheetId="3" state="hidden" r:id="rId17"/>
    <sheet name="Stock" sheetId="2" state="hidden" r:id="rId18"/>
    <sheet name="Cash &amp; Bank" sheetId="5" state="hidden" r:id="rId19"/>
    <sheet name="Investments" sheetId="78" r:id="rId20"/>
    <sheet name="Debt" sheetId="84" r:id="rId21"/>
    <sheet name="Accounts Payable" sheetId="64" r:id="rId22"/>
    <sheet name="Expenses Payable" sheetId="81" r:id="rId23"/>
    <sheet name="Statutory Payables" sheetId="83" r:id="rId24"/>
    <sheet name="Loans and Advances" sheetId="67" r:id="rId25"/>
    <sheet name="Revenue" sheetId="82" r:id="rId26"/>
    <sheet name="Provisions" sheetId="77" r:id="rId27"/>
    <sheet name="Operating Expenses" sheetId="70" r:id="rId28"/>
    <sheet name="Equity" sheetId="74" state="hidden" r:id="rId29"/>
    <sheet name="Share Capital" sheetId="17" state="hidden" r:id="rId30"/>
    <sheet name="Loans" sheetId="15" state="hidden" r:id="rId31"/>
    <sheet name="Creditors" sheetId="14" state="hidden" r:id="rId32"/>
    <sheet name="Provns" sheetId="16" state="hidden" r:id="rId33"/>
    <sheet name="L&amp;A" sheetId="10" state="hidden" r:id="rId34"/>
    <sheet name="Sales" sheetId="18" state="hidden" r:id="rId35"/>
    <sheet name="Equity old" sheetId="63" state="hidden" r:id="rId36"/>
    <sheet name="List Data" sheetId="40" state="hidden" r:id="rId37"/>
    <sheet name="Expenses" sheetId="21" state="hidden" r:id="rId38"/>
    <sheet name="COGS" sheetId="19" state="hidden" r:id="rId39"/>
  </sheets>
  <externalReferences>
    <externalReference r:id="rId40"/>
  </externalReferences>
  <definedNames>
    <definedName name="_xlnm._FilterDatabase" localSheetId="21" hidden="1">'Accounts Payable'!$A$2:$L$158</definedName>
    <definedName name="_xlnm._FilterDatabase" localSheetId="11" hidden="1">'Cash Bank'!$A$9:$M$189</definedName>
    <definedName name="_xlnm._FilterDatabase" localSheetId="8" hidden="1">'Controls not tested'!$G$4:$G$41</definedName>
    <definedName name="_xlnm._FilterDatabase" localSheetId="9" hidden="1">'Controls not tested'!$C$5:$C$41</definedName>
    <definedName name="_xlnm._FilterDatabase" localSheetId="20" hidden="1">Debt!$A$2:$S$188</definedName>
    <definedName name="_xlnm._FilterDatabase" localSheetId="28" hidden="1">Equity!$A$1:$O$40</definedName>
    <definedName name="_xlnm._FilterDatabase" localSheetId="10" hidden="1">FA!$A$1:$O$234</definedName>
    <definedName name="_xlnm._FilterDatabase" localSheetId="13" hidden="1">Inventory!$A$2:$L$119</definedName>
    <definedName name="_xlnm._FilterDatabase" localSheetId="19" hidden="1">Investments!$A$4:$K$93</definedName>
    <definedName name="_xlnm._FilterDatabase" localSheetId="24" hidden="1">'Loans and Advances'!$A$9:$T$163</definedName>
    <definedName name="_xlnm._FilterDatabase" localSheetId="27" hidden="1">'Operating Expenses'!$A$2:$S$165</definedName>
    <definedName name="_xlnm._FilterDatabase" localSheetId="12" hidden="1">Payroll!$A$2:$L$142</definedName>
    <definedName name="_xlnm._FilterDatabase" localSheetId="26" hidden="1">Provisions!$A$10:$K$92</definedName>
    <definedName name="_xlnm._FilterDatabase" localSheetId="14" hidden="1">Receivables!$A$2:$K$159</definedName>
    <definedName name="_xlnm._FilterDatabase" localSheetId="7" hidden="1">'Relating Assertions to Risks'!$B$3:$K$202</definedName>
    <definedName name="_xlnm._FilterDatabase" localSheetId="25" hidden="1">Revenue!$A$9:$L$188</definedName>
    <definedName name="_xlnm._FilterDatabase" localSheetId="6" hidden="1">'ROMM &amp; FAP summary - MCOTABD'!$B$3:$G$9</definedName>
    <definedName name="_xlnm._FilterDatabase" localSheetId="5" hidden="1">Sheet1!$B$2:$U$92</definedName>
    <definedName name="_xlnm._FilterDatabase" localSheetId="23" hidden="1">'Statutory Payables'!$A$2:$T$117</definedName>
    <definedName name="Accounts_payable">'List Data'!$C$61:$F$61</definedName>
    <definedName name="Cash___Bank">'List Data'!$C$24:$F$24</definedName>
    <definedName name="Debt">'List Data'!$C$55:$F$55</definedName>
    <definedName name="Equity">'List Data'!$C$49:$F$49</definedName>
    <definedName name="Fixed_Assets">'List Data'!$C$17:$F$17</definedName>
    <definedName name="Inventory">'List Data'!$C$39:$F$39</definedName>
    <definedName name="Loans___advances">'List Data'!$C$73:$F$73</definedName>
    <definedName name="Manufacturing">'List Data'!$C$4:$C$90</definedName>
    <definedName name="Operating_Expenses">'List Data'!$C$90:$F$90</definedName>
    <definedName name="Payroll">'List Data'!$C$30:$F$30</definedName>
    <definedName name="Receivables">'List Data'!$C$46:$F$46</definedName>
    <definedName name="Revenue">'List Data'!$C$84:$F$84</definedName>
    <definedName name="Service">'List Data'!$E$4:$E$90</definedName>
    <definedName name="Trading">'List Data'!$D$4:$D$90</definedName>
    <definedName name="Works_Contract">'List Data'!$F$4:$F$90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5" i="86" l="1"/>
  <c r="D45" i="86" s="1"/>
  <c r="G44" i="86"/>
  <c r="T44" i="86" s="1"/>
  <c r="G29" i="86"/>
  <c r="G28" i="86"/>
  <c r="G43" i="86"/>
  <c r="G42" i="86"/>
  <c r="G41" i="86"/>
  <c r="G27" i="86"/>
  <c r="D27" i="86" s="1"/>
  <c r="G40" i="86"/>
  <c r="G39" i="86"/>
  <c r="G38" i="86"/>
  <c r="G37" i="86"/>
  <c r="G36" i="86"/>
  <c r="D36" i="86" s="1"/>
  <c r="G35" i="86"/>
  <c r="G34" i="86"/>
  <c r="G33" i="86"/>
  <c r="G32" i="86"/>
  <c r="D32" i="86" s="1"/>
  <c r="G31" i="86"/>
  <c r="G30" i="86"/>
  <c r="G7" i="86"/>
  <c r="T7" i="86" s="1"/>
  <c r="G6" i="86"/>
  <c r="T6" i="86" s="1"/>
  <c r="G5" i="86"/>
  <c r="T5" i="86" s="1"/>
  <c r="G26" i="86"/>
  <c r="T26" i="86" s="1"/>
  <c r="G25" i="86"/>
  <c r="E25" i="86" s="1"/>
  <c r="G24" i="86"/>
  <c r="T24" i="86" s="1"/>
  <c r="G23" i="86"/>
  <c r="T23" i="86" s="1"/>
  <c r="G9" i="86"/>
  <c r="D9" i="86" s="1"/>
  <c r="G22" i="86"/>
  <c r="E22" i="86" s="1"/>
  <c r="G4" i="86"/>
  <c r="T4" i="86" s="1"/>
  <c r="G20" i="86"/>
  <c r="T20" i="86" s="1"/>
  <c r="G19" i="86"/>
  <c r="D19" i="86" s="1"/>
  <c r="G18" i="86"/>
  <c r="E18" i="86" s="1"/>
  <c r="G17" i="86"/>
  <c r="T17" i="86" s="1"/>
  <c r="G16" i="86"/>
  <c r="T16" i="86" s="1"/>
  <c r="G8" i="86"/>
  <c r="T8" i="86" s="1"/>
  <c r="G21" i="86"/>
  <c r="T21" i="86" s="1"/>
  <c r="G14" i="86"/>
  <c r="T14" i="86" s="1"/>
  <c r="G13" i="86"/>
  <c r="T13" i="86" s="1"/>
  <c r="G12" i="86"/>
  <c r="T12" i="86" s="1"/>
  <c r="G11" i="86"/>
  <c r="E11" i="86" s="1"/>
  <c r="G10" i="86"/>
  <c r="T10" i="86" s="1"/>
  <c r="G15" i="86"/>
  <c r="D15" i="86" s="1"/>
  <c r="G196" i="86"/>
  <c r="D196" i="86" s="1"/>
  <c r="G190" i="86"/>
  <c r="G189" i="86"/>
  <c r="D189" i="86" s="1"/>
  <c r="G195" i="86"/>
  <c r="G194" i="86"/>
  <c r="D194" i="86" s="1"/>
  <c r="G193" i="86"/>
  <c r="D193" i="86" s="1"/>
  <c r="G192" i="86"/>
  <c r="D192" i="86" s="1"/>
  <c r="G191" i="86"/>
  <c r="G202" i="86"/>
  <c r="E202" i="86" s="1"/>
  <c r="G201" i="86"/>
  <c r="G200" i="86"/>
  <c r="E200" i="86" s="1"/>
  <c r="G199" i="86"/>
  <c r="G198" i="86"/>
  <c r="D198" i="86" s="1"/>
  <c r="G197" i="86"/>
  <c r="G180" i="86"/>
  <c r="G188" i="86"/>
  <c r="G179" i="86"/>
  <c r="E179" i="86" s="1"/>
  <c r="G187" i="86"/>
  <c r="G181" i="86"/>
  <c r="D181" i="86" s="1"/>
  <c r="G186" i="86"/>
  <c r="D186" i="86" s="1"/>
  <c r="G185" i="86"/>
  <c r="D185" i="86" s="1"/>
  <c r="G184" i="86"/>
  <c r="D184" i="86" s="1"/>
  <c r="G183" i="86"/>
  <c r="D183" i="86" s="1"/>
  <c r="G182" i="86"/>
  <c r="D182" i="86" s="1"/>
  <c r="G174" i="86"/>
  <c r="G175" i="86"/>
  <c r="G178" i="86"/>
  <c r="D178" i="86" s="1"/>
  <c r="G173" i="86"/>
  <c r="T175" i="86" s="1"/>
  <c r="G172" i="86"/>
  <c r="D172" i="86" s="1"/>
  <c r="G171" i="86"/>
  <c r="G177" i="86"/>
  <c r="G176" i="86"/>
  <c r="E176" i="86" s="1"/>
  <c r="G154" i="86"/>
  <c r="D154" i="86" s="1"/>
  <c r="G170" i="86"/>
  <c r="D170" i="86" s="1"/>
  <c r="G169" i="86"/>
  <c r="D169" i="86" s="1"/>
  <c r="G157" i="86"/>
  <c r="D157" i="86" s="1"/>
  <c r="G168" i="86"/>
  <c r="E168" i="86" s="1"/>
  <c r="G156" i="86"/>
  <c r="E156" i="86" s="1"/>
  <c r="G155" i="86"/>
  <c r="E155" i="86" s="1"/>
  <c r="G153" i="86"/>
  <c r="T163" i="86" s="1"/>
  <c r="G152" i="86"/>
  <c r="E152" i="86" s="1"/>
  <c r="G167" i="86"/>
  <c r="D167" i="86" s="1"/>
  <c r="G166" i="86"/>
  <c r="D166" i="86" s="1"/>
  <c r="G165" i="86"/>
  <c r="D165" i="86" s="1"/>
  <c r="G164" i="86"/>
  <c r="D164" i="86" s="1"/>
  <c r="G163" i="86"/>
  <c r="D163" i="86" s="1"/>
  <c r="G162" i="86"/>
  <c r="D162" i="86" s="1"/>
  <c r="G161" i="86"/>
  <c r="D161" i="86" s="1"/>
  <c r="G160" i="86"/>
  <c r="D160" i="86" s="1"/>
  <c r="G159" i="86"/>
  <c r="E159" i="86" s="1"/>
  <c r="G158" i="86"/>
  <c r="E158" i="86" s="1"/>
  <c r="G139" i="86"/>
  <c r="E139" i="86" s="1"/>
  <c r="G144" i="86"/>
  <c r="D144" i="86" s="1"/>
  <c r="G143" i="86"/>
  <c r="D143" i="86" s="1"/>
  <c r="G151" i="86"/>
  <c r="E151" i="86" s="1"/>
  <c r="G150" i="86"/>
  <c r="D150" i="86" s="1"/>
  <c r="G142" i="86"/>
  <c r="G141" i="86"/>
  <c r="G140" i="86"/>
  <c r="D140" i="86" s="1"/>
  <c r="G149" i="86"/>
  <c r="D149" i="86" s="1"/>
  <c r="G148" i="86"/>
  <c r="G147" i="86"/>
  <c r="G146" i="86"/>
  <c r="D146" i="86" s="1"/>
  <c r="G145" i="86"/>
  <c r="G130" i="86"/>
  <c r="G129" i="86"/>
  <c r="G138" i="86"/>
  <c r="D138" i="86" s="1"/>
  <c r="G137" i="86"/>
  <c r="G132" i="86"/>
  <c r="D132" i="86" s="1"/>
  <c r="G131" i="86"/>
  <c r="D131" i="86" s="1"/>
  <c r="G136" i="86"/>
  <c r="G135" i="86"/>
  <c r="D135" i="86" s="1"/>
  <c r="G134" i="86"/>
  <c r="G133" i="86"/>
  <c r="D133" i="86" s="1"/>
  <c r="G125" i="86"/>
  <c r="G114" i="86"/>
  <c r="G128" i="86"/>
  <c r="G117" i="86"/>
  <c r="G113" i="86"/>
  <c r="D113" i="86" s="1"/>
  <c r="G127" i="86"/>
  <c r="E127" i="86" s="1"/>
  <c r="G126" i="86"/>
  <c r="G116" i="86"/>
  <c r="G115" i="86"/>
  <c r="G124" i="86"/>
  <c r="G123" i="86"/>
  <c r="D123" i="86" s="1"/>
  <c r="G122" i="86"/>
  <c r="G121" i="86"/>
  <c r="T116" i="86" s="1"/>
  <c r="G120" i="86"/>
  <c r="T115" i="86" s="1"/>
  <c r="G119" i="86"/>
  <c r="G118" i="86"/>
  <c r="G102" i="86"/>
  <c r="D102" i="86" s="1"/>
  <c r="G112" i="86"/>
  <c r="D112" i="86" s="1"/>
  <c r="G104" i="86"/>
  <c r="D104" i="86" s="1"/>
  <c r="G101" i="86"/>
  <c r="G100" i="86"/>
  <c r="G103" i="86"/>
  <c r="G108" i="86"/>
  <c r="D108" i="86" s="1"/>
  <c r="G111" i="86"/>
  <c r="G110" i="86"/>
  <c r="G109" i="86"/>
  <c r="G107" i="86"/>
  <c r="D107" i="86" s="1"/>
  <c r="G106" i="86"/>
  <c r="G105" i="86"/>
  <c r="E105" i="86" s="1"/>
  <c r="G90" i="86"/>
  <c r="D90" i="86" s="1"/>
  <c r="G99" i="86"/>
  <c r="D99" i="86" s="1"/>
  <c r="G98" i="86"/>
  <c r="G91" i="86"/>
  <c r="D91" i="86" s="1"/>
  <c r="G94" i="86"/>
  <c r="G96" i="86"/>
  <c r="D96" i="86" s="1"/>
  <c r="G95" i="86"/>
  <c r="E95" i="86" s="1"/>
  <c r="G97" i="86"/>
  <c r="D97" i="86" s="1"/>
  <c r="G93" i="86"/>
  <c r="G92" i="86"/>
  <c r="G76" i="86"/>
  <c r="D76" i="86" s="1"/>
  <c r="G89" i="86"/>
  <c r="G75" i="86"/>
  <c r="G88" i="86"/>
  <c r="G85" i="86"/>
  <c r="D85" i="86" s="1"/>
  <c r="G87" i="86"/>
  <c r="D87" i="86" s="1"/>
  <c r="G84" i="86"/>
  <c r="D84" i="86" s="1"/>
  <c r="G86" i="86"/>
  <c r="D86" i="86" s="1"/>
  <c r="G83" i="86"/>
  <c r="E83" i="86" s="1"/>
  <c r="G80" i="86"/>
  <c r="E80" i="86" s="1"/>
  <c r="G79" i="86"/>
  <c r="E79" i="86" s="1"/>
  <c r="G82" i="86"/>
  <c r="G78" i="86"/>
  <c r="G81" i="86"/>
  <c r="G77" i="86"/>
  <c r="G68" i="86"/>
  <c r="E68" i="86" s="1"/>
  <c r="G74" i="86"/>
  <c r="G65" i="86"/>
  <c r="D65" i="86" s="1"/>
  <c r="G64" i="86"/>
  <c r="E64" i="86" s="1"/>
  <c r="G63" i="86"/>
  <c r="E63" i="86" s="1"/>
  <c r="G62" i="86"/>
  <c r="E62" i="86" s="1"/>
  <c r="G61" i="86"/>
  <c r="E61" i="86" s="1"/>
  <c r="G70" i="86"/>
  <c r="G69" i="86"/>
  <c r="D69" i="86" s="1"/>
  <c r="G73" i="86"/>
  <c r="D73" i="86" s="1"/>
  <c r="G72" i="86"/>
  <c r="G71" i="86"/>
  <c r="D71" i="86" s="1"/>
  <c r="G67" i="86"/>
  <c r="E67" i="86" s="1"/>
  <c r="G66" i="86"/>
  <c r="D66" i="86" s="1"/>
  <c r="G58" i="86"/>
  <c r="E58" i="86" s="1"/>
  <c r="G56" i="86"/>
  <c r="E56" i="86" s="1"/>
  <c r="G50" i="86"/>
  <c r="E50" i="86" s="1"/>
  <c r="G60" i="86"/>
  <c r="G49" i="86"/>
  <c r="D49" i="86" s="1"/>
  <c r="G48" i="86"/>
  <c r="D48" i="86" s="1"/>
  <c r="G47" i="86"/>
  <c r="D47" i="86" s="1"/>
  <c r="G57" i="86"/>
  <c r="G54" i="86"/>
  <c r="G55" i="86"/>
  <c r="D55" i="86" s="1"/>
  <c r="G53" i="86"/>
  <c r="G52" i="86"/>
  <c r="E52" i="86" s="1"/>
  <c r="G51" i="86"/>
  <c r="E51" i="86" s="1"/>
  <c r="G46" i="86"/>
  <c r="E46" i="86" s="1"/>
  <c r="G59" i="86"/>
  <c r="E59" i="86" s="1"/>
  <c r="T92" i="85"/>
  <c r="S92" i="85"/>
  <c r="R92" i="85"/>
  <c r="Q92" i="85"/>
  <c r="R91" i="85"/>
  <c r="Q91" i="85"/>
  <c r="R90" i="85"/>
  <c r="Q90" i="85"/>
  <c r="S89" i="85"/>
  <c r="R89" i="85"/>
  <c r="Q89" i="85"/>
  <c r="R88" i="85"/>
  <c r="Q88" i="85"/>
  <c r="Q87" i="85"/>
  <c r="T85" i="85"/>
  <c r="S85" i="85"/>
  <c r="R85" i="85"/>
  <c r="Q85" i="85"/>
  <c r="S84" i="85"/>
  <c r="R84" i="85"/>
  <c r="Q84" i="85"/>
  <c r="S83" i="85"/>
  <c r="R83" i="85"/>
  <c r="Q83" i="85"/>
  <c r="Q81" i="85"/>
  <c r="Q80" i="85"/>
  <c r="Q79" i="85"/>
  <c r="Q78" i="85"/>
  <c r="Q77" i="85"/>
  <c r="R76" i="85"/>
  <c r="Q76" i="85"/>
  <c r="Q75" i="85"/>
  <c r="R73" i="85"/>
  <c r="Q73" i="85"/>
  <c r="R72" i="85"/>
  <c r="Q72" i="85"/>
  <c r="T71" i="85"/>
  <c r="S71" i="85"/>
  <c r="R71" i="85"/>
  <c r="Q71" i="85"/>
  <c r="S70" i="85"/>
  <c r="R70" i="85"/>
  <c r="Q70" i="85"/>
  <c r="S69" i="85"/>
  <c r="R69" i="85"/>
  <c r="Q69" i="85"/>
  <c r="U68" i="85"/>
  <c r="T68" i="85"/>
  <c r="S68" i="85"/>
  <c r="R68" i="85"/>
  <c r="Q68" i="85"/>
  <c r="R66" i="85"/>
  <c r="Q66" i="85"/>
  <c r="S65" i="85"/>
  <c r="R65" i="85"/>
  <c r="Q65" i="85"/>
  <c r="S64" i="85"/>
  <c r="R64" i="85"/>
  <c r="Q64" i="85"/>
  <c r="U63" i="85"/>
  <c r="T63" i="85"/>
  <c r="S63" i="85"/>
  <c r="R63" i="85"/>
  <c r="Q63" i="85"/>
  <c r="U61" i="85"/>
  <c r="T61" i="85"/>
  <c r="S61" i="85"/>
  <c r="R61" i="85"/>
  <c r="Q61" i="85"/>
  <c r="U60" i="85"/>
  <c r="T60" i="85"/>
  <c r="S60" i="85"/>
  <c r="R60" i="85"/>
  <c r="Q60" i="85"/>
  <c r="S58" i="85"/>
  <c r="R58" i="85"/>
  <c r="Q58" i="85"/>
  <c r="R57" i="85"/>
  <c r="Q57" i="85"/>
  <c r="R56" i="85"/>
  <c r="Q56" i="85"/>
  <c r="S55" i="85"/>
  <c r="R55" i="85"/>
  <c r="Q55" i="85"/>
  <c r="S54" i="85"/>
  <c r="R54" i="85"/>
  <c r="Q54" i="85"/>
  <c r="S53" i="85"/>
  <c r="R53" i="85"/>
  <c r="Q53" i="85"/>
  <c r="Q51" i="85"/>
  <c r="R50" i="85"/>
  <c r="Q50" i="85"/>
  <c r="R49" i="85"/>
  <c r="Q49" i="85"/>
  <c r="T48" i="85"/>
  <c r="S48" i="85"/>
  <c r="R48" i="85"/>
  <c r="Q48" i="85"/>
  <c r="Q47" i="85"/>
  <c r="S46" i="85"/>
  <c r="R46" i="85"/>
  <c r="Q46" i="85"/>
  <c r="R44" i="85"/>
  <c r="Q44" i="85"/>
  <c r="S43" i="85"/>
  <c r="R43" i="85"/>
  <c r="Q43" i="85"/>
  <c r="S42" i="85"/>
  <c r="R42" i="85"/>
  <c r="Q42" i="85"/>
  <c r="R40" i="85"/>
  <c r="Q40" i="85"/>
  <c r="T39" i="85"/>
  <c r="S39" i="85"/>
  <c r="R39" i="85"/>
  <c r="Q39" i="85"/>
  <c r="T38" i="85"/>
  <c r="S38" i="85"/>
  <c r="R38" i="85"/>
  <c r="Q38" i="85"/>
  <c r="Q36" i="85"/>
  <c r="S35" i="85"/>
  <c r="R35" i="85"/>
  <c r="Q35" i="85"/>
  <c r="S34" i="85"/>
  <c r="R34" i="85"/>
  <c r="Q34" i="85"/>
  <c r="T33" i="85"/>
  <c r="S33" i="85"/>
  <c r="R33" i="85"/>
  <c r="Q33" i="85"/>
  <c r="R32" i="85"/>
  <c r="Q32" i="85"/>
  <c r="R31" i="85"/>
  <c r="Q31" i="85"/>
  <c r="S29" i="85"/>
  <c r="R29" i="85"/>
  <c r="Q29" i="85"/>
  <c r="R28" i="85"/>
  <c r="Q28" i="85"/>
  <c r="R27" i="85"/>
  <c r="Q27" i="85"/>
  <c r="S26" i="85"/>
  <c r="R26" i="85"/>
  <c r="Q26" i="85"/>
  <c r="T25" i="85"/>
  <c r="S25" i="85"/>
  <c r="R25" i="85"/>
  <c r="Q25" i="85"/>
  <c r="R23" i="85"/>
  <c r="Q23" i="85"/>
  <c r="S22" i="85"/>
  <c r="R22" i="85"/>
  <c r="Q22" i="85"/>
  <c r="R21" i="85"/>
  <c r="Q21" i="85"/>
  <c r="R20" i="85"/>
  <c r="Q20" i="85"/>
  <c r="R19" i="85"/>
  <c r="Q19" i="85"/>
  <c r="T18" i="85"/>
  <c r="S18" i="85"/>
  <c r="R18" i="85"/>
  <c r="Q18" i="85"/>
  <c r="S16" i="85"/>
  <c r="R16" i="85"/>
  <c r="Q16" i="85"/>
  <c r="T15" i="85"/>
  <c r="S15" i="85"/>
  <c r="R15" i="85"/>
  <c r="Q15" i="85"/>
  <c r="T14" i="85"/>
  <c r="S14" i="85"/>
  <c r="R14" i="85"/>
  <c r="Q14" i="85"/>
  <c r="R13" i="85"/>
  <c r="Q13" i="85"/>
  <c r="S12" i="85"/>
  <c r="R12" i="85"/>
  <c r="Q12" i="85"/>
  <c r="S11" i="85"/>
  <c r="R11" i="85"/>
  <c r="Q11" i="85"/>
  <c r="R9" i="85"/>
  <c r="Q9" i="85"/>
  <c r="T8" i="85"/>
  <c r="S8" i="85"/>
  <c r="R8" i="85"/>
  <c r="Q8" i="85"/>
  <c r="R7" i="85"/>
  <c r="Q7" i="85"/>
  <c r="T6" i="85"/>
  <c r="S6" i="85"/>
  <c r="R6" i="85"/>
  <c r="Q6" i="85"/>
  <c r="T5" i="85"/>
  <c r="S5" i="85"/>
  <c r="R5" i="85"/>
  <c r="Q5" i="85"/>
  <c r="T4" i="85"/>
  <c r="S4" i="85"/>
  <c r="R4" i="85"/>
  <c r="Q4" i="85"/>
  <c r="Q3" i="85"/>
  <c r="S3" i="85"/>
  <c r="R3" i="85"/>
  <c r="K174" i="84"/>
  <c r="K144" i="84"/>
  <c r="K116" i="84"/>
  <c r="K84" i="84"/>
  <c r="K54" i="84"/>
  <c r="K22" i="84"/>
  <c r="K106" i="83"/>
  <c r="K81" i="83"/>
  <c r="K52" i="83"/>
  <c r="K22" i="83"/>
  <c r="K177" i="82"/>
  <c r="K151" i="82"/>
  <c r="K125" i="82"/>
  <c r="K98" i="82"/>
  <c r="K73" i="82"/>
  <c r="K48" i="82"/>
  <c r="K21" i="82"/>
  <c r="T114" i="86" l="1"/>
  <c r="T126" i="86"/>
  <c r="T73" i="86"/>
  <c r="T76" i="86"/>
  <c r="T97" i="86"/>
  <c r="T101" i="86"/>
  <c r="T125" i="86"/>
  <c r="T173" i="86"/>
  <c r="T185" i="86"/>
  <c r="T34" i="86"/>
  <c r="T50" i="86"/>
  <c r="T86" i="86"/>
  <c r="T103" i="86"/>
  <c r="T199" i="86"/>
  <c r="T142" i="86"/>
  <c r="T139" i="86"/>
  <c r="T28" i="86"/>
  <c r="T201" i="86"/>
  <c r="T32" i="86"/>
  <c r="T191" i="86"/>
  <c r="T113" i="86"/>
  <c r="T137" i="86"/>
  <c r="T127" i="86"/>
  <c r="T64" i="86"/>
  <c r="T177" i="86"/>
  <c r="T57" i="86"/>
  <c r="T189" i="86"/>
  <c r="T193" i="86"/>
  <c r="T195" i="86"/>
  <c r="T187" i="86"/>
  <c r="T188" i="86"/>
  <c r="T178" i="86"/>
  <c r="T172" i="86"/>
  <c r="T141" i="86"/>
  <c r="T145" i="86"/>
  <c r="T146" i="86"/>
  <c r="T138" i="86"/>
  <c r="T130" i="86"/>
  <c r="T132" i="86"/>
  <c r="T135" i="86"/>
  <c r="T128" i="86"/>
  <c r="T120" i="86"/>
  <c r="T121" i="86"/>
  <c r="T119" i="86"/>
  <c r="T122" i="86"/>
  <c r="T117" i="86"/>
  <c r="T104" i="86"/>
  <c r="T105" i="86"/>
  <c r="T107" i="86"/>
  <c r="T108" i="86"/>
  <c r="T109" i="86"/>
  <c r="T95" i="86"/>
  <c r="T90" i="86"/>
  <c r="T91" i="86"/>
  <c r="T75" i="86"/>
  <c r="T88" i="86"/>
  <c r="T77" i="86"/>
  <c r="T78" i="86"/>
  <c r="T87" i="86"/>
  <c r="T67" i="86"/>
  <c r="T52" i="86"/>
  <c r="T53" i="86"/>
  <c r="T35" i="86"/>
  <c r="T37" i="86"/>
  <c r="T27" i="86"/>
  <c r="T30" i="86"/>
  <c r="T42" i="86"/>
  <c r="T36" i="86"/>
  <c r="T39" i="86"/>
  <c r="T40" i="86"/>
  <c r="T41" i="86"/>
  <c r="T31" i="86"/>
  <c r="T43" i="86"/>
  <c r="D202" i="86"/>
  <c r="E66" i="86"/>
  <c r="E99" i="86"/>
  <c r="E107" i="86"/>
  <c r="E137" i="86"/>
  <c r="E130" i="86"/>
  <c r="E13" i="86"/>
  <c r="E141" i="86"/>
  <c r="E6" i="86"/>
  <c r="E142" i="86"/>
  <c r="E126" i="86"/>
  <c r="T179" i="86"/>
  <c r="E7" i="86"/>
  <c r="E171" i="86"/>
  <c r="E39" i="86"/>
  <c r="E163" i="86"/>
  <c r="E154" i="86"/>
  <c r="E183" i="86"/>
  <c r="E86" i="86"/>
  <c r="E184" i="86"/>
  <c r="D6" i="86"/>
  <c r="H6" i="86" s="1"/>
  <c r="E181" i="86"/>
  <c r="T182" i="86"/>
  <c r="H185" i="86" s="1"/>
  <c r="E26" i="86"/>
  <c r="E73" i="86"/>
  <c r="E101" i="86"/>
  <c r="E150" i="86"/>
  <c r="E185" i="86"/>
  <c r="E57" i="86"/>
  <c r="E5" i="86"/>
  <c r="E104" i="86"/>
  <c r="E143" i="86"/>
  <c r="E186" i="86"/>
  <c r="E122" i="86"/>
  <c r="E164" i="86"/>
  <c r="E201" i="86"/>
  <c r="E40" i="86"/>
  <c r="E84" i="86"/>
  <c r="E117" i="86"/>
  <c r="E166" i="86"/>
  <c r="E45" i="86"/>
  <c r="E76" i="86"/>
  <c r="E128" i="86"/>
  <c r="E167" i="86"/>
  <c r="D56" i="86"/>
  <c r="E112" i="86"/>
  <c r="E199" i="86"/>
  <c r="E98" i="86"/>
  <c r="E133" i="86"/>
  <c r="E14" i="86"/>
  <c r="E87" i="86"/>
  <c r="E102" i="86"/>
  <c r="E136" i="86"/>
  <c r="E157" i="86"/>
  <c r="E21" i="86"/>
  <c r="E85" i="86"/>
  <c r="E118" i="86"/>
  <c r="E131" i="86"/>
  <c r="E169" i="86"/>
  <c r="D200" i="86"/>
  <c r="E8" i="86"/>
  <c r="E35" i="86"/>
  <c r="E53" i="86"/>
  <c r="E88" i="86"/>
  <c r="E119" i="86"/>
  <c r="E132" i="86"/>
  <c r="E170" i="86"/>
  <c r="E187" i="86"/>
  <c r="E16" i="86"/>
  <c r="E36" i="86"/>
  <c r="E17" i="86"/>
  <c r="E37" i="86"/>
  <c r="E49" i="86"/>
  <c r="E65" i="86"/>
  <c r="E97" i="86"/>
  <c r="E115" i="86"/>
  <c r="E138" i="86"/>
  <c r="E161" i="86"/>
  <c r="E38" i="86"/>
  <c r="E60" i="86"/>
  <c r="E74" i="86"/>
  <c r="E106" i="86"/>
  <c r="E116" i="86"/>
  <c r="E129" i="86"/>
  <c r="E162" i="86"/>
  <c r="E177" i="86"/>
  <c r="E96" i="86"/>
  <c r="E23" i="86"/>
  <c r="E78" i="86"/>
  <c r="E94" i="86"/>
  <c r="E111" i="86"/>
  <c r="E147" i="86"/>
  <c r="E178" i="86"/>
  <c r="E19" i="86"/>
  <c r="E24" i="86"/>
  <c r="E44" i="86"/>
  <c r="E91" i="86"/>
  <c r="E100" i="86"/>
  <c r="E113" i="86"/>
  <c r="E140" i="86"/>
  <c r="E165" i="86"/>
  <c r="E182" i="86"/>
  <c r="E191" i="86"/>
  <c r="E30" i="86"/>
  <c r="E41" i="86"/>
  <c r="E55" i="86"/>
  <c r="E71" i="86"/>
  <c r="E77" i="86"/>
  <c r="E75" i="86"/>
  <c r="E90" i="86"/>
  <c r="E109" i="86"/>
  <c r="E120" i="86"/>
  <c r="E114" i="86"/>
  <c r="E145" i="86"/>
  <c r="E144" i="86"/>
  <c r="E172" i="86"/>
  <c r="E194" i="86"/>
  <c r="D201" i="86"/>
  <c r="E15" i="86"/>
  <c r="E20" i="86"/>
  <c r="E31" i="86"/>
  <c r="E42" i="86"/>
  <c r="E54" i="86"/>
  <c r="E72" i="86"/>
  <c r="E81" i="86"/>
  <c r="E89" i="86"/>
  <c r="E110" i="86"/>
  <c r="E121" i="86"/>
  <c r="E125" i="86"/>
  <c r="E146" i="86"/>
  <c r="E153" i="86"/>
  <c r="E173" i="86"/>
  <c r="E188" i="86"/>
  <c r="E195" i="86"/>
  <c r="E192" i="86"/>
  <c r="E10" i="86"/>
  <c r="E32" i="86"/>
  <c r="E43" i="86"/>
  <c r="E189" i="86"/>
  <c r="D191" i="86"/>
  <c r="D23" i="86"/>
  <c r="H23" i="86" s="1"/>
  <c r="E33" i="86"/>
  <c r="E28" i="86"/>
  <c r="E47" i="86"/>
  <c r="E69" i="86"/>
  <c r="E82" i="86"/>
  <c r="E92" i="86"/>
  <c r="E108" i="86"/>
  <c r="E123" i="86"/>
  <c r="E134" i="86"/>
  <c r="E148" i="86"/>
  <c r="E175" i="86"/>
  <c r="E197" i="86"/>
  <c r="E190" i="86"/>
  <c r="D174" i="86"/>
  <c r="D175" i="86"/>
  <c r="H175" i="86" s="1"/>
  <c r="E27" i="86"/>
  <c r="E193" i="86"/>
  <c r="E4" i="86"/>
  <c r="E180" i="86"/>
  <c r="D26" i="86"/>
  <c r="H26" i="86" s="1"/>
  <c r="E12" i="86"/>
  <c r="E9" i="86"/>
  <c r="E34" i="86"/>
  <c r="E29" i="86"/>
  <c r="E48" i="86"/>
  <c r="E70" i="86"/>
  <c r="E93" i="86"/>
  <c r="E103" i="86"/>
  <c r="E124" i="86"/>
  <c r="E135" i="86"/>
  <c r="E149" i="86"/>
  <c r="E160" i="86"/>
  <c r="E174" i="86"/>
  <c r="E198" i="86"/>
  <c r="E196" i="86"/>
  <c r="T155" i="86"/>
  <c r="T156" i="86"/>
  <c r="T158" i="86"/>
  <c r="T168" i="86"/>
  <c r="T171" i="86"/>
  <c r="D8" i="86"/>
  <c r="H8" i="86" s="1"/>
  <c r="T157" i="86"/>
  <c r="H163" i="86" s="1"/>
  <c r="T169" i="86"/>
  <c r="D176" i="86"/>
  <c r="D16" i="86"/>
  <c r="H16" i="86" s="1"/>
  <c r="D34" i="86"/>
  <c r="T167" i="86"/>
  <c r="T170" i="86"/>
  <c r="D17" i="86"/>
  <c r="H17" i="86" s="1"/>
  <c r="T15" i="86"/>
  <c r="H15" i="86" s="1"/>
  <c r="D35" i="86"/>
  <c r="T159" i="86"/>
  <c r="D37" i="86"/>
  <c r="T160" i="86"/>
  <c r="D38" i="86"/>
  <c r="T161" i="86"/>
  <c r="D39" i="86"/>
  <c r="D40" i="86"/>
  <c r="D41" i="86"/>
  <c r="D42" i="86"/>
  <c r="D173" i="86"/>
  <c r="D43" i="86"/>
  <c r="D5" i="86"/>
  <c r="H5" i="86" s="1"/>
  <c r="T174" i="86"/>
  <c r="T183" i="86"/>
  <c r="T176" i="86"/>
  <c r="D31" i="86"/>
  <c r="D180" i="86"/>
  <c r="T186" i="86"/>
  <c r="T194" i="86"/>
  <c r="T202" i="86"/>
  <c r="D12" i="86"/>
  <c r="H12" i="86" s="1"/>
  <c r="T29" i="86"/>
  <c r="D33" i="86"/>
  <c r="D28" i="86"/>
  <c r="D153" i="86"/>
  <c r="T198" i="86"/>
  <c r="D156" i="86"/>
  <c r="T11" i="86"/>
  <c r="D187" i="86"/>
  <c r="D179" i="86"/>
  <c r="D20" i="86"/>
  <c r="H20" i="86" s="1"/>
  <c r="D30" i="86"/>
  <c r="D188" i="86"/>
  <c r="T22" i="86"/>
  <c r="D10" i="86"/>
  <c r="H10" i="86" s="1"/>
  <c r="D4" i="86"/>
  <c r="H4" i="86" s="1"/>
  <c r="T162" i="86"/>
  <c r="D195" i="86"/>
  <c r="D22" i="86"/>
  <c r="D152" i="86"/>
  <c r="T18" i="86"/>
  <c r="T33" i="86"/>
  <c r="D155" i="86"/>
  <c r="T190" i="86"/>
  <c r="D18" i="86"/>
  <c r="D7" i="86"/>
  <c r="H7" i="86" s="1"/>
  <c r="D158" i="86"/>
  <c r="D168" i="86"/>
  <c r="T184" i="86"/>
  <c r="T45" i="86"/>
  <c r="H45" i="86" s="1"/>
  <c r="D159" i="86"/>
  <c r="D11" i="86"/>
  <c r="T152" i="86"/>
  <c r="T164" i="86"/>
  <c r="D177" i="86"/>
  <c r="T180" i="86"/>
  <c r="D197" i="86"/>
  <c r="D190" i="86"/>
  <c r="D13" i="86"/>
  <c r="H13" i="86" s="1"/>
  <c r="D29" i="86"/>
  <c r="T153" i="86"/>
  <c r="T165" i="86"/>
  <c r="D171" i="86"/>
  <c r="D14" i="86"/>
  <c r="H14" i="86" s="1"/>
  <c r="D24" i="86"/>
  <c r="H24" i="86" s="1"/>
  <c r="D44" i="86"/>
  <c r="H44" i="86" s="1"/>
  <c r="T154" i="86"/>
  <c r="T166" i="86"/>
  <c r="T181" i="86"/>
  <c r="D199" i="86"/>
  <c r="T25" i="86"/>
  <c r="D21" i="86"/>
  <c r="H21" i="86" s="1"/>
  <c r="D25" i="86"/>
  <c r="T38" i="86"/>
  <c r="T19" i="86"/>
  <c r="H19" i="86" s="1"/>
  <c r="T9" i="86"/>
  <c r="H9" i="86" s="1"/>
  <c r="T192" i="86"/>
  <c r="T196" i="86"/>
  <c r="T200" i="86"/>
  <c r="T197" i="86"/>
  <c r="T129" i="86"/>
  <c r="T133" i="86"/>
  <c r="D137" i="86"/>
  <c r="D129" i="86"/>
  <c r="D141" i="86"/>
  <c r="D142" i="86"/>
  <c r="D130" i="86"/>
  <c r="T134" i="86"/>
  <c r="T136" i="86"/>
  <c r="T143" i="86"/>
  <c r="D134" i="86"/>
  <c r="T144" i="86"/>
  <c r="T147" i="86"/>
  <c r="D139" i="86"/>
  <c r="T148" i="86"/>
  <c r="D145" i="86"/>
  <c r="D147" i="86"/>
  <c r="D136" i="86"/>
  <c r="D148" i="86"/>
  <c r="T140" i="86"/>
  <c r="T151" i="86"/>
  <c r="D151" i="86"/>
  <c r="T149" i="86"/>
  <c r="T150" i="86"/>
  <c r="T131" i="86"/>
  <c r="D122" i="86"/>
  <c r="D124" i="86"/>
  <c r="D109" i="86"/>
  <c r="T118" i="86"/>
  <c r="T102" i="86"/>
  <c r="D115" i="86"/>
  <c r="H115" i="86" s="1"/>
  <c r="D116" i="86"/>
  <c r="H116" i="86" s="1"/>
  <c r="D126" i="86"/>
  <c r="H126" i="86" s="1"/>
  <c r="D103" i="86"/>
  <c r="D100" i="86"/>
  <c r="D118" i="86"/>
  <c r="D117" i="86"/>
  <c r="D127" i="86"/>
  <c r="T123" i="86"/>
  <c r="T124" i="86"/>
  <c r="D101" i="86"/>
  <c r="D119" i="86"/>
  <c r="D128" i="86"/>
  <c r="D120" i="86"/>
  <c r="D114" i="86"/>
  <c r="H114" i="86" s="1"/>
  <c r="D121" i="86"/>
  <c r="D125" i="86"/>
  <c r="D110" i="86"/>
  <c r="T110" i="86"/>
  <c r="D105" i="86"/>
  <c r="D111" i="86"/>
  <c r="T111" i="86"/>
  <c r="T106" i="86"/>
  <c r="D106" i="86"/>
  <c r="T100" i="86"/>
  <c r="T112" i="86"/>
  <c r="D77" i="86"/>
  <c r="D81" i="86"/>
  <c r="T89" i="86"/>
  <c r="D78" i="86"/>
  <c r="D92" i="86"/>
  <c r="D82" i="86"/>
  <c r="D93" i="86"/>
  <c r="T92" i="86"/>
  <c r="T98" i="86"/>
  <c r="D89" i="86"/>
  <c r="T99" i="86"/>
  <c r="D95" i="86"/>
  <c r="D88" i="86"/>
  <c r="T93" i="86"/>
  <c r="D75" i="86"/>
  <c r="D98" i="86"/>
  <c r="T79" i="86"/>
  <c r="D94" i="86"/>
  <c r="T80" i="86"/>
  <c r="D80" i="86"/>
  <c r="T81" i="86"/>
  <c r="T82" i="86"/>
  <c r="D79" i="86"/>
  <c r="T83" i="86"/>
  <c r="D83" i="86"/>
  <c r="T84" i="86"/>
  <c r="T94" i="86"/>
  <c r="T85" i="86"/>
  <c r="H85" i="86" s="1"/>
  <c r="T96" i="86"/>
  <c r="D70" i="86"/>
  <c r="T65" i="86"/>
  <c r="T66" i="86"/>
  <c r="D61" i="86"/>
  <c r="D62" i="86"/>
  <c r="T71" i="86"/>
  <c r="D68" i="86"/>
  <c r="D72" i="86"/>
  <c r="T62" i="86"/>
  <c r="T74" i="86"/>
  <c r="D63" i="86"/>
  <c r="T68" i="86"/>
  <c r="D64" i="86"/>
  <c r="T69" i="86"/>
  <c r="D67" i="86"/>
  <c r="T72" i="86"/>
  <c r="T61" i="86"/>
  <c r="T63" i="86"/>
  <c r="T70" i="86"/>
  <c r="D74" i="86"/>
  <c r="D57" i="86"/>
  <c r="T54" i="86"/>
  <c r="T55" i="86"/>
  <c r="D60" i="86"/>
  <c r="T56" i="86"/>
  <c r="D50" i="86"/>
  <c r="D59" i="86"/>
  <c r="D58" i="86"/>
  <c r="D46" i="86"/>
  <c r="D51" i="86"/>
  <c r="T46" i="86"/>
  <c r="T58" i="86"/>
  <c r="D52" i="86"/>
  <c r="T47" i="86"/>
  <c r="T59" i="86"/>
  <c r="D53" i="86"/>
  <c r="T48" i="86"/>
  <c r="T60" i="86"/>
  <c r="D54" i="86"/>
  <c r="T49" i="86"/>
  <c r="T51" i="86"/>
  <c r="K157" i="66"/>
  <c r="K176" i="67"/>
  <c r="H73" i="86" l="1"/>
  <c r="H97" i="86"/>
  <c r="H53" i="86"/>
  <c r="H108" i="86"/>
  <c r="H107" i="86"/>
  <c r="H87" i="86"/>
  <c r="H145" i="86"/>
  <c r="H173" i="86"/>
  <c r="H86" i="86"/>
  <c r="H125" i="86"/>
  <c r="H122" i="86"/>
  <c r="H132" i="86"/>
  <c r="H113" i="86"/>
  <c r="H32" i="86"/>
  <c r="H199" i="86"/>
  <c r="H103" i="86"/>
  <c r="H71" i="86"/>
  <c r="H119" i="86"/>
  <c r="H77" i="86"/>
  <c r="H188" i="86"/>
  <c r="H171" i="86"/>
  <c r="H178" i="86"/>
  <c r="H142" i="86"/>
  <c r="H66" i="86"/>
  <c r="H190" i="86"/>
  <c r="H98" i="86"/>
  <c r="H146" i="86"/>
  <c r="H31" i="86"/>
  <c r="H38" i="86"/>
  <c r="H182" i="86"/>
  <c r="H137" i="86"/>
  <c r="H144" i="86"/>
  <c r="H28" i="86"/>
  <c r="H91" i="86"/>
  <c r="H180" i="86"/>
  <c r="H121" i="86"/>
  <c r="H191" i="86"/>
  <c r="H131" i="86"/>
  <c r="H172" i="86"/>
  <c r="H72" i="86"/>
  <c r="H88" i="86"/>
  <c r="H123" i="86"/>
  <c r="H181" i="86"/>
  <c r="H129" i="86"/>
  <c r="H150" i="86"/>
  <c r="H197" i="86"/>
  <c r="H100" i="86"/>
  <c r="H143" i="86"/>
  <c r="H160" i="86"/>
  <c r="H177" i="86"/>
  <c r="H201" i="86"/>
  <c r="H49" i="86"/>
  <c r="H94" i="86"/>
  <c r="H192" i="86"/>
  <c r="H187" i="86"/>
  <c r="H120" i="86"/>
  <c r="H128" i="86"/>
  <c r="H57" i="86"/>
  <c r="H195" i="86"/>
  <c r="H194" i="86"/>
  <c r="H74" i="86"/>
  <c r="H109" i="86"/>
  <c r="H162" i="86"/>
  <c r="H65" i="86"/>
  <c r="H135" i="86"/>
  <c r="H154" i="86"/>
  <c r="H161" i="86"/>
  <c r="H54" i="86"/>
  <c r="H69" i="86"/>
  <c r="H140" i="86"/>
  <c r="H193" i="86"/>
  <c r="H30" i="86"/>
  <c r="H157" i="86"/>
  <c r="H198" i="86"/>
  <c r="H196" i="86"/>
  <c r="H189" i="86"/>
  <c r="H186" i="86"/>
  <c r="H184" i="86"/>
  <c r="H183" i="86"/>
  <c r="H174" i="86"/>
  <c r="H167" i="86"/>
  <c r="H170" i="86"/>
  <c r="H165" i="86"/>
  <c r="H166" i="86"/>
  <c r="H169" i="86"/>
  <c r="H153" i="86"/>
  <c r="H164" i="86"/>
  <c r="H149" i="86"/>
  <c r="H148" i="86"/>
  <c r="H147" i="86"/>
  <c r="H141" i="86"/>
  <c r="H130" i="86"/>
  <c r="H136" i="86"/>
  <c r="H133" i="86"/>
  <c r="H134" i="86"/>
  <c r="H138" i="86"/>
  <c r="H124" i="86"/>
  <c r="H117" i="86"/>
  <c r="H118" i="86"/>
  <c r="H112" i="86"/>
  <c r="H101" i="86"/>
  <c r="H111" i="86"/>
  <c r="H104" i="86"/>
  <c r="H110" i="86"/>
  <c r="H102" i="86"/>
  <c r="H106" i="86"/>
  <c r="H93" i="86"/>
  <c r="H92" i="86"/>
  <c r="H96" i="86"/>
  <c r="H90" i="86"/>
  <c r="H99" i="86"/>
  <c r="H75" i="86"/>
  <c r="H81" i="86"/>
  <c r="H89" i="86"/>
  <c r="H84" i="86"/>
  <c r="H82" i="86"/>
  <c r="H78" i="86"/>
  <c r="H76" i="86"/>
  <c r="H70" i="86"/>
  <c r="H48" i="86"/>
  <c r="H47" i="86"/>
  <c r="H55" i="86"/>
  <c r="H60" i="86"/>
  <c r="H27" i="86"/>
  <c r="H37" i="86"/>
  <c r="H35" i="86"/>
  <c r="H33" i="86"/>
  <c r="H29" i="86"/>
  <c r="H34" i="86"/>
  <c r="H43" i="86"/>
  <c r="H42" i="86"/>
  <c r="H41" i="86"/>
  <c r="H40" i="86"/>
  <c r="H36" i="86"/>
  <c r="H39" i="86"/>
  <c r="H202" i="86"/>
  <c r="H200" i="86"/>
  <c r="H18" i="86"/>
  <c r="H159" i="86"/>
  <c r="H25" i="86"/>
  <c r="H176" i="86"/>
  <c r="H22" i="86"/>
  <c r="H158" i="86"/>
  <c r="H156" i="86"/>
  <c r="H11" i="86"/>
  <c r="H155" i="86"/>
  <c r="H179" i="86"/>
  <c r="H168" i="86"/>
  <c r="H152" i="86"/>
  <c r="H127" i="86"/>
  <c r="H139" i="86"/>
  <c r="H151" i="86"/>
  <c r="H105" i="86"/>
  <c r="H79" i="86"/>
  <c r="H95" i="86"/>
  <c r="H80" i="86"/>
  <c r="H58" i="86"/>
  <c r="H62" i="86"/>
  <c r="H83" i="86"/>
  <c r="H68" i="86"/>
  <c r="H67" i="86"/>
  <c r="H61" i="86"/>
  <c r="H56" i="86"/>
  <c r="H64" i="86"/>
  <c r="H63" i="86"/>
  <c r="H50" i="86"/>
  <c r="H59" i="86"/>
  <c r="H51" i="86"/>
  <c r="H46" i="86"/>
  <c r="H52" i="86"/>
  <c r="K50" i="81"/>
  <c r="K21" i="81"/>
  <c r="B141" i="62"/>
  <c r="K133" i="62"/>
  <c r="K173" i="64"/>
  <c r="K79" i="78" l="1"/>
  <c r="K51" i="78"/>
  <c r="K22" i="78"/>
  <c r="K174" i="61" l="1"/>
  <c r="K76" i="77" l="1"/>
  <c r="K50" i="77"/>
  <c r="K22" i="77"/>
  <c r="K107" i="62" l="1"/>
  <c r="K79" i="62"/>
  <c r="J48" i="76" l="1"/>
  <c r="J22" i="76" l="1"/>
  <c r="J21" i="76"/>
  <c r="J20" i="76"/>
  <c r="J19" i="76"/>
  <c r="J18" i="76"/>
  <c r="J17" i="76"/>
  <c r="J16" i="76"/>
  <c r="J15" i="76"/>
  <c r="K66" i="76"/>
  <c r="K65" i="76"/>
  <c r="K64" i="76"/>
  <c r="J60" i="76"/>
  <c r="J58" i="76"/>
  <c r="J57" i="76"/>
  <c r="J56" i="76"/>
  <c r="J55" i="76"/>
  <c r="J54" i="76"/>
  <c r="J53" i="76"/>
  <c r="J52" i="76"/>
  <c r="J50" i="76"/>
  <c r="J49" i="76"/>
  <c r="J47" i="76"/>
  <c r="J46" i="76"/>
  <c r="J44" i="76"/>
  <c r="J43" i="76"/>
  <c r="J42" i="76"/>
  <c r="J41" i="76"/>
  <c r="J40" i="76"/>
  <c r="K38" i="76" l="1"/>
  <c r="K37" i="76"/>
  <c r="K36" i="76"/>
  <c r="K35" i="76"/>
  <c r="K34" i="76"/>
  <c r="J33" i="76"/>
  <c r="K33" i="76" s="1"/>
  <c r="J32" i="76"/>
  <c r="K29" i="76"/>
  <c r="K30" i="76"/>
  <c r="K27" i="76"/>
  <c r="K26" i="76"/>
  <c r="K32" i="76" l="1"/>
  <c r="O32" i="76"/>
  <c r="K12" i="76"/>
  <c r="K11" i="76"/>
  <c r="K10" i="76"/>
  <c r="K13" i="76"/>
  <c r="K8" i="76"/>
  <c r="K7" i="76"/>
  <c r="K6" i="76"/>
  <c r="K5" i="76"/>
  <c r="E68" i="76"/>
  <c r="D68" i="76"/>
  <c r="E67" i="76"/>
  <c r="D67" i="76"/>
  <c r="E66" i="76"/>
  <c r="D66" i="76"/>
  <c r="E65" i="76"/>
  <c r="D65" i="76"/>
  <c r="E62" i="76"/>
  <c r="D62" i="76"/>
  <c r="E59" i="76"/>
  <c r="D59" i="76"/>
  <c r="E51" i="76"/>
  <c r="D51" i="76"/>
  <c r="E45" i="76"/>
  <c r="D45" i="76"/>
  <c r="E39" i="76"/>
  <c r="D39" i="76"/>
  <c r="E28" i="76"/>
  <c r="D28" i="76"/>
  <c r="E25" i="76"/>
  <c r="D25" i="76"/>
  <c r="G59" i="76" l="1"/>
  <c r="F68" i="76" l="1"/>
  <c r="M68" i="76" s="1"/>
  <c r="G65" i="76"/>
  <c r="G68" i="76"/>
  <c r="F65" i="76"/>
  <c r="M65" i="76" s="1"/>
  <c r="G67" i="76"/>
  <c r="G66" i="76"/>
  <c r="F67" i="76"/>
  <c r="M67" i="76" s="1"/>
  <c r="F66" i="76"/>
  <c r="M66" i="76" s="1"/>
  <c r="F39" i="76"/>
  <c r="M39" i="76" s="1"/>
  <c r="G31" i="76"/>
  <c r="G51" i="76"/>
  <c r="F62" i="76"/>
  <c r="M62" i="76" s="1"/>
  <c r="F45" i="76"/>
  <c r="M45" i="76" s="1"/>
  <c r="G39" i="76"/>
  <c r="G45" i="76"/>
  <c r="F25" i="76"/>
  <c r="M25" i="76" s="1"/>
  <c r="F51" i="76"/>
  <c r="M51" i="76" s="1"/>
  <c r="F59" i="76"/>
  <c r="M59" i="76" s="1"/>
  <c r="G9" i="76"/>
  <c r="G25" i="76"/>
  <c r="G28" i="76"/>
  <c r="G62" i="76"/>
  <c r="K82" i="74"/>
  <c r="K54" i="74"/>
  <c r="K22" i="74"/>
  <c r="F14" i="76"/>
  <c r="M14" i="76" s="1"/>
  <c r="E14" i="76"/>
  <c r="D14" i="76"/>
  <c r="E4" i="76"/>
  <c r="D4" i="76"/>
  <c r="F4" i="76"/>
  <c r="M4" i="76" s="1"/>
  <c r="E9" i="76"/>
  <c r="H59" i="76" l="1"/>
  <c r="D9" i="76"/>
  <c r="H67" i="76"/>
  <c r="H68" i="76"/>
  <c r="H65" i="76"/>
  <c r="H66" i="76"/>
  <c r="H62" i="76"/>
  <c r="H45" i="76"/>
  <c r="H39" i="76"/>
  <c r="H51" i="76"/>
  <c r="F28" i="76"/>
  <c r="M28" i="76" s="1"/>
  <c r="H25" i="76"/>
  <c r="E31" i="76"/>
  <c r="H28" i="76" l="1"/>
  <c r="D31" i="76"/>
  <c r="F31" i="76"/>
  <c r="M31" i="76" s="1"/>
  <c r="F9" i="76"/>
  <c r="M9" i="76" s="1"/>
  <c r="H9" i="76"/>
  <c r="H14" i="76"/>
  <c r="G14" i="76"/>
  <c r="H31" i="76"/>
  <c r="H4" i="76" l="1"/>
  <c r="H69" i="76" s="1"/>
  <c r="G4" i="76"/>
  <c r="K153" i="70"/>
  <c r="K127" i="70"/>
  <c r="K101" i="70"/>
  <c r="K74" i="70"/>
  <c r="K48" i="70"/>
  <c r="K22" i="70"/>
  <c r="K144" i="64" l="1"/>
  <c r="K116" i="64"/>
  <c r="K189" i="60" l="1"/>
  <c r="K130" i="66" l="1"/>
  <c r="K104" i="66"/>
  <c r="K79" i="66"/>
  <c r="K50" i="66"/>
  <c r="K22" i="66"/>
  <c r="K83" i="64" l="1"/>
  <c r="K52" i="64"/>
  <c r="K50" i="62"/>
  <c r="K22" i="61" l="1"/>
  <c r="K22" i="62" l="1"/>
  <c r="K222" i="60"/>
  <c r="K156" i="60"/>
  <c r="K122" i="60"/>
  <c r="K88" i="60" l="1"/>
  <c r="K59" i="60"/>
  <c r="K22" i="60"/>
  <c r="K21" i="64" l="1"/>
  <c r="K173" i="71" l="1"/>
  <c r="K141" i="71"/>
  <c r="K109" i="71"/>
  <c r="K78" i="71"/>
  <c r="K50" i="71"/>
  <c r="K22" i="71"/>
  <c r="K146" i="61" l="1"/>
  <c r="K116" i="61"/>
  <c r="K81" i="61"/>
  <c r="K50" i="61"/>
  <c r="K150" i="67" l="1"/>
  <c r="K117" i="67"/>
  <c r="K85" i="67"/>
  <c r="K54" i="67"/>
  <c r="K22" i="67"/>
  <c r="B66" i="63" l="1"/>
  <c r="C61" i="63"/>
  <c r="H61" i="63" s="1"/>
  <c r="B46" i="63"/>
  <c r="C41" i="63"/>
  <c r="H41" i="63" s="1"/>
  <c r="B25" i="63"/>
  <c r="C20" i="63"/>
  <c r="H20" i="63" s="1"/>
  <c r="B115" i="62"/>
  <c r="I73" i="54" l="1"/>
  <c r="I72" i="54"/>
  <c r="I71" i="54"/>
  <c r="I70" i="54"/>
  <c r="I69" i="54"/>
  <c r="I67" i="54" l="1"/>
  <c r="I65" i="54"/>
  <c r="I13" i="54" l="1"/>
  <c r="I43" i="54"/>
  <c r="I39" i="54"/>
  <c r="I61" i="54" l="1"/>
  <c r="I50" i="54"/>
  <c r="I49" i="54"/>
  <c r="I48" i="54"/>
  <c r="I47" i="54"/>
  <c r="I38" i="54"/>
  <c r="I35" i="54"/>
  <c r="I33" i="54"/>
  <c r="I11" i="54"/>
  <c r="I9" i="54"/>
  <c r="I8" i="54"/>
  <c r="I32" i="54"/>
  <c r="I31" i="54"/>
  <c r="I30" i="54"/>
  <c r="I29" i="54"/>
  <c r="I28" i="54"/>
  <c r="I27" i="54"/>
  <c r="E30" i="10" l="1"/>
  <c r="C30" i="10"/>
  <c r="E29" i="10"/>
  <c r="C29" i="10"/>
  <c r="E28" i="10"/>
  <c r="C28" i="10"/>
  <c r="E27" i="10"/>
  <c r="C27" i="10"/>
  <c r="E26" i="10"/>
  <c r="C26" i="10"/>
  <c r="E25" i="10"/>
  <c r="C25" i="10"/>
  <c r="E24" i="10"/>
  <c r="C24" i="10"/>
  <c r="C23" i="10"/>
  <c r="E25" i="16"/>
  <c r="C25" i="16"/>
  <c r="E24" i="16"/>
  <c r="C24" i="16"/>
  <c r="C23" i="16"/>
  <c r="E22" i="16"/>
  <c r="C22" i="16"/>
  <c r="C54" i="14"/>
  <c r="E53" i="14"/>
  <c r="C53" i="14"/>
  <c r="E52" i="14"/>
  <c r="C52" i="14"/>
  <c r="E51" i="14"/>
  <c r="C51" i="14"/>
  <c r="E50" i="14"/>
  <c r="C50" i="14"/>
  <c r="E49" i="14"/>
  <c r="C49" i="14"/>
  <c r="E48" i="14"/>
  <c r="C48" i="14"/>
  <c r="E47" i="14"/>
  <c r="C47" i="14"/>
  <c r="E46" i="14"/>
  <c r="C46" i="14"/>
  <c r="E45" i="14"/>
  <c r="C45" i="14"/>
  <c r="E44" i="14"/>
  <c r="C44" i="14"/>
  <c r="E43" i="14"/>
  <c r="C43" i="14"/>
  <c r="E42" i="14"/>
  <c r="C42" i="14"/>
  <c r="E41" i="14"/>
  <c r="C41" i="14"/>
  <c r="E40" i="14"/>
  <c r="C40" i="14"/>
  <c r="E39" i="14"/>
  <c r="C39" i="14"/>
  <c r="E38" i="14"/>
  <c r="C38" i="14"/>
  <c r="E37" i="14"/>
  <c r="C37" i="14"/>
  <c r="E36" i="14"/>
  <c r="C36" i="14"/>
  <c r="E35" i="14"/>
  <c r="C35" i="14"/>
  <c r="D34" i="14"/>
  <c r="C34" i="14"/>
  <c r="E32" i="14"/>
  <c r="C32" i="14"/>
  <c r="E31" i="14"/>
  <c r="C31" i="14"/>
  <c r="E30" i="14"/>
  <c r="C30" i="14"/>
  <c r="E29" i="14"/>
  <c r="C29" i="14"/>
  <c r="E28" i="14"/>
  <c r="C28" i="14"/>
  <c r="E34" i="15"/>
  <c r="C34" i="15"/>
  <c r="E33" i="15"/>
  <c r="C33" i="15"/>
  <c r="E32" i="15"/>
  <c r="C32" i="15"/>
  <c r="E31" i="15"/>
  <c r="C31" i="15"/>
  <c r="E30" i="15"/>
  <c r="C30" i="15"/>
  <c r="E29" i="15"/>
  <c r="C29" i="15"/>
  <c r="E28" i="15"/>
  <c r="C28" i="15"/>
  <c r="E27" i="15"/>
  <c r="C27" i="15"/>
  <c r="E26" i="15"/>
  <c r="C26" i="15"/>
  <c r="E25" i="15"/>
  <c r="C25" i="15"/>
  <c r="E24" i="15"/>
  <c r="C24" i="15"/>
  <c r="E23" i="15"/>
  <c r="C23" i="15"/>
  <c r="E54" i="14" l="1"/>
  <c r="E31" i="10"/>
</calcChain>
</file>

<file path=xl/sharedStrings.xml><?xml version="1.0" encoding="utf-8"?>
<sst xmlns="http://schemas.openxmlformats.org/spreadsheetml/2006/main" count="12038" uniqueCount="2213">
  <si>
    <t>List of Substantive procedures</t>
  </si>
  <si>
    <t>Sl No</t>
  </si>
  <si>
    <t>Descriprion of Substantive Procedure</t>
  </si>
  <si>
    <t>Assertion Addressed</t>
  </si>
  <si>
    <t>FA 1</t>
  </si>
  <si>
    <t>Ensure that the opening balance of Fixed assets have been correctly carried forward from the previous reporting period</t>
  </si>
  <si>
    <t>Valuation, Completeness</t>
  </si>
  <si>
    <t>FA 2</t>
  </si>
  <si>
    <t>Obtain a list of Fixed Asset additions during the period and compare the amounts booked in the ledger with the relevant supporting documents. Ensure that all additions during the year have been correctly booked in the respective ledger accounts.</t>
  </si>
  <si>
    <t>Valuation, Completeness, Rights and Obligations</t>
  </si>
  <si>
    <t>FA 3</t>
  </si>
  <si>
    <t>Obtain the records of the physical verification procedures carried out by the entity during the year. Alternatively, we may choose to visit a few locations on our own and physically verfiy the assets.</t>
  </si>
  <si>
    <t>Existence, Rights and Obligations</t>
  </si>
  <si>
    <t>FA 4</t>
  </si>
  <si>
    <t>Obtain a list of Asset Disposals during the year and ensure that the related amounts have been correctly removed from the Gross Block as well as Accumulated Depreciation</t>
  </si>
  <si>
    <t>FA 5</t>
  </si>
  <si>
    <t>Obtain the rates of Deprecation for each category of assets as per the Companies Act as well as the Income Tax act and compute the Depreciation Expense for the year as per Companies Act and income Tax Act.</t>
  </si>
  <si>
    <t>FA 6</t>
  </si>
  <si>
    <t>Review the Repairs and maintanence ledger to ensure that no asset which has to be capitalised has been wrongly expensed off</t>
  </si>
  <si>
    <t>Completeness</t>
  </si>
  <si>
    <t>FA 7</t>
  </si>
  <si>
    <t xml:space="preserve">During the current period, determine whether any of the following factors are present or whether there are other events or changes in circumstances that indicate the carrying amount of a long-lived asset that the entity expects to hold and use may not be recoverable:   
(1)  A significant decrease in the market price of a long-lived asset.
(2)  A significant adverse change in the extent or manner in which a long-lived asset is being used or in its physical condition.
(3)  A significant adverse change in legal factors or in the business climate that could affect the value of a long-lived asset, including an adverse action or assessment by a regulator.
(4)  An accumulation of costs significantly in excess of the amount originally expected for the acquisition or construction of a long-lived asset.
(5)  A current-period operating or cash flow loss combined with a history of operating or cash flow losses or a projection or forecast that demonstrates continuing losses associated with the use of a long-lived asset.
(6)  A current expectation that, more likely than not, a long-lived asset will be sold or otherwise disposed of significantly before the end of its previously estimated useful life.
</t>
  </si>
  <si>
    <t>Valuation and Allocation</t>
  </si>
  <si>
    <t>Account Balance</t>
  </si>
  <si>
    <t>Fixed Assets</t>
  </si>
  <si>
    <t>Valuation</t>
  </si>
  <si>
    <t>Existence</t>
  </si>
  <si>
    <t>Mapping of substantive procedures to Identified Risks and Relevant control activities</t>
  </si>
  <si>
    <t>Risks Identified</t>
  </si>
  <si>
    <t>Due to Fraud?</t>
  </si>
  <si>
    <t>Assertion</t>
  </si>
  <si>
    <t>Control Activity</t>
  </si>
  <si>
    <t>Planning to rely on Controls?</t>
  </si>
  <si>
    <t>Planned Substantive procedures</t>
  </si>
  <si>
    <t>Risk of understatement of fixed assets because assets acquired by the entity are not recorded.</t>
  </si>
  <si>
    <t>No</t>
  </si>
  <si>
    <t>1) Periodic counts of fixed assets are performed and reconciled to the fixed asset register / general ledger.</t>
  </si>
  <si>
    <t>Yes</t>
  </si>
  <si>
    <t>Risk of understatement of fixed assets because assets in use and still owned by the entity have been wrongly recorded as disposed.</t>
  </si>
  <si>
    <t>Risk of understatement of fixed assets because fixed assets purchased have been expensed and not capitalised.</t>
  </si>
  <si>
    <t>1) Periodic counts of fixed assets are performed and reconciled to the fixed asset register.
2) Management reviews and approves the journal voucher along with appropriate supporting documentation before recording asset related transactions in the fixed asset register / general ledger.</t>
  </si>
  <si>
    <t>FA 2, FA 6</t>
  </si>
  <si>
    <t>Risk of understatement of fixed assets because assets purchased prior to period end have not been recorded at or before the period end.</t>
  </si>
  <si>
    <t>Risk of understatement of fixed assets because depreciation has been recorded for fictitious assets and / or assets that have been disposed of.</t>
  </si>
  <si>
    <t>Completeness, Existence, Rights and obligations</t>
  </si>
  <si>
    <t>NO SPECIFIC CONTROL ACTIVITY DEFINED AS DEPRECIATION IS CALCULATED BY THE AUDITORS AT THE TIME OF THE AUDIT</t>
  </si>
  <si>
    <t>Risk of overstatement of fixed assets because repairs and maintenance expenses have been incorrectly capitalised as fixed assets.</t>
  </si>
  <si>
    <t>Existence, Rights and obligations</t>
  </si>
  <si>
    <t>FA 2, FA 3, FA 6</t>
  </si>
  <si>
    <t>Risk of overstatement of fixed assets because assets disposed of have not been recorded in the fixed asset register / general ledger.</t>
  </si>
  <si>
    <t>Risk of overstatement of fixed assets because assets purchased subsequent to period end have been incorrectly recorded before the period end.</t>
  </si>
  <si>
    <t>1) Management reviews and approves the journal voucher along with appropriate supporting documentation before recording asset related transactions in the fixed asset register / general ledger.</t>
  </si>
  <si>
    <t>Risk of overstatement of fixed assets because obsolete / damaged / unusable assets have not been written down to their recoverable value.</t>
  </si>
  <si>
    <t>Valuation and allocation</t>
  </si>
  <si>
    <t>Risk of misstatement of fixed assets because cost, depreciation expense and accumulated depreciation as per general ledger do not agree with the fixed asset register.</t>
  </si>
  <si>
    <t>Valuation and allocation, Existence, Completeness</t>
  </si>
  <si>
    <t>Risk of overstatement of fixed assets because impairment to assets have not been recorded.</t>
  </si>
  <si>
    <t>NO SPECIFIC CONTROL ACTIVITY DEFINED AS IMPAIREMENT TO ASSETS IS CALCULATED BY THE AUDITORS AT THE TIME OF THE AUDIT</t>
  </si>
  <si>
    <t>Risk of misstatement of fixed assets because the depreciation method and / or depreciation rate adopted are not in compliance with the Companies Act / Indian GAAP / Accounting Policy approved by the Management.</t>
  </si>
  <si>
    <t>Risk of misstatement of fixed assets because fixed asset register includes fictitious assets or assets which do not exist.</t>
  </si>
  <si>
    <t>Risk of misstatement of fixed assets because asset acquisitions and disposals have not been approved by the Management.</t>
  </si>
  <si>
    <t>Risk of misstatement of fixed assets because depreciation calculated by the application system is incorrect / invalid.</t>
  </si>
  <si>
    <t>WP Reference</t>
  </si>
  <si>
    <t>Inventory</t>
  </si>
  <si>
    <t>Inventory is understated because inventory on hand is not included in inventory records.</t>
  </si>
  <si>
    <t>1) Physical inventory is counted periodically at all locations. Inventory counts are reconciled to inventory records and inventory records are reconciled to the general ledger.</t>
  </si>
  <si>
    <t>Inventory is understated because inventory received from suppliers is not included in inventory records.</t>
  </si>
  <si>
    <t>INV 1</t>
  </si>
  <si>
    <t>Inventory is overstated because inventory records include inventory that has been sold to customers / consumed.</t>
  </si>
  <si>
    <t>Rights and obligations, Existence</t>
  </si>
  <si>
    <t>Inventory is overstated because inventory records include inventory which does not exist ((a)Purchases are recorded prior to actual receipt of the inventory (Eg. inventory recorded before period end, but are received after the period end); (b) Inventory that has been sold to customers is still included in inventory; (c) Goods returned to suppliers are not removed from inventory records).</t>
  </si>
  <si>
    <t>Inventory is overstated because inventory is old, obsolete, damaged, not usable or is saleable at amounts less than that at which it is recorded.</t>
  </si>
  <si>
    <t>1) The Entity has adequate procedures to identify damaged and obsolete stock items. Trained personnel are employed at the stores and it is ensured that the stock is adequately protected from damage due to natural events and pilferage.</t>
  </si>
  <si>
    <t>INV 1, INV 6</t>
  </si>
  <si>
    <t>Inventory is misstated because the prices used to value inventory and / or the valuation principles and methods used are incorrect.</t>
  </si>
  <si>
    <t>NO SPECIFIC CONTROL ACTIVITY DEFINED AS INVENTORY VALUATION IS DONE BY THE AUDITORS AT THE TIME OF THE AUDIT</t>
  </si>
  <si>
    <t>INV 6</t>
  </si>
  <si>
    <t>Inventory is misstated because adjustments for discrepancies noted during physical verification are not recorded correctly.</t>
  </si>
  <si>
    <t>Existence,Completeness</t>
  </si>
  <si>
    <t>INV 3, INV 6</t>
  </si>
  <si>
    <t>Inventory stated in the general ledger does not reconcile back to the inventory records and / or reconciliation contains invalid items resulting in inventory being misstated.</t>
  </si>
  <si>
    <t>Existence, Completeness, Valuation and allocation</t>
  </si>
  <si>
    <t>Inventory is understated because inventory returned by distributors / dealers are not recorded.</t>
  </si>
  <si>
    <t>INV 1, INV 3</t>
  </si>
  <si>
    <t>Manufactured Inventory is misstated because raw material cost is not allocated to finished goods and work-in-progress inventory on weighted average basis.</t>
  </si>
  <si>
    <t>Manufactured Inventory is misstated because labour cost and production overheads are not allocated to finished goods and work-in-progress on a reasonable basis.</t>
  </si>
  <si>
    <t>Manufactured Inventory is misstated because indirect overheads are not allocated to finished goods and work-in-progress on a reasonable basis.</t>
  </si>
  <si>
    <t>Traded goods inventory is misstated because purchase price used for valuation is not determined on weighted average basis.</t>
  </si>
  <si>
    <t>Traded goods inventory is misstated because other costs attributable to purchase of inventory are not allocated to closing stock on reasonable basis.</t>
  </si>
  <si>
    <t>Manufactured / Traded Goods Inventory is understated because certain costs have been omitted from inventory valuation.</t>
  </si>
  <si>
    <t>Raw Material Inventory is misstated because purchase price used for valuation is not determined on weighted average basis.</t>
  </si>
  <si>
    <t>Raw Material inventory is misstated because other costs attributable to purchase of inventory are not allocated to closing stock on reasonable basis.</t>
  </si>
  <si>
    <t>Stores, Spares and Consumables inventory is misstated because purchase price and other costs attributable to the purchase of inventory is not allocated to closing stock on reasonable basis.</t>
  </si>
  <si>
    <t>Identify significant locations of inventory including third party locations and perform test counts of stock on the balance sheet date</t>
  </si>
  <si>
    <t>Completeness, Existence</t>
  </si>
  <si>
    <t>INV 2</t>
  </si>
  <si>
    <t>Incase of inventories owned by the entity but located at third party premises, obtain confirmation from the third parties as to the stock in hand as on the balance sheet date.</t>
  </si>
  <si>
    <t>Rights and Obligations, Existence</t>
  </si>
  <si>
    <t>INV 3</t>
  </si>
  <si>
    <t>Trace the stock quantites as per physical verification workpapers to the closing stock quantities as per the books on a sample basis.</t>
  </si>
  <si>
    <t>INV 4</t>
  </si>
  <si>
    <r>
      <t xml:space="preserve">Obtain a list of last five shipping documents as on balance sheet date and first five shipping documents on the day suceeding the balance sheet date and ensure that the latter has been included in the inventory as on the balance sheet date while the former has not. </t>
    </r>
    <r>
      <rPr>
        <b/>
        <sz val="9.5"/>
        <color theme="1"/>
        <rFont val="Times New Roman"/>
        <family val="1"/>
      </rPr>
      <t>(Cutoff testing)</t>
    </r>
  </si>
  <si>
    <t>Valuation, allocation, Rights &amp; obligations</t>
  </si>
  <si>
    <t>INV 5</t>
  </si>
  <si>
    <r>
      <t xml:space="preserve">Obtain a list of last five goods receipt documents as on balance sheet date and first five goods receipt documents as on the day succeeding the balance sheet date and ensure that the former has been included in the inventory as on the balance sheet date while the latter has not. </t>
    </r>
    <r>
      <rPr>
        <b/>
        <sz val="9.5"/>
        <color theme="1"/>
        <rFont val="Times New Roman"/>
        <family val="1"/>
      </rPr>
      <t>(Cutoff testing)</t>
    </r>
  </si>
  <si>
    <t>Ensure that inventories are measured at lower of cost or NRV and that a recogonised cost formula as per AS 2 is used for pricing issues</t>
  </si>
  <si>
    <t>CASH 1</t>
  </si>
  <si>
    <t>CASH 2</t>
  </si>
  <si>
    <t>Existence, Completeness</t>
  </si>
  <si>
    <t>CASH 3</t>
  </si>
  <si>
    <t>Cash / Bank is overstated because non-existent cash / bank receipts have been recorded in the cash / bank book.</t>
  </si>
  <si>
    <t>1) Cash on hand is physically verified and agreed with cash book periodically by the management.
2) Bank reconciliation statements are prepared every month and are reviewed and approved by the management.
3) Confirmation of bank balances at the balance sheet date for all  accounts are obtained by the entity; the scanned copies of which are made available to the auditors.</t>
  </si>
  <si>
    <t xml:space="preserve">CASH 1, CASH 2, CASH 3, </t>
  </si>
  <si>
    <t>Cash / Bank is overstated because cash / bank receipts have been recorded for an amount higher than the actual cash / bank receipts.</t>
  </si>
  <si>
    <t>CASH 1, CASH 2, CASH 3</t>
  </si>
  <si>
    <t>Cash / Bank is overstated because cash / bank disbursements have not been recorded in the cash / bank book.</t>
  </si>
  <si>
    <t>Cash is overstated because cash on hand has been misappropriated / stolen.</t>
  </si>
  <si>
    <t>1) Cash on hand is physically verified and agreed with cash book periodically by the management.</t>
  </si>
  <si>
    <t>Bank is overstated because electronic fund transfers, bank charges and interest expenses are not recorded in the general ledger.</t>
  </si>
  <si>
    <t>1) Bank reconciliation statements are prepared every month and are reviewed and approved by the management.
2) Confirmation of bank balances at the balance sheet date for all  accounts are obtained by the entity; the scanned copies of which are made available to the auditors.</t>
  </si>
  <si>
    <t>CASH 2, CASH 3</t>
  </si>
  <si>
    <t>Bank is understated because all bank accounts have not been recorded in the general ledger.</t>
  </si>
  <si>
    <t>1) Bank Accounts are opened and closed with the approval of the Board of Directors.
2) Bank reconciliation statements are prepared every month and are reviewed and approved by the management.
3) Confirmation of bank balances at the balance sheet date for all  accounts are obtained by the entity; the scanned copies of which are made available to the auditors.</t>
  </si>
  <si>
    <t>Bank is understated because balance existing in the bank accounts have not been recorded by the entity.</t>
  </si>
  <si>
    <t>Fixed deposits with banks are overstated because the amounts recorded in the general ledger are non-existant or fictitious.</t>
  </si>
  <si>
    <t>1) Fixed deposits with banks are reconciled with the statement of accounts received from banks periodically and are reviewed and approved by the management.
2) Confirmation of bank balances at the balance sheet date for all  accounts are obtained by the entity; the scanned copies of which are made available to the auditors.</t>
  </si>
  <si>
    <t>Fixed deposits with banks are overstated because deposits redeemed are not recorded in the general ledger.</t>
  </si>
  <si>
    <t>Fixed deposits with banks are understated because deposits placed during the year are not recorded in the general ledger.</t>
  </si>
  <si>
    <t>Fixed deposits with banks are understated because deposits are renewed along with interest accrued upto the date of renewal and interest reinvested as deposit are not recorded in the general ledger as fixed deposit.</t>
  </si>
  <si>
    <t>REC 1</t>
  </si>
  <si>
    <t>Obtain the list of Debtors/ Debtors Trial Balance from the accounting package and agree the total with the balance as per general ledger. Obtain/Calculate the ageing of Debtors based on Invoice date.</t>
  </si>
  <si>
    <t>REC 2</t>
  </si>
  <si>
    <t>Prepare or have the entity prepare balance confirmation requests for amounts outstanding from debtors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</si>
  <si>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Completeness, Rights and Obligations</t>
  </si>
  <si>
    <t>REC 3</t>
  </si>
  <si>
    <t xml:space="preserve">Obtain / prepare a schedule of provision for doubtful debts showing beginning balance, provision for doubtful accounts, write offs, recoveries and ending balance. Test the summarisation of the schedule and agree the ending balance to the general ledger. </t>
  </si>
  <si>
    <t>REC 4</t>
  </si>
  <si>
    <t>Obtain supporting documents for bad debts written off to ensure that the write off has been approved by the appropriate authority.</t>
  </si>
  <si>
    <t>Existence and Valuation</t>
  </si>
  <si>
    <t>REC 5</t>
  </si>
  <si>
    <t>Reconcile the total balance as per the ageing report to the general ledger and develop and expectation of the amount to be booked as provision for doubtful debts based on the management policy. Compare the same witht the amount booked in the ledger and obtain explanations for the differences.</t>
  </si>
  <si>
    <t>Completeness and Valuation</t>
  </si>
  <si>
    <t>Accounts receivable is understated because receipts from customers is recorded more than once.</t>
  </si>
  <si>
    <t>Completeness,Rights and obligations</t>
  </si>
  <si>
    <t>1) Back account balances are reconciled with the bank statement everymonth and are reviewed and approved by the management</t>
  </si>
  <si>
    <t>CASH 2, REC 1, REC 2</t>
  </si>
  <si>
    <t>Accounts receivable is understated because recorded receipts from customers are invalid or fictitious.</t>
  </si>
  <si>
    <t>1) Back account balances are reconciled with the bank statement everymonth and are reviewed and approved by the management
2) Confirmation of bank balances at the balance sheet date for all  accounts are obtained by the entity; the scanned copies of which are made available to the auditors.</t>
  </si>
  <si>
    <t>Accounts receivable is understated because receipts from customers after the balance sheet date are recorded before the balance sheet date.</t>
  </si>
  <si>
    <t>Accounts receivable is overstated because receipts from customers are not recorded.</t>
  </si>
  <si>
    <t>Accounts receivable is overstated because of understatement of allowance for doubtful debts.</t>
  </si>
  <si>
    <t>1) Compliance with the debtors provision policy is monitored by the Audit Committee and exceptions are specifically approved by the Audit Committee.</t>
  </si>
  <si>
    <t>REC 3, REC 4, REC 5</t>
  </si>
  <si>
    <t>Accounts receivable is overstated because bad debts are not recorded.</t>
  </si>
  <si>
    <t>Existence, Valuation and allocation</t>
  </si>
  <si>
    <t>1) Senior Management approves the journal voucher to record bad debts written off with specific mention about the reasons for writing off the debtors as bad.</t>
  </si>
  <si>
    <t>Accounts receivable is understated because invoices issued to customer are not recorded in general ledger.</t>
  </si>
  <si>
    <t>1) Invoices are sequentially numbered by the application system and the sequence of invoices processed is accounted for</t>
  </si>
  <si>
    <t>SAL 2</t>
  </si>
  <si>
    <t>Accounts receivable is overstated because invoices issued and recorded do not relate to valid sales / shipments.</t>
  </si>
  <si>
    <t>1) Invoices are approved based on a comparison to the written customer order and approved shipping documents</t>
  </si>
  <si>
    <t>SAL 1</t>
  </si>
  <si>
    <t>Accounts receivable is misstated because sale price is not agreeing with the approved price list.</t>
  </si>
  <si>
    <t>Existence, Completeness, Rights and obligations</t>
  </si>
  <si>
    <t>1) Invoice terms and sale prices are based on approved sale terms and price list. Exceptions to standard pricing and discounts require specific management approval.</t>
  </si>
  <si>
    <t>SAL 5</t>
  </si>
  <si>
    <t>Accounts receivable is misstated because of errors in the calculation of sales value on the invoice.</t>
  </si>
  <si>
    <t>1) The sale value is calculated and invoice is generated automatically by the application system. Sale prices are obtained from a master file.
2) Access to the sales price master file is restricted to authorised personnel only.</t>
  </si>
  <si>
    <t>Accounts receivable is misstated because discounts from sale price shown on the invoice are not calculated in accordance with the approved discount rates.</t>
  </si>
  <si>
    <t>1) The discount value shown on the invoice is calculated and invoice is generated automatically by the application system.
2) Discount rates are obtained from a master file updated by the Marketing Department in Corporate Office.</t>
  </si>
  <si>
    <t>Accounts receivable is misstated because income has been recorded in the wrong period.</t>
  </si>
  <si>
    <t>Rights and obligations</t>
  </si>
  <si>
    <t>1) Goods shipped at, before, or after the end of the accounting period are scrutinised and / or reconciled to ensure complete and consistent recording in the appropriate period including raising and recording of related invoices.</t>
  </si>
  <si>
    <t>SAL 3</t>
  </si>
  <si>
    <t>Accounts receivable is misstated because credit notes issued and recorded do not relate to valid sales returns.</t>
  </si>
  <si>
    <t>Completeness, Rights and obligations</t>
  </si>
  <si>
    <t>1) Credit notes are approved based on a comparison to valid supporting documents, viz., original invoice raised to record the sales.</t>
  </si>
  <si>
    <t>SAL 6</t>
  </si>
  <si>
    <t>Accounts receivable is misstated because credit notes issued to the customer for sales returns are not recorded.</t>
  </si>
  <si>
    <t>1) Credit notes are sequentially numbered by the application system and sequence of credit notes issued are accounted for.</t>
  </si>
  <si>
    <t>Accounts receivable is misstated because credit notes issued have been recorded in the incorrect period.</t>
  </si>
  <si>
    <t>1) Goods returned at, before, or after the end of the accounting period are scrutinised and / or reconciled to ensure complete and consistent recording in the appropriate period including raising and recording of related credit notes.</t>
  </si>
  <si>
    <t>SAL 4</t>
  </si>
  <si>
    <t>Accounts receivable is misstated because the amount on credit notes issued to record sale returns is not agreeing with the original sale invoice.</t>
  </si>
  <si>
    <t>Accounts receivable is misstateed because invoices raised to the customers for services rendered are not recorded in the ledger.</t>
  </si>
  <si>
    <t>1) The "advance from customers" account is regularly reviewed to ensure that no revenue is pending to be booked for any service, the provision of which has been completed.</t>
  </si>
  <si>
    <t>SAL 7</t>
  </si>
  <si>
    <t>Accounts receivable is misstateed because revenue has been booked for services the provision of which has not been completed.</t>
  </si>
  <si>
    <t>1) The amounts received from customers in advance is booked in the "advance from customers account" first. It is later transferred to the respective revenue account when the provision of service is completed.</t>
  </si>
  <si>
    <t>SAL 8</t>
  </si>
  <si>
    <t>Cash &amp; Bank</t>
  </si>
  <si>
    <t>Sundry Debtors</t>
  </si>
  <si>
    <t>Review the trial balance to identify expense accounts which are likely to include prepayments (viz., insurance, annual maintenance charges, etc.)</t>
  </si>
  <si>
    <t>PRE 2</t>
  </si>
  <si>
    <t>Obtain the supporting documentation and independantly recalculate the amount to be booked as prepaid and the amount to be expensed off.</t>
  </si>
  <si>
    <t>Obtain individual reconciliations of the selected prepaid account balances to the general ledger and trace the significant reconciling items if any to the supporting documentation.</t>
  </si>
  <si>
    <t>Completeness,  Rights &amp; Obligations</t>
  </si>
  <si>
    <t>Check the subsequent settlement of the prepaid expenses (Loans &amp; advances given). Incase of advances given to staff, obtain confirmations from the employees for the amount of loan/advance outstanding.</t>
  </si>
  <si>
    <t>Obtain a breakup of the deposit accounts and test the validity of the account balance to the supporting documentations. If payments were not made in the current year, agree the opening balances to the previous year working papers.</t>
  </si>
  <si>
    <t>Prepaid expense is understated because prepaid is not recognised for payments in respect of which services have not been received.</t>
  </si>
  <si>
    <t>1) Management reviews and approves the journal voucher along with appropriate supporting documentation before recording the expense related transaction in the feneral ledger.
2) Based on the details as mentioned in the supporting documents, the acmount to be booked as prepaid and the amount to be expensed off is calculated by the management and appropriate entry is passed in the books of account</t>
  </si>
  <si>
    <t>PRE 1, PRE 2</t>
  </si>
  <si>
    <t>Prepaid expense is overstated because amounts included in prepaid expense relate to fictitious or unauthorised transction.</t>
  </si>
  <si>
    <t>PRE 2, PRE 3, PRE 4, PRE 5</t>
  </si>
  <si>
    <t>Prepaid expense is overstated because amounts included in prepaid expense represent payments for which services are already received.</t>
  </si>
  <si>
    <t>Prepaid expense is misstated because prepayments are recorded in the incorrect period.</t>
  </si>
  <si>
    <t>Prepaid expense is understated because prepayments have been incorrectly recorded as expense instead of being capitalised.</t>
  </si>
  <si>
    <t>Prepaid expense is misstated because of errors in calculation.</t>
  </si>
  <si>
    <t>Payables</t>
  </si>
  <si>
    <t>Risk Assessment and Audit Procedures</t>
  </si>
  <si>
    <t>Type of Risk</t>
  </si>
  <si>
    <t>Accounts payable is overstated because transactions recorded as accounts payable are non-existant or fictitious.</t>
  </si>
  <si>
    <t>Risk</t>
  </si>
  <si>
    <t>1) Goods and Services received are compared to order documents and invoices before approval by the management.
2) Invoices are approved by the management before recording as payable.
3) Management reviews and approves payments before processing.</t>
  </si>
  <si>
    <t>PAY 1, PAY 2</t>
  </si>
  <si>
    <t>Accounts payable is overstated because payments to creditors are not recorded.</t>
  </si>
  <si>
    <t>1) Bank reconciliation statements are prepared every month and are reviewed and approved by the management</t>
  </si>
  <si>
    <t>PAY 2, CASH 2, PAY 3</t>
  </si>
  <si>
    <t>Accounts payable is understated because transactions resulting in accounts payable are not recorded.</t>
  </si>
  <si>
    <t>1) Confirmations received from creditors are reconciled to the ledger balance at or before the balance sheet date.
2) Management reviews and approves payments before processing.</t>
  </si>
  <si>
    <t>PAY 2, PAY 3</t>
  </si>
  <si>
    <t>Accounts payable is understated because payments to creditors are incorrectly recorded prior to period-end.</t>
  </si>
  <si>
    <t>PAY 2, PAY 5, CASH 2</t>
  </si>
  <si>
    <t>Accounts payable is misstated because transactions resulting in accounts payable are recorded in the wrong period.</t>
  </si>
  <si>
    <t>Rights and obligations, Completeness</t>
  </si>
  <si>
    <t>PAY 2, PAY 3, PAY 5, CASH 2</t>
  </si>
  <si>
    <t>Accounts payable is misstated because payments to creditors are not recorded in the period in which payment is made.</t>
  </si>
  <si>
    <t>1) Bank reconciliation statements are prepared every month and are reviewed and approved by the management.
2) Confirmations received from creditors are reconciled to the ledger balance at or before the balance sheet date.</t>
  </si>
  <si>
    <t>Accounts payable is misstated because transactions resulting in accounts payable are recorded for incorrect amount.</t>
  </si>
  <si>
    <t>1) Goods and Services received are compared to order documents and invoices before approval by the management.</t>
  </si>
  <si>
    <t>Accounts payable is misstated because payments to creditors are recorded for incorrect amount.</t>
  </si>
  <si>
    <t>Accounts payable is misstated because the reconciliation between account payable sub-ledger and the general ledger contains invalid reconciling items.</t>
  </si>
  <si>
    <t>1) A reconciliation between accounts payable sub-ledger and general ledger prepared at month-ends, and reviewed and approved by the management.
2) The management identifies foreign accounts payable and restates the payable balance as on the balance sheet date.</t>
  </si>
  <si>
    <t>PAY 1, PAY 4</t>
  </si>
  <si>
    <t>Accounts payable is misstated because foreign accounts payable are not restated at year-end closing exchange rates.</t>
  </si>
  <si>
    <t>PAY 6</t>
  </si>
  <si>
    <t>PAY 1</t>
  </si>
  <si>
    <t>Obtain the list of Creditors/ Creditors Trial Balance from the accounting package and agree the total with the balance as per general ledger.</t>
  </si>
  <si>
    <t>PAY 2</t>
  </si>
  <si>
    <t>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</si>
  <si>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PAY 3</t>
  </si>
  <si>
    <t>Prepare a Collection-Remittance schedule for statutory dues and ensure that the statutory dues collected have been properly remitted within the due dates. Independantly recalculate the amount of statutory dues payable and compare the same with the amount booked in the ledger.</t>
  </si>
  <si>
    <t>Completeness, Rights and Obligations, Valuation</t>
  </si>
  <si>
    <t>PAY 4</t>
  </si>
  <si>
    <t>Obtain a breakup of the accrued expenses for the current period. Perform a retrospective review of significant accounting estimates related to accrued expenses and other liabilities of the prior year and consider the results of this retrospective review in evaluating the current-year estimates. If there exists a possible bias on the part of management in making accounting estimates, evaluate whether circumstances producing such a bias represent a risk of a material misstatement due to fraud.</t>
  </si>
  <si>
    <t xml:space="preserve">Existence, Rights and Obligations, </t>
  </si>
  <si>
    <t>PAY 5</t>
  </si>
  <si>
    <t xml:space="preserve">Obain sample disbursements to creditors from the subsequent bank statement. Trace the subsequent cash disbursement to supporting documentation (purchase order, vendor invoice, receiving report).Verify that if the selection relates to the current audit period,  the selection is properly recorded in accounts payable or other accrued account.
</t>
  </si>
  <si>
    <t>Ensure that the foreign accounts payable are appropriately restated as on the balance sheet date.</t>
  </si>
  <si>
    <t>Recorded debt is overstated because borrowings obtained subsequent to period end are incorrectly recorded before period end.</t>
  </si>
  <si>
    <t>1) Statements received from the lenders are reconciled to general ledger every month-end. Discrepancies are investigated and resolved in a timely manner</t>
  </si>
  <si>
    <t>LTD 1, LTD 2</t>
  </si>
  <si>
    <t>Recorded debt is overstated because repayments are not recorded.</t>
  </si>
  <si>
    <t>1) Statements received from the lenders are reconciled to general ledger every month-end. Discrepancies are investigated and resolved in a timely manner
2) Bank reconciliation statements are prepared every month and are reviewed and approved by the management.</t>
  </si>
  <si>
    <t>LTD 1, LTD 2, CASH 2, LTD 3, LTD 4</t>
  </si>
  <si>
    <t>Recorded debt is understated because borrowings obtained are not recorded in the general ledger.</t>
  </si>
  <si>
    <t>Recorded debt is understated because borrowings obtained prior to period end are not recorded until after the year end.</t>
  </si>
  <si>
    <t>Recorded debt is understated because repayment is recorded more than once or for an incorrect amount.</t>
  </si>
  <si>
    <t>Recorded long term debt is overstated because loan agreement covenants have been broken which makes the loan repayable on demand.</t>
  </si>
  <si>
    <t>NO SPECIFIC CONTROL ACTIVITY HAS BEEN DEFINED SINCE THE COMPLIANCE WITH THE LOAN AGREEMENT IS CHECKED BY THE AUDITOR AT THE TIME OF AUDIT</t>
  </si>
  <si>
    <t>LTD 5</t>
  </si>
  <si>
    <t>LTD 1</t>
  </si>
  <si>
    <t>Obtain statements from the lenders and ensure that all the borrowings taken have been accounted in the general ledger.</t>
  </si>
  <si>
    <t>LTD 2</t>
  </si>
  <si>
    <t>Obtain confirmation of account balances as on the balance sheet date from the lenders and agree the balances with the amount as per books.</t>
  </si>
  <si>
    <t>LTD 3</t>
  </si>
  <si>
    <t>Ensure that Tax has been deducted on all interest payments to the lenders</t>
  </si>
  <si>
    <t>Valuation &amp; Allocation</t>
  </si>
  <si>
    <t>LTD 4</t>
  </si>
  <si>
    <t>Calculate the amount of interest expense and ensure that there are no material deviations from the amount booked in the ledger.</t>
  </si>
  <si>
    <t>Check the loan agreements and ensure that the conditions mentioned in the same are complied with.</t>
  </si>
  <si>
    <t>Provisions, CA &amp; CL</t>
  </si>
  <si>
    <t>Risk of misstatement of accrual for gratuity liability at the balance sheet date because the salary, period of service, and other relevant data provided by the entity for actuarial valuation is incorrect.</t>
  </si>
  <si>
    <t>Existence, Rights and obligation, Completeness, Valuation and allocation</t>
  </si>
  <si>
    <t>NO SPECIFIC CONTROL ACTIVITY HAS BEEN DEFINED FOR THIS RISK SINCE THE ACCURACY OF THE DATA SUBMITTED TO THE ACTUARY IS VERIFIED BY THE AUDITOR AT THE TIME OF AUDIT. THE AUDITOR ALSO OBTAINS A LIST OF LEGAL CASES FILED AGAINST THE COMPANY FROM THE LEGAL DEPARTMENT.</t>
  </si>
  <si>
    <t>PROV 1, PROV 2, PROV 3</t>
  </si>
  <si>
    <t>Risk of misstatement of accrual for leave encashment liability at the balance sheet date because the leave, salary and other relevant data used by the entity for valuing short term liability and / or provided by the entity to the Actuary for actuarial valuation of long term liability are incorrect.</t>
  </si>
  <si>
    <t>Existence,Rights and obligation, Completeness, Valuation and allocation</t>
  </si>
  <si>
    <t>Risk of understatement of contingent liabilities because all contingent liabilities are not disclosed.</t>
  </si>
  <si>
    <t>Risk of overstatement of contingent liabilities because amounts disclosed as contingent liability do not exist.</t>
  </si>
  <si>
    <t>Occurrence, and Rights and obligations</t>
  </si>
  <si>
    <t>PROV 4</t>
  </si>
  <si>
    <t>Risk of misstatement of contingent liabilities because the information used to value the liabilities are incorrect.</t>
  </si>
  <si>
    <t>Accuracy and valuation</t>
  </si>
  <si>
    <t>PROV 1</t>
  </si>
  <si>
    <t>Obtain the the data submitted to the actuary and check the accuracy of the data by selecting a few samples and verifying their date of birth, date of joining, leave balance(applicable for leave encashment) and average salary. Also reconcile the total number of employees and the total salary(applicable for retirement benefits) as on the balance sheet date to the data submitted.</t>
  </si>
  <si>
    <t>PROV 2</t>
  </si>
  <si>
    <t>Test the assumptions used by the Actuary, viz., discount rate, rate of increase in compensation level and rate of return on plan assets, for bias and conclude whether the assumptions are fair and proper</t>
  </si>
  <si>
    <t>PROV 3</t>
  </si>
  <si>
    <t>Compare the opening balance of fair value of plan assets and the opening liability to the previous year's actuarial valuation report.</t>
  </si>
  <si>
    <t>Obtain a certified list of legal cases pending against the entity and in consultation with the entity, calculate the amount of contingent liability existing as on the balance sheet date.</t>
  </si>
  <si>
    <t>Equity</t>
  </si>
  <si>
    <t>Risk of understatement of equity because shares issued during the year are not recorded in the general ledger.</t>
  </si>
  <si>
    <t>NO SPECIFIC CONTROL ACTIVITY HAS BEEN DEFINED FOR THIS RISK</t>
  </si>
  <si>
    <t>EQ 1</t>
  </si>
  <si>
    <t>Risk of understatement of equity because mandatory transfer to reserves on declaration / payment of dividend is not recorded.</t>
  </si>
  <si>
    <t>Completeness, Valuation and allocation</t>
  </si>
  <si>
    <t>EQ 2</t>
  </si>
  <si>
    <t>Risk of overstatement of equity because dividend declared on share capital plus corporate dividend tax are not recorded in the general ledger.</t>
  </si>
  <si>
    <t>EQ 3</t>
  </si>
  <si>
    <t>Obtain a schedule of changes in all equity accounts and all transactions affecting equity during the year. Agree the beginning balances of the schedule of changes in equity to prior-year working papers and agree the ending balances to the general ledger. Trace significant reconciling items, if any, to supporting documents. Agree changes in authorized shares to minutes and documents filed with the Registrar of Companies. Agree number of shares and proceeds from issuance of new shares to cash receipts and supporting records.</t>
  </si>
  <si>
    <t>Review minutes of meetings of those charged with governance noting dividends declared or distributed. For dividends paid in cash, trace selection to appropriate supporting documents, including meeting minutes. For dividends declared but unpaid, trace to recording to appropriate liability accounts. Ascertain the amount to be transferred to general reserve under Companies (Transfer of Profits to Reserves) Rules; compare with recorded amounts, investigate and correct all differences.</t>
  </si>
  <si>
    <t>Ascertain the rate of dividend declared by the Board of Directors at their meeting to approve the annual audited financial statements; develop an expectation of the dividend payout and corporate dividend tax for the year; compare with recorded amounts, investigate and correct all differences</t>
  </si>
  <si>
    <t>Sales</t>
  </si>
  <si>
    <t>Risk of overstatement of revenue because invoices issued and recorded do not relate to valid sales / shipments.</t>
  </si>
  <si>
    <t>Significant risk</t>
  </si>
  <si>
    <t>Occurrence</t>
  </si>
  <si>
    <t>Risk of understatement of revenue because invoices issued to customer are not recorded.</t>
  </si>
  <si>
    <t>1) Invoices are sequentially numbered by the application system and the sequence of invoices processed is accounted for.</t>
  </si>
  <si>
    <t>Risk of misstatement of revenue because sale transactions have been recorded in the incorrect period.</t>
  </si>
  <si>
    <t>Cutoff</t>
  </si>
  <si>
    <t>Risk of misstatement of revenue because sale price is not agreeing with the approved price list.</t>
  </si>
  <si>
    <t>Occurrence, Accuracy</t>
  </si>
  <si>
    <t>1) Invoice terms and sale prices are based on approved sale terms and price list. Exceptions to standard pricing and discounts require specific management approval</t>
  </si>
  <si>
    <t>Risk of misstatement of revenue because of errors in the calculation of sales value on the invoice.</t>
  </si>
  <si>
    <t>Risk of misstatement of revenue because discounts from sale price shown on the invoice are not calculated in accordance with the approved discount rates.</t>
  </si>
  <si>
    <t>1) The discount value shown on the invoice is calculated based on the management approved discount rates.</t>
  </si>
  <si>
    <t>Risk of misstatement of revenue because credit notes issued and recorded do not relate to valid sales returns.</t>
  </si>
  <si>
    <t>Risk of misstatement of revenue because credit notes issued to the customer for sales returns are not recorded.</t>
  </si>
  <si>
    <t>Credit notes are sequentially numbered by the application system and sequence of credit notes issued are accounted for.</t>
  </si>
  <si>
    <t>Risk of misstatement of revenue because credit notes issued have been recorded in the incorrect period.</t>
  </si>
  <si>
    <t>Goods returned at, before, or after the end of the accounting period are scrutinised and / or reconciled to ensure complete and consistent recording in the appropriate period including raising and recording of related credit notes.</t>
  </si>
  <si>
    <t>Risk of mistatement of revenue because the amount on credit notes issued to record sale returns is not agreeing with the original sale invoice.</t>
  </si>
  <si>
    <t>Risk of understatement of service revenue because amounts received in advance for services to be provided are not transferred to revenue after completion of service.</t>
  </si>
  <si>
    <t>Risk of overstatement of service revenue because amounts received in advance for services to be provided are wrongly booked as revenue</t>
  </si>
  <si>
    <t>Risk of misstatement of service revenue because the the amounts billed are not as per the tarff rates or agreements wth the customers.</t>
  </si>
  <si>
    <t>Accuracy</t>
  </si>
  <si>
    <t>1) It is ensured at the time of billing that the amounts billed for services are as per the approved tariff rates and agreements. Any deviation from the approved rates (discounts etc) require approval of the senior management.</t>
  </si>
  <si>
    <t>Select samples of sales transactions recorded in the ledger and ensure the validity of the same by comparing with the relevant supporting documents available.</t>
  </si>
  <si>
    <t>Covered under vouching</t>
  </si>
  <si>
    <t>Ensure that all Sales Invoices and Credit notes are sequentially numbered by the application system.</t>
  </si>
  <si>
    <t>Obtain a list of last five shipping documents as on balance sheet date and first five shipping documents on the day suceeding the balance sheet date and ensure that the former has been accounted as sales while the latter has not. (Cutoff testing)</t>
  </si>
  <si>
    <t>Verify samples of dated acknowledgement from the customers on the credit note copies maintained by the entity accepting the credit notes for return of goods. Check the goods inward documents to confirm that the goods have moved in through the office gate before the close of balance sheet date.</t>
  </si>
  <si>
    <t>Verify, on a sample basis that the sale prices and discounts given are as per the approved price list and the discount rates approved by the management.</t>
  </si>
  <si>
    <t>Compare, on a sample basis, the credit notes issued to customers in respect of sales returns with the corresponding sales invoices to ensure their validity.</t>
  </si>
  <si>
    <t>Reveiew the advance from customers account and ensure that revenue has been booked for all services the provision of which has been completed.</t>
  </si>
  <si>
    <t>Obtain samples of service bills raised to customers (customer acknowledged copy if any) and ensure that the provision of services has ben completed and the amount of advance received has been correctly adjusted against the amount payable by the customer. Also ensure that billing is done as per the approved tariff rates.</t>
  </si>
  <si>
    <t>Cost of Goods Sold</t>
  </si>
  <si>
    <t>Risk of overstatement of purchase cost of traded finished goods because the purchases recorded in the general ledger are invalid.</t>
  </si>
  <si>
    <t>1) Purchases are recorded in the ledger only after comparison with the relecant supporting documents such as Purchase Order and Goods Receipt Notes.</t>
  </si>
  <si>
    <t>COGS 1</t>
  </si>
  <si>
    <t>Risk of understatement of purchase cost of traded finished goods because valid purchases have not been recorded in the general ledger.</t>
  </si>
  <si>
    <t>1) Balance confirmations obtained from the suppliers are reconciled to the general ledger</t>
  </si>
  <si>
    <t>COGS 2</t>
  </si>
  <si>
    <t>Risk of misstatement of purchase cost of traded finished goods because the purchases have been recorded in the general ledger for incorrect amount.</t>
  </si>
  <si>
    <t>Risk of misstatement of purchase cost of traded goods because the purchases have been recorded in the wrong period.</t>
  </si>
  <si>
    <t>1) Goods received at, before, or after the end of the accounting period are scrutinised and / or reconciled to ensure complete and consistent recording in the appropriate period.</t>
  </si>
  <si>
    <t>COGS 3</t>
  </si>
  <si>
    <t>Risk of overstatement of purchase cost of raw materials because the purchases recorded in the general ledger are invalid.</t>
  </si>
  <si>
    <t>Risk of understatement of purchase cost of raw materials because valid purchases have not been recorded in the general ledger.</t>
  </si>
  <si>
    <t>Risk of misstatement of purchase cost of raw materials because the purchases have been recorded in the general ledger for incorrect amount.</t>
  </si>
  <si>
    <t>Risk of misstatement of purchase cost of raw materials because the purchases have been recorded in the wrong period.</t>
  </si>
  <si>
    <t>Risk of misstatement of excise duty expense because production data and / or excise duty rate considered for filing monthly return with excise department is incorrect.</t>
  </si>
  <si>
    <t>Occurrence, Completeness</t>
  </si>
  <si>
    <t>COGS 4</t>
  </si>
  <si>
    <t>Select samples of purchase transactions recorded in the ledger and ensure the validity of the same by comparing with the relevant supporting documents available.</t>
  </si>
  <si>
    <t>Ensure dduring monthly audits that all purchases during the month have been properly accounted. An assurance regarding the same may also be obtained at the time of calculation of Input VAT.</t>
  </si>
  <si>
    <t>Obtain a list of last five goods receipt documents as on balance sheet date and first five goods receipt documents as on the day succeeding the balance sheet date and ensure that the former has been booked as purchases while the latter has not. (Cutoff testing)</t>
  </si>
  <si>
    <t>Calculate the amount of Excise duty applicable on manufactured goods and the Input VAT available on purchased goods and compare the same with the amount booked in the ledger.</t>
  </si>
  <si>
    <t>Completeness, Accuracy</t>
  </si>
  <si>
    <t>Expenses</t>
  </si>
  <si>
    <t>Accuracy, Completeness</t>
  </si>
  <si>
    <t>1) The payroll details are maintained in excel format by the HR department. The calclation is done based on the number of days worked for each month (Net of LOP) for each employee. Due care is taken to ensure that the correct amount of salary is processed for each employee every month.</t>
  </si>
  <si>
    <t>EMP 1</t>
  </si>
  <si>
    <t>Risk of misstatement of payroll expense due to recording of payroll cost in the wrong period.</t>
  </si>
  <si>
    <t>Risk of understatement of payroll cost because the withheld taxes and other deductions are not recorded (i.e., payroll cost is recorded for net payroll and not gross payroll).</t>
  </si>
  <si>
    <t>EMP 1, EMP 2, PAY 3</t>
  </si>
  <si>
    <t>Risk of misstatement of Provident Fund and ESI expense recorded because the statutory rate of contribution applied is incorrect or contribution has not been calculated for all employees due to processing errors.</t>
  </si>
  <si>
    <t>Risk of misstatement of leave salary expense and accrual because the leave, salary and other relevant data provided for actuarial valuation is incorrect.</t>
  </si>
  <si>
    <t>Occurrence, Completeness, Cutoff</t>
  </si>
  <si>
    <t>NO SPECIFIC CONTROL ACTIVITY HAS BEEN DEFINED FOR THIS RISK SINCE THE ACCURACY OF THE DATA SUBMITTED TO THE ACTUARY IS VERIFIED BY THE AUDITOR AT THE TIME OF AUDIT.</t>
  </si>
  <si>
    <t>Accuracy, Completeness, Cutoff</t>
  </si>
  <si>
    <t>EMP 2</t>
  </si>
  <si>
    <t>Independantly recalculate statutory deductions such as ESI, PF, EWF and compare with the amounts booked in the ledger. Ensure that there are no material differences.</t>
  </si>
  <si>
    <t>Risk of overstatement of discounts given to distributors / dealers because the transactions recorded in the general ledger are fictitious or unauthorised.</t>
  </si>
  <si>
    <t>Risk of understatement of discounts given to distributors / dealers because the transactions are not recorded in the general ledger.</t>
  </si>
  <si>
    <t>1) Statement of account / confirmation of balance is taken from major distributors / dealers atleast once every year and reconciled to the sub ledger. Identified errors are corrected promptly.</t>
  </si>
  <si>
    <t>SAL 5, EXP 1</t>
  </si>
  <si>
    <t>Risk of misstatement of discounts given to distributors / dealers because transactions are recorded for incorrect amount.</t>
  </si>
  <si>
    <t>Risk of misstatement of discounts given to distributors / dealers because transactions are recorded in the wrong period.</t>
  </si>
  <si>
    <t>Risk of overstatement of advertisement expenses because the transactions recorded in the general ledger are fictitious or unauthorised.</t>
  </si>
  <si>
    <t>1) Invoices and supporting documents are approved by the management before recording in the general ledger.</t>
  </si>
  <si>
    <t>EXP 1, EXP 2</t>
  </si>
  <si>
    <t>Risk of understatement of advertisement expenses because the transactions are not recorded in the general ledger.</t>
  </si>
  <si>
    <t>1) Statement of account / confirmation of balance is taken from major suppliers atleast once every year and reconciled to the sub ledger. Identified errors are corrected promptly.</t>
  </si>
  <si>
    <t>Risk of misstatement of advertisement expenses because transactions are recorded for incorrect amount.</t>
  </si>
  <si>
    <t>Risk of misstatement of advertisement expenses because transactions are recorded in the wrong period.</t>
  </si>
  <si>
    <t>Risk of overstatement of brand promotion expenses because the transactions recorded in the general ledger are fictitious or unauthorised.</t>
  </si>
  <si>
    <t>Risk of understatement of brand promotion expenses because the transactions are not recorded in the general ledger.</t>
  </si>
  <si>
    <t>Risk of misstatement of brand promotion expenses because transactions are recorded for incorrect amount.</t>
  </si>
  <si>
    <t>Risk of misstatement of brand promotion expenses because transactions are recorded in the wrong period.</t>
  </si>
  <si>
    <t>Risk of overstatement of finance expenses because the transactions recorded in the general ledger are fictitious or unauthorised.</t>
  </si>
  <si>
    <t>1) Payments are approved by the management before recording in the general ledger.</t>
  </si>
  <si>
    <t>LTD 4, EXP 2</t>
  </si>
  <si>
    <t>Risk of understatement of finance expenses because the transactions are not recorded in the general ledger.</t>
  </si>
  <si>
    <t>1) Statement of account / confirmation of balance is taken from banks &amp; financial institutions (lenders) atleast once every year and reconciled to the sub ledger. Identified errors are corrected promptly</t>
  </si>
  <si>
    <t>Risk of misstatement of finance expenses because transactions are recorded for incorrect amount.</t>
  </si>
  <si>
    <t>EXP 2</t>
  </si>
  <si>
    <t>Risk of misstatement of finance expenses because transactions are recorded in the wrong period.</t>
  </si>
  <si>
    <t>Risk of overstatement of depreciation expenses because the transactions recorded in the general ledger are fictitious or unauthorised.</t>
  </si>
  <si>
    <t>Risk of understatement of depreciation expenses because the transactions are not recorded in the general ledger.</t>
  </si>
  <si>
    <t>Risk of misstatement of depreciation expenses because transactions are recorded for incorrect amount.</t>
  </si>
  <si>
    <t>Risk of misstatement of depreciation expenses because transactions are recorded in the wrong period.</t>
  </si>
  <si>
    <t>Risk of overstatement of bad debts / provision for doubtful debts because the transactions recorded in the general ledger are fictitious or unauthorised.</t>
  </si>
  <si>
    <t>Risk of understatement of provision for doubtful debts because transactions are not recorded in the general ledger.</t>
  </si>
  <si>
    <t>Risk of overstatement of establishment, selling and finance expenses because the transactions recorded are fictitious or unauthorised.</t>
  </si>
  <si>
    <t>Risk of overstatement of establishment, selling and finance expenses because transactions which should have been capitalised as fixed assets are incorrectly recorded as expenses.</t>
  </si>
  <si>
    <t>Risk of understatement of establishment, selling and finance expenses because expense transactions are not recorded in the general ledger.</t>
  </si>
  <si>
    <t>Risk of understatement of establishment, selling and finance expenses because transactions which should not be capitalised are incorrectly recorded as fixed assets.</t>
  </si>
  <si>
    <t>Risk of misstatement of establishment, selling and finance expenses because transactions are recorded for incorrect amount.</t>
  </si>
  <si>
    <t>Accuarcy</t>
  </si>
  <si>
    <t>Risk of misstatement of establishment, selling and finance expenses because transactions are recorded in the wrong period.</t>
  </si>
  <si>
    <t>EXP 1</t>
  </si>
  <si>
    <t>Majority of the expenses are checked at the time of monthly audit and the amounts booked in the ledger as well as the period of booking are verified. It is ensured that all expenses pertaining to the respective period are booked in the ledger.</t>
  </si>
  <si>
    <t>Occurrence, Accuracy, Completeness, Cutoff</t>
  </si>
  <si>
    <t>All major cheque payments are verified on a weekly basis and it is ensured that the payments relate to valid expenses and that Tax is deducted as required.</t>
  </si>
  <si>
    <t>Give link to OB testing</t>
  </si>
  <si>
    <t>Description of Substantive procedures</t>
  </si>
  <si>
    <t>FA 2
FA 3</t>
  </si>
  <si>
    <t>FA 2
FA 3
FA 4</t>
  </si>
  <si>
    <t xml:space="preserve"> - Additions Testing
 - Physical Verification</t>
  </si>
  <si>
    <t xml:space="preserve"> - Additions Testing
 - Physical Verification
 - Asset Deletions</t>
  </si>
  <si>
    <t>FA 2
FA 6</t>
  </si>
  <si>
    <t xml:space="preserve"> - Physical Verification
 - Asset Deletions
 - Depreciation computation</t>
  </si>
  <si>
    <t>FA 3
FA 4
FA 5</t>
  </si>
  <si>
    <t xml:space="preserve"> - Asset Deletions</t>
  </si>
  <si>
    <t xml:space="preserve"> - Additions Testing
</t>
  </si>
  <si>
    <t xml:space="preserve"> - OB Testing
 - Additions Testing
 - Asset Deletions
 - Depreciation computation</t>
  </si>
  <si>
    <t>FA 1
FA 2
FA 4
FA 5</t>
  </si>
  <si>
    <t xml:space="preserve"> - Impairment Testing</t>
  </si>
  <si>
    <t>FA 1
FA 2
FA 3
FA 4</t>
  </si>
  <si>
    <t xml:space="preserve"> - OB Testing
 - Additions Testing
 - Physical Verification
 - Asset Deletions
</t>
  </si>
  <si>
    <t xml:space="preserve"> - Additions Testing
 - Physical Verification
 - Asset Deletions
</t>
  </si>
  <si>
    <t>FA 2
FA 3
FA 6</t>
  </si>
  <si>
    <t>INV 1
INV 2</t>
  </si>
  <si>
    <t xml:space="preserve"> - Physical verification</t>
  </si>
  <si>
    <t xml:space="preserve"> - Physical verification
 - Confirmations for 3rd party stock</t>
  </si>
  <si>
    <t xml:space="preserve"> - Physical verification
 - Valuation &amp; Cost-NRV comparison</t>
  </si>
  <si>
    <t xml:space="preserve"> - Valuation &amp; Cost-NRV comparison</t>
  </si>
  <si>
    <t xml:space="preserve"> - Passing physical stock entries
 - Valuation &amp; Cost-NRV comparison</t>
  </si>
  <si>
    <t>Not Applicable</t>
  </si>
  <si>
    <t>EQ 2. Not Applicable in this case</t>
  </si>
  <si>
    <t>EQ 3. Not Applicable in this case</t>
  </si>
  <si>
    <t>Give link to loan workings</t>
  </si>
  <si>
    <t>Give link to TDS workings</t>
  </si>
  <si>
    <t>Interest on Vehicle loans are accounted as per repayment schedule given by the bank. There are no material deviations between the amount booked and the interest expense</t>
  </si>
  <si>
    <t>Only subsequent testing has been done. Give link to creditors wworkings</t>
  </si>
  <si>
    <t>Give link to creditors working</t>
  </si>
  <si>
    <t>Give link to statutory workings</t>
  </si>
  <si>
    <t>Give link to Expenses payable working</t>
  </si>
  <si>
    <t>Give link to actuaria valuation workings</t>
  </si>
  <si>
    <t>Give link to contingent liability workings</t>
  </si>
  <si>
    <t>Loans</t>
  </si>
  <si>
    <t>WP Reference / Remarks</t>
  </si>
  <si>
    <t>Account Balances</t>
  </si>
  <si>
    <t>Click</t>
  </si>
  <si>
    <t>WP Reference/Remarks</t>
  </si>
  <si>
    <t>Particulars</t>
  </si>
  <si>
    <t>As at 
31 March 2017</t>
  </si>
  <si>
    <t>Total (a+b)</t>
  </si>
  <si>
    <t>Click. Refer sheet "Advance to staff"</t>
  </si>
  <si>
    <t>Click. Refer sheet "Other Advance"</t>
  </si>
  <si>
    <t>Click. Refer sheet "Duties and Taxes"</t>
  </si>
  <si>
    <t>Click. Refer sheet "Advance for Capital Expenditure"</t>
  </si>
  <si>
    <t>Click. Refer sheet "Credit balance"</t>
  </si>
  <si>
    <t>Loans &amp; Advances</t>
  </si>
  <si>
    <t>LA 1</t>
  </si>
  <si>
    <t>LA 2</t>
  </si>
  <si>
    <t>LA 3</t>
  </si>
  <si>
    <t>LA 4</t>
  </si>
  <si>
    <t>LA 5</t>
  </si>
  <si>
    <t>Physical Verification of Fixed assets done by management</t>
  </si>
  <si>
    <t>There are no Asset disposals during the period under audit</t>
  </si>
  <si>
    <r>
      <rPr>
        <b/>
        <sz val="10"/>
        <rFont val="Times New Roman"/>
        <family val="1"/>
      </rPr>
      <t xml:space="preserve">Refer </t>
    </r>
    <r>
      <rPr>
        <b/>
        <u/>
        <sz val="10"/>
        <color theme="10"/>
        <rFont val="Times New Roman"/>
        <family val="1"/>
      </rPr>
      <t>[FA Additions vouching]</t>
    </r>
  </si>
  <si>
    <r>
      <rPr>
        <b/>
        <sz val="10"/>
        <rFont val="Times New Roman"/>
        <family val="1"/>
      </rPr>
      <t xml:space="preserve">Refer </t>
    </r>
    <r>
      <rPr>
        <b/>
        <u/>
        <sz val="10"/>
        <color theme="10"/>
        <rFont val="Times New Roman"/>
        <family val="1"/>
      </rPr>
      <t>[Depreciation workings as per Companies Act]</t>
    </r>
  </si>
  <si>
    <r>
      <rPr>
        <b/>
        <sz val="10"/>
        <rFont val="Times New Roman"/>
        <family val="1"/>
      </rPr>
      <t xml:space="preserve">Refer </t>
    </r>
    <r>
      <rPr>
        <b/>
        <u/>
        <sz val="10"/>
        <color theme="10"/>
        <rFont val="Times New Roman"/>
        <family val="1"/>
      </rPr>
      <t>[Depreciation workings as per Income Tax Act]</t>
    </r>
  </si>
  <si>
    <r>
      <rPr>
        <b/>
        <sz val="10"/>
        <rFont val="Times New Roman"/>
        <family val="1"/>
      </rPr>
      <t xml:space="preserve">Refer </t>
    </r>
    <r>
      <rPr>
        <b/>
        <u/>
        <sz val="10"/>
        <color theme="10"/>
        <rFont val="Times New Roman"/>
        <family val="1"/>
      </rPr>
      <t>[Expense Vouching workings]</t>
    </r>
  </si>
  <si>
    <t>There are no factors indicating non recoverability of the carrying amount/impairment of an asset</t>
  </si>
  <si>
    <t xml:space="preserve"> - Additions Testing
 - Repairs &amp; Maint - vouching</t>
  </si>
  <si>
    <t xml:space="preserve"> - Additions Testing
 - Physical Verification
 - Repairs &amp; Maint - vouching</t>
  </si>
  <si>
    <t>Payroll</t>
  </si>
  <si>
    <t>Compare monthly payroll data maintained by the HR department with the amounts booked in the respective ledger accounts. Ensure that the net salary after LOP is booked as expense and statutory deductions are booked in the respective liability accounts</t>
  </si>
  <si>
    <t>Risk of misstatement of payroll expense due to recording of incorrect amount as payroll cost (i.e., due to updation of wrong salary cost in the payroll master file).</t>
  </si>
  <si>
    <t xml:space="preserve"> - Comparison of  HR data with books</t>
  </si>
  <si>
    <t xml:space="preserve"> - Comparison of  HR data with books
- Recalculation of PF/ESI/WF deductions
- Preparation of collection-remittance schedule</t>
  </si>
  <si>
    <r>
      <t xml:space="preserve">Refer </t>
    </r>
    <r>
      <rPr>
        <b/>
        <sz val="9.5"/>
        <color rgb="FF0000FF"/>
        <rFont val="Times New Roman"/>
        <family val="1"/>
      </rPr>
      <t>[Payroll workings]</t>
    </r>
  </si>
  <si>
    <r>
      <rPr>
        <b/>
        <u/>
        <sz val="10"/>
        <rFont val="Times New Roman"/>
        <family val="1"/>
      </rPr>
      <t xml:space="preserve">Refer </t>
    </r>
    <r>
      <rPr>
        <b/>
        <u/>
        <sz val="10"/>
        <color theme="10"/>
        <rFont val="Times New Roman"/>
        <family val="1"/>
      </rPr>
      <t>[Opening Balance Verification workings]</t>
    </r>
  </si>
  <si>
    <t>There are no shipping documents other than GST invoices for sales made till 31st March 2018 since e-way bill was not made mandatory for that period. Hence this test could not be performed.</t>
  </si>
  <si>
    <t>Test counts were performed on dates subsequent to the balance sheet date</t>
  </si>
  <si>
    <t>There are no inventories at third party locations</t>
  </si>
  <si>
    <r>
      <rPr>
        <b/>
        <sz val="10"/>
        <rFont val="Times New Roman"/>
        <family val="1"/>
      </rPr>
      <t xml:space="preserve">Refer </t>
    </r>
    <r>
      <rPr>
        <b/>
        <u/>
        <sz val="10"/>
        <color theme="10"/>
        <rFont val="Times New Roman"/>
        <family val="1"/>
      </rPr>
      <t>[Inventory valuation workings]</t>
    </r>
  </si>
  <si>
    <t xml:space="preserve"> - Physical verification
 - Passing physical stock entries</t>
  </si>
  <si>
    <t>Perform physical verification of Cash on Hand at the balance sheet date</t>
  </si>
  <si>
    <t>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</si>
  <si>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Obtain balance confirmations for all bank accounts maintained by the entity.</t>
  </si>
  <si>
    <t>Obtain reconciliation statements of the Fixed Deposit accounts as on the balance sheet date. Agree the balance as per genera ledger to the balance as per bank statement.</t>
  </si>
  <si>
    <r>
      <rPr>
        <b/>
        <sz val="10"/>
        <color theme="1"/>
        <rFont val="Times New Roman"/>
        <family val="1"/>
      </rPr>
      <t xml:space="preserve">Refer </t>
    </r>
    <r>
      <rPr>
        <b/>
        <u/>
        <sz val="10"/>
        <color theme="10"/>
        <rFont val="Times New Roman"/>
        <family val="1"/>
      </rPr>
      <t>[BRS Workings]</t>
    </r>
  </si>
  <si>
    <r>
      <rPr>
        <b/>
        <sz val="10"/>
        <color theme="1"/>
        <rFont val="Times New Roman"/>
        <family val="1"/>
      </rPr>
      <t xml:space="preserve">Refer </t>
    </r>
    <r>
      <rPr>
        <b/>
        <u/>
        <sz val="10"/>
        <color theme="10"/>
        <rFont val="Times New Roman"/>
        <family val="1"/>
      </rPr>
      <t>[Confirmation folder]</t>
    </r>
  </si>
  <si>
    <t>CASH 4</t>
  </si>
  <si>
    <t>CASH 3, CASH 4</t>
  </si>
  <si>
    <t xml:space="preserve"> - Physical cash verification
 - Bank reconciliation
 - Bank confirmation</t>
  </si>
  <si>
    <t xml:space="preserve"> - Physical cash verification</t>
  </si>
  <si>
    <t xml:space="preserve"> - Bank reconciliation
 - Bank confirmation</t>
  </si>
  <si>
    <t xml:space="preserve"> - Bank confirmation
 - Fixed deposit balances</t>
  </si>
  <si>
    <r>
      <rPr>
        <b/>
        <sz val="10"/>
        <rFont val="Times New Roman"/>
        <family val="1"/>
      </rPr>
      <t xml:space="preserve">Refer </t>
    </r>
    <r>
      <rPr>
        <b/>
        <u/>
        <sz val="10"/>
        <color theme="10"/>
        <rFont val="Times New Roman"/>
        <family val="1"/>
      </rPr>
      <t>[Fixed Deposits]</t>
    </r>
  </si>
  <si>
    <t>Dhathri Ayurkendra Private Limited</t>
  </si>
  <si>
    <t>Statutory Audit for the year ended 31.03.2018</t>
  </si>
  <si>
    <t>Audit objectives, Risk assessment and Responses to assessed risks</t>
  </si>
  <si>
    <t>Audit Objective</t>
  </si>
  <si>
    <t>Ensure all Fixed Assets acquired and used by the entity during the year are accounted</t>
  </si>
  <si>
    <t>Ensure that depreciation is computed at the appropriate rates on all applicable assets accounted in the books</t>
  </si>
  <si>
    <t>Ensure that only those expenses meeting capitalisation criteria are capitalised</t>
  </si>
  <si>
    <t>Ensure that asset deletions are correctly accounted</t>
  </si>
  <si>
    <t>Ensure all statutory deductions are appropriately computed and correctly recorded in the books of account</t>
  </si>
  <si>
    <t>Ensure all payroll related costs are accurately recorded and in the correct period</t>
  </si>
  <si>
    <t>Ensure that physical inventory quantities match with stock levels in books</t>
  </si>
  <si>
    <t>Ensure that Inventories are not stated above their recoverable amounts</t>
  </si>
  <si>
    <t>Receivables</t>
  </si>
  <si>
    <t>Ensure that all sales and sales return are correctly recorded and in the correct period</t>
  </si>
  <si>
    <t>Ensure that provision for doubtful debts is appropriately calculated</t>
  </si>
  <si>
    <t>Ensure that bad debts are written off only after obtaining approvals</t>
  </si>
  <si>
    <t>Reconcile the total balance as per the ageing report to the general ledger and develop and expectation of the amount to be booked as provision for doubtful debts based on the management policy. Compare the same with the amount booked in the ledger and obtain explanations for the differences.</t>
  </si>
  <si>
    <t>Ensure that statutory compliances related to dividend declaration are met</t>
  </si>
  <si>
    <t>Ensure that loan balances are not misstated</t>
  </si>
  <si>
    <t>Ensure that Interest expense is booked correctly on the outstanding amount and applicable TDS, if any is made</t>
  </si>
  <si>
    <t>Ensure that the outstanding balance of the loan is correctly classified as per disclosure requirements</t>
  </si>
  <si>
    <t>Recalculate the interest expense/compare the interest expense as per repayment schedule with the amounts booked</t>
  </si>
  <si>
    <t>Debt</t>
  </si>
  <si>
    <t>Ensure that all invoices from suppliers of goods and services are booked appropriately and in the correct period</t>
  </si>
  <si>
    <t>Ensure that all payments to suppliers are recorded and in the correct period</t>
  </si>
  <si>
    <t>Revenue</t>
  </si>
  <si>
    <t>Ensure that prepaid expenses are correctly calculated on the basis of the number of days they remain prepaid and on the basis of appropriate supporting documents</t>
  </si>
  <si>
    <t>Ensure that staff advances are not misstated on account of the same ending up as irrecoverable and still being carried in the books</t>
  </si>
  <si>
    <t>Ensure that the sales invoices and discounts are booked as per the approved price lists and discount lists</t>
  </si>
  <si>
    <t>Ensure that the credit notes are related to valid sales returns</t>
  </si>
  <si>
    <t>Operating Expenses</t>
  </si>
  <si>
    <t>Ensure that deposits are recorded only on the basis of appropriate supporting documents</t>
  </si>
  <si>
    <t>Perform expectation of administration, establishment expenses on the basis of external supporting documents available such as rent agreements, contracts for professional services etc and compare with amounts booked in ledger</t>
  </si>
  <si>
    <t>Ensure advertisement expenses are appropriately recorded</t>
  </si>
  <si>
    <t>Ensure finance expenses are appropriately recorded</t>
  </si>
  <si>
    <t>Ensure depreciation expenses are appropriately recorded</t>
  </si>
  <si>
    <t>Ensure bad debts expenses are appropriately recorded</t>
  </si>
  <si>
    <t>Govind P</t>
  </si>
  <si>
    <t>Grasion George</t>
  </si>
  <si>
    <t>Expected Man hours</t>
  </si>
  <si>
    <t>Category</t>
  </si>
  <si>
    <t>Required Resource</t>
  </si>
  <si>
    <t>Min</t>
  </si>
  <si>
    <t>Max</t>
  </si>
  <si>
    <t>Avg</t>
  </si>
  <si>
    <t>Rate</t>
  </si>
  <si>
    <t>Cost</t>
  </si>
  <si>
    <t>Classification</t>
  </si>
  <si>
    <t>Rights &amp; Obligations</t>
  </si>
  <si>
    <t>Allocation</t>
  </si>
  <si>
    <t>RSKFA1</t>
  </si>
  <si>
    <t>RSKFA2</t>
  </si>
  <si>
    <t>RSKFA3</t>
  </si>
  <si>
    <t>RSKFA4</t>
  </si>
  <si>
    <t>RSKFA5</t>
  </si>
  <si>
    <t>RSKFA6</t>
  </si>
  <si>
    <t>RSKFA7</t>
  </si>
  <si>
    <t>RSKCB1</t>
  </si>
  <si>
    <t>RSKCB2</t>
  </si>
  <si>
    <t>RSKCB3</t>
  </si>
  <si>
    <t>RSKCB4</t>
  </si>
  <si>
    <t>RSKCB5</t>
  </si>
  <si>
    <t>RSKCB6</t>
  </si>
  <si>
    <t>RSKPAY1</t>
  </si>
  <si>
    <t>RSKPAY2</t>
  </si>
  <si>
    <t>RSKPAY3</t>
  </si>
  <si>
    <t>RSKPAY4</t>
  </si>
  <si>
    <t>RSKPAY5</t>
  </si>
  <si>
    <t>RSKINV1</t>
  </si>
  <si>
    <t>RSKINV2</t>
  </si>
  <si>
    <t>RSKINV3</t>
  </si>
  <si>
    <t>RSKINV4</t>
  </si>
  <si>
    <t>RSKEQ1</t>
  </si>
  <si>
    <t>RSKEQ2</t>
  </si>
  <si>
    <t>RSKEQ3</t>
  </si>
  <si>
    <t>RSKDBT1</t>
  </si>
  <si>
    <t>RSKDBT3</t>
  </si>
  <si>
    <t>RSKDBT4</t>
  </si>
  <si>
    <t>RSKDBT5</t>
  </si>
  <si>
    <t>RSKDBT6</t>
  </si>
  <si>
    <t>Risk of overstatement of Inventory because inventory is old, obsolete, damaged, not usable or is saleable at amounts less than that at which it is recorded.</t>
  </si>
  <si>
    <t>Risk of understatement of Inventory because inventory on hand and inventory received from suppliers are not included in inventory records.</t>
  </si>
  <si>
    <t>Risk of overstatement of Inventory because inventory records include inventory that has been sold to customers / consumed.</t>
  </si>
  <si>
    <t>Risk of understatement of Accounts payable because transactions resulting in accounts payable are not recorded.</t>
  </si>
  <si>
    <t>Risk of overstatement of Accounts payable because transactions recorded as accounts payable are non-existant or fictitious.</t>
  </si>
  <si>
    <t>Accounts payable</t>
  </si>
  <si>
    <t>RSKCL1</t>
  </si>
  <si>
    <t>RSKCL2</t>
  </si>
  <si>
    <t>RSKCL3</t>
  </si>
  <si>
    <t>RSKCL4</t>
  </si>
  <si>
    <t>RSKCL5</t>
  </si>
  <si>
    <t>Loans &amp; advances</t>
  </si>
  <si>
    <t>RSKLA1</t>
  </si>
  <si>
    <t>RSKLA2</t>
  </si>
  <si>
    <t>RSKLA3</t>
  </si>
  <si>
    <t>RSKLA4</t>
  </si>
  <si>
    <t>RSKLA5</t>
  </si>
  <si>
    <t>RSKRE1</t>
  </si>
  <si>
    <t>RSKRE2</t>
  </si>
  <si>
    <t>RSKRE3</t>
  </si>
  <si>
    <t>RSKRE4</t>
  </si>
  <si>
    <t>RSKRE5</t>
  </si>
  <si>
    <t>RSKRE6</t>
  </si>
  <si>
    <t>RSKRE7</t>
  </si>
  <si>
    <t>RSKEXP1</t>
  </si>
  <si>
    <t>RSKEXP2</t>
  </si>
  <si>
    <t>RSKEXP3</t>
  </si>
  <si>
    <t>RSKEXP4</t>
  </si>
  <si>
    <t>RSKEXP5</t>
  </si>
  <si>
    <t>RSKEXP6</t>
  </si>
  <si>
    <t>Manufacturing</t>
  </si>
  <si>
    <t>Trading</t>
  </si>
  <si>
    <t>Service</t>
  </si>
  <si>
    <t>Works Contract</t>
  </si>
  <si>
    <t>a</t>
  </si>
  <si>
    <t>Risk of understatement of Bank because interest accrued in the bank accounts have not been recorded by the entity.</t>
  </si>
  <si>
    <t>r</t>
  </si>
  <si>
    <t>Periodic counts of fixed assets are performed and reconciled to the fixed asset register / general ledger.</t>
  </si>
  <si>
    <t>CAFA1</t>
  </si>
  <si>
    <t>CAFA3</t>
  </si>
  <si>
    <t>CAFA4</t>
  </si>
  <si>
    <t>Cash on hand is physically verified and agreed with cash book periodically by the management.</t>
  </si>
  <si>
    <t>Confirmation of bank balances at the balance sheet date for all  accounts are obtained by the entity; the scanned copies of which are made available to the auditors.</t>
  </si>
  <si>
    <t>CACB1</t>
  </si>
  <si>
    <t>CACB2</t>
  </si>
  <si>
    <t>CACB3</t>
  </si>
  <si>
    <t>CAPAY1</t>
  </si>
  <si>
    <t>CAINV1</t>
  </si>
  <si>
    <t>CAINV2</t>
  </si>
  <si>
    <t>Invoices are approved based on a comparison to the written customer order and approved shipping documents</t>
  </si>
  <si>
    <t>Credit notes are approved based on a comparison to valid supporting documents, viz., original invoice raised to record the sales.</t>
  </si>
  <si>
    <t>Since the entity does not have an in house Company Secretary, the secretarial works and ROC works are performed by another practising company secretary</t>
  </si>
  <si>
    <t>CAEQ1</t>
  </si>
  <si>
    <t>Statements received from the lenders are reconciled to general ledger every month-end. Discrepancies are investigated and resolved in a timely manner</t>
  </si>
  <si>
    <t>CADBT1</t>
  </si>
  <si>
    <t>Invoices are approved by the management before recording as payable.</t>
  </si>
  <si>
    <t>Goods and Services received are compared to order documents and invoices before approval by the management.</t>
  </si>
  <si>
    <t>Management reviews and approves payments before processing.</t>
  </si>
  <si>
    <t>CACL1</t>
  </si>
  <si>
    <t>CACL2</t>
  </si>
  <si>
    <t>CACL3</t>
  </si>
  <si>
    <t>CACL4</t>
  </si>
  <si>
    <t>Accounts Payable</t>
  </si>
  <si>
    <t>CALA1</t>
  </si>
  <si>
    <t>CALA2</t>
  </si>
  <si>
    <t>CALA3</t>
  </si>
  <si>
    <t>Invoices are sequentially numbered by the application system and the sequence of invoices processed is accounted for.</t>
  </si>
  <si>
    <t>Invoice terms and sale prices are based on approved sale terms and price list. Exceptions to standard pricing and discounts require specific management approval</t>
  </si>
  <si>
    <t>Access to the sales price master file is restricted to authorised personnel only.</t>
  </si>
  <si>
    <t>The sale value is calculated and invoice is generated automatically by the application system. Sale prices are obtained from a master file.</t>
  </si>
  <si>
    <t>CARE1</t>
  </si>
  <si>
    <t>CARE2</t>
  </si>
  <si>
    <t>CARE3</t>
  </si>
  <si>
    <t>CARE4</t>
  </si>
  <si>
    <t>CARE5</t>
  </si>
  <si>
    <t>CARE6</t>
  </si>
  <si>
    <t>CARE7</t>
  </si>
  <si>
    <t>CAEXP1</t>
  </si>
  <si>
    <t>Invoices and supporting documents are approved by the management before recording in the general ledger.</t>
  </si>
  <si>
    <t>CAFA5</t>
  </si>
  <si>
    <t>Bank statements are periodically obtained and bank reconciliation statements are prepared every month and are reviewed and approved by the management</t>
  </si>
  <si>
    <t>The payroll details are maintained in excel format by the HR department. The calculation is done based on the number of days worked for each month (Net of LOP) for each employee. The monthly payroll is reviewed and approved by the HR manager before the same is forwarded to the finance department for disbursment</t>
  </si>
  <si>
    <t>Periodic counts of inventory is performed and reconciled to the stock register / general ledger.</t>
  </si>
  <si>
    <t>CACB5</t>
  </si>
  <si>
    <t>Cash balance is kept under lock &amp; key so as to ensure there is no embezzlement or misappropriation</t>
  </si>
  <si>
    <t>CALA4</t>
  </si>
  <si>
    <t>CALA5</t>
  </si>
  <si>
    <t>The recoverability of loans &amp; advances is periodically assessed and in respect of doubtful accounts, write off/provisioning is done as is appropriate in the circumstances</t>
  </si>
  <si>
    <t>Ensure that the opening balance of Fixed assets have been correctly carried forward from previous reporting period</t>
  </si>
  <si>
    <t>SPFA1</t>
  </si>
  <si>
    <t>SPFA2</t>
  </si>
  <si>
    <t>SPFA3</t>
  </si>
  <si>
    <t>SPFA5</t>
  </si>
  <si>
    <t>SPFA6</t>
  </si>
  <si>
    <t>Perform test for impairment of fixed assets by evaluating the conditions for impairment as laid down in the applicable financial reporting framework</t>
  </si>
  <si>
    <t>SPFA7</t>
  </si>
  <si>
    <t>SPCB1</t>
  </si>
  <si>
    <t>SPCB2</t>
  </si>
  <si>
    <t>SPCB3</t>
  </si>
  <si>
    <t>SPCB4</t>
  </si>
  <si>
    <t>SPPAY1</t>
  </si>
  <si>
    <t>SPPAY2</t>
  </si>
  <si>
    <t>SPINV1</t>
  </si>
  <si>
    <t>SPINV2</t>
  </si>
  <si>
    <t>SPINV3</t>
  </si>
  <si>
    <t>SPEQ1</t>
  </si>
  <si>
    <t>SPEQ2</t>
  </si>
  <si>
    <t>SPEQ3</t>
  </si>
  <si>
    <t>SPDBT1</t>
  </si>
  <si>
    <t>SPDBT2</t>
  </si>
  <si>
    <t>SPDBT5</t>
  </si>
  <si>
    <t>SPCL1</t>
  </si>
  <si>
    <t>SPCL2</t>
  </si>
  <si>
    <t>SPCL3</t>
  </si>
  <si>
    <t>SPCL4</t>
  </si>
  <si>
    <t>SPLA1</t>
  </si>
  <si>
    <t>SPLA2</t>
  </si>
  <si>
    <t>SPLA3</t>
  </si>
  <si>
    <t>SPLA4</t>
  </si>
  <si>
    <t>SPLA5</t>
  </si>
  <si>
    <t>SPRE1</t>
  </si>
  <si>
    <t>SPRE2</t>
  </si>
  <si>
    <t>SPRE3</t>
  </si>
  <si>
    <t>SPRE4</t>
  </si>
  <si>
    <t>Operating expenses</t>
  </si>
  <si>
    <t>SPEXP2</t>
  </si>
  <si>
    <t>SPEXP1</t>
  </si>
  <si>
    <t>SPRE6</t>
  </si>
  <si>
    <t>SPCB5</t>
  </si>
  <si>
    <t>If physical verification of cash cannot be conducted at the balance sheet date, perform surprise verifcation of cash during the course of field audit work and obtain confirmation from the management with respect to cash balance as on the balance sheet date</t>
  </si>
  <si>
    <t>SPPAY3</t>
  </si>
  <si>
    <t>SPPAY4</t>
  </si>
  <si>
    <t>Check the wages/salary payable balance as at the balance sheet date and obtain employeewise, monthwise breakup of the same to identify if there are any long outstanding balances that are no longer payable</t>
  </si>
  <si>
    <t>Check the amount of interest expense as per the statements and ensure that there are no material deviations from the amount booked in the ledger.</t>
  </si>
  <si>
    <t>SPDBT6</t>
  </si>
  <si>
    <t>Wherever applicable, calculate and identify the portion of loan liability to be recogonised as current and as non-current</t>
  </si>
  <si>
    <t>SPFA1 - Ensure that the opening balance of Fixed assets have been correctly carried forward from previous reporting period</t>
  </si>
  <si>
    <t>RSKFA1 - Risk of understatement of fixed assets because assets acquired by the entity are not recorded.</t>
  </si>
  <si>
    <t>RSKFA2 - Risk of understatement of fixed assets because assets in use and still owned by the entity have been wrongly recorded as disposed.</t>
  </si>
  <si>
    <t>RSKFA3 - Risk of understatement of fixed assets because fixed assets purchased have been expensed and not capitalised.</t>
  </si>
  <si>
    <t>RSKFA4 - Risk of overstatement of fixed assets because assets purchased subsequent to period end have been incorrectly recorded before the period end.</t>
  </si>
  <si>
    <t>RSKFA5 - Risk of misstatement of fixed assets because fixed asset register includes fictitious assets or assets which do not exist.</t>
  </si>
  <si>
    <t>RSKFA6 - Risk of overstatement of fixed assets because repairs and maintenance expenses have been incorrectly capitalised as fixed assets.</t>
  </si>
  <si>
    <t>RSKFA7 - Risk of overstatement of fixed assets because assets disposed of have not been recorded in the fixed asset register / general ledger.</t>
  </si>
  <si>
    <t>RSKFA8 - Risk of misstatement of fixed assets because asset acquisitions and disposals have not been approved by the Management.</t>
  </si>
  <si>
    <t>RSKFA9 - Risk of overstatement of fixed assets because obsolete / damaged / unusable assets have not been written down to their recoverable value.</t>
  </si>
  <si>
    <t>RSKFA10 - Risk of overstatement of fixed assets because impairment to assets have not been recorded.</t>
  </si>
  <si>
    <t>RSKFA11 - Risk of understatement of fixed assets because depreciation has been recorded for fictitious assets and / or assets that have been disposed of.</t>
  </si>
  <si>
    <t>RSKFA12 - Risk of misstatement of fixed assets because cost, depreciation expense and accumulated depreciation as per general ledger do not agree with the fixed asset register.</t>
  </si>
  <si>
    <t>RSKFA13 - Risk of misstatement of fixed assets because the depreciation method and / or depreciation rate adopted are not in compliance with the Companies Act / Indian GAAP / Accounting Policy approved by the Management.</t>
  </si>
  <si>
    <t>RSKFA14 - Risk of misstatement of fixed assets because depreciation calculated by the application system is incorrect / invalid.</t>
  </si>
  <si>
    <t>RSKCB1 - Risk of overstatement of Cash / Bank because non-existent cash / bank receipts have been recorded in the cash / bank book.</t>
  </si>
  <si>
    <t>RSKCB2 - Risk of overstatement of Cash / Bank because cash / bank receipts have been recorded for an amount higher than the actual cash / bank receipts.</t>
  </si>
  <si>
    <t>RSKCB3 - Risk of overstatement of Cash / Bank because cash / bank disbursements have not been recorded in the cash / bank book.</t>
  </si>
  <si>
    <t>RSKCB5 - Risk of overstatement of Bank because electronic fund transfers, bank charges and interest expenses are not recorded in the general ledger.</t>
  </si>
  <si>
    <t>RSKCB6 - Risk of understatement of Bank because interest accrued in the bank accounts have not been recorded by the entity.</t>
  </si>
  <si>
    <t>RSKCB7 - Risk of understatement of Bank because all bank accounts have not been recorded in the general ledger.</t>
  </si>
  <si>
    <t>RSKPAY1 - Risk of misstatement of payroll expense due to recording of incorrect amount as payroll cost (i.e., due to updation of wrong salary cost in the payroll master file).</t>
  </si>
  <si>
    <t>RSKPAY2 - Risk of misstatement of payroll expense due to recording of payroll cost in the wrong period.</t>
  </si>
  <si>
    <t>RSKPAY3 - Risk of understatement of payroll cost because the withheld taxes and other deductions are not recorded (i.e., payroll cost is recorded for net payroll and not gross payroll).</t>
  </si>
  <si>
    <t>RSKPAY4 - Risk of misstatement of Provident Fund and ESI expense recorded because the statutory rate of contribution applied is incorrect or contribution has not been calculated for all employees due to processing errors.</t>
  </si>
  <si>
    <t>RSKPAY5 - Risk of misstatement of leave salary expense and accrual because the leave, salary and other relevant data provided for actuarial valuation is incorrect.</t>
  </si>
  <si>
    <t>RSKINV1 - Risk of understatement of Inventory because inventory on hand and inventory received from suppliers are not included in inventory records.</t>
  </si>
  <si>
    <t>RSKINV2 - Risk of overstatement of Inventory because inventory records include inventory that has been sold to customers / consumed.</t>
  </si>
  <si>
    <t>RSKINV3 - Risk of overstatement of Inventory because inventory records include inventory which does not exist ((a)Purchases are recorded prior to actual receipt of the inventory (Eg. inventory recorded before period end, but are received after the period end); (b) Inventory that has been sold to customers is still included in inventory; (c) Goods returned to suppliers are not removed from inventory records).</t>
  </si>
  <si>
    <t>RSKEQ1 - Risk of understatement of equity because shares issued during the year are not recorded in the general ledger.</t>
  </si>
  <si>
    <t>RSKEQ2 - Risk of understatement of equity because mandatory transfer to reserves on declaration / payment of dividend is not recorded.</t>
  </si>
  <si>
    <t>RSKEQ3 - Risk of overstatement of equity because dividend declared on share capital plus corporate dividend tax are not recorded in the general ledger.</t>
  </si>
  <si>
    <t>RSKDBT1 - Risk of overstatement of Recorded debt because repayments are not recorded.</t>
  </si>
  <si>
    <t>RSKDBT2 - Risk of understatement of Recorded debt because borrowings obtained are not recorded in the general ledger.</t>
  </si>
  <si>
    <t>RSKDBT3 - Risk of understatement of Recorded debt because repayment is recorded more than once or for an incorrect amount.</t>
  </si>
  <si>
    <t>RSKDBT4 - Risk of misstatement of loan balance due to non recording/incorrect recording of interest expense</t>
  </si>
  <si>
    <t>RSKDBT5 - Risk of violation of statutory provisions of Tax Deduction at source since TDS is not done on interest payments to NBFCs</t>
  </si>
  <si>
    <t>RSKDBT6 - Risk of erroneous classification of loan outstanding balance in the balance sheet</t>
  </si>
  <si>
    <t>RSKCL1 - Risk of overstatement of Accounts payable because transactions recorded as accounts payable are non-existant or fictitious.</t>
  </si>
  <si>
    <t>RSKCL2 - Risk of understatement of Accounts payable because transactions resulting in accounts payable are not recorded.</t>
  </si>
  <si>
    <t>RSKCL3 - Risk of misstatement of Accounts payable because transactions resulting in accounts payable are recorded for incorrect amount.</t>
  </si>
  <si>
    <t>RSKCL4 - Risk of overstatement of Accounts payable because payments to creditors are not recorded.</t>
  </si>
  <si>
    <t>RSKCL5 - Risk of misstatement of Accounts payable because payments to creditors are recorded for incorrect amount.</t>
  </si>
  <si>
    <t>RSKCL6 - Risk of misstatement of Accounts payable because the reconciliation between account payable sub-ledger and the general ledger contains invalid reconciling items.</t>
  </si>
  <si>
    <t>RSKLA1 - Risk of understatement of Prepaid expense because prepaid is not recognised for payments in respect of which services have not been received.</t>
  </si>
  <si>
    <t>RSKLA2 - Risk of overstatement of Prepaid expense because amounts included in prepaid expense relate to fictitious or unauthorised transction.</t>
  </si>
  <si>
    <t>RSKLA3 - Risk of overstatement of Prepaid expense because amounts included in prepaid expense represent payments for which services are already received.</t>
  </si>
  <si>
    <t>RSKLA4 - Risk of misstatement of Prepaid expense because prepayments are recorded in the incorrect period.</t>
  </si>
  <si>
    <t>RSKLA6 - Risk of misstatement of Prepaid expense because of errors in calculation.</t>
  </si>
  <si>
    <t>RSKLA8 - Risk of misstatement of Deposits because the the recorded deposits are fictitious or without proper supportings</t>
  </si>
  <si>
    <t>RSKRE1 - Risk of overstatement of revenue because invoices issued and recorded do not relate to valid sales / shipments.</t>
  </si>
  <si>
    <t>RSKRE2 - Risk of understatement of revenue because invoices issued to customer are not recorded.</t>
  </si>
  <si>
    <t>RSKRE3 - Risk of misstatement of revenue because sale price is not agreeing with the approved price list.</t>
  </si>
  <si>
    <t>RSKRE4 - Risk of misstatement of revenue because of errors in the calculation of sales value on the invoice.</t>
  </si>
  <si>
    <t>RSKRE5 - Risk of misstatement of revenue because discounts from sale price shown on the invoice are not calculated in accordance with the approved discount rates.</t>
  </si>
  <si>
    <t>RSKRE6 - Risk of misstatement of revenue because credit notes issued and recorded do not relate to valid sales returns.</t>
  </si>
  <si>
    <t>RSKEXP1 - Risk of overstatement of discounts given to distributors / dealers because the transactions recorded in the general ledger are fictitious or unauthorised.</t>
  </si>
  <si>
    <t>RSKEXP2 - Risk of mistatement of advertisement expenses because the transactions recorded in the general ledger are fictitious or unauthorised or the same are not recorded at all</t>
  </si>
  <si>
    <t>RSKEXP3 - Risk of mistatement of finance expenses because the transactions recorded in the general ledger are fictitious or unauthorised or the same are not recorded at all</t>
  </si>
  <si>
    <t>RSKEXP4 - Risk of mistatement of depreciation expenses because the transactions recorded in the general ledger are fictitious or unauthorised or the same are not recorded at all</t>
  </si>
  <si>
    <t>RSKEXP5 - Risk of mistatement of Bad debts expenses because the transactions recorded in the general ledger are fictitious or unauthorised or the same are not recorded at all</t>
  </si>
  <si>
    <t>RSKEXP6 - Risk of mistatement of Administration, establishment expenses because the transactions recorded in the general ledger are fictitious or unauthorised or the same are not recorded at all</t>
  </si>
  <si>
    <t>CAFA1 - Periodic counts of fixed assets are performed and reconciled to the fixed asset register / general ledger.</t>
  </si>
  <si>
    <t>CAFA2 - Management reviews and approves the journal voucher along with appropriate supporting documentation before recording asset related transactions in the fixed asset register / general ledger.</t>
  </si>
  <si>
    <t>CAFA3 - Impaired assets are identified during the periodic counts and appropriate treatment is taken</t>
  </si>
  <si>
    <t>CAFA4 - Depreciation is not calculated automatically by the system and the same is computed at the end of the period on the assets held by the company as on the balance sheet date at the applicable rates based on which entries are made in the general ledger</t>
  </si>
  <si>
    <t>CAFA5 - Fixed assets are physically number-tagged and such tags are linked to the Fixed Asset Register so as to identify any fictitious fixed assets</t>
  </si>
  <si>
    <t>CACB1 - Cash on hand is physically verified and agreed with cash book periodically by the management.</t>
  </si>
  <si>
    <t>CACB2 - Bank statements are periodically obtained and bank reconciliation statements are prepared every month and are reviewed and approved by the management</t>
  </si>
  <si>
    <t>CACB3 - Confirmation of bank balances at the balance sheet date for all  accounts are obtained by the entity; the scanned copies of which are made available to the auditors.</t>
  </si>
  <si>
    <t>CACB4 - Bank Accounts are opened and closed with the approval of the Board of Directors.</t>
  </si>
  <si>
    <t>CACB5 - Cash balance is kept under lock &amp; key so as to ensure there is no embezzlement or misappropriation</t>
  </si>
  <si>
    <t>CAPAY1 - The payroll details are maintained in excel format by the HR department. The calculation is done based on the number of days worked for each month (Net of LOP) for each employee. The monthly payroll is reviewed and approved by the HR manager before the same is forwarded to the finance department for disbursment</t>
  </si>
  <si>
    <t>CAINV1 - Periodic counts of inventory is performed and reconciled to the stock register / general ledger.</t>
  </si>
  <si>
    <t>CAINV2 - Overheads having a bearing on the cost of inventory are appropriately classified so in the accounting software so that the inventory values are automatically affected</t>
  </si>
  <si>
    <t>CAINV3 - Inventory kept in godowns are appropriately safeguarded with adequate security so as to ensure there is no pilferage or misappropriation</t>
  </si>
  <si>
    <t>CAINV4 - Experts are engaged to correctly measure and certify the percentage of completion of WIP in relation to works contract so as to ensure that the revenue measurement is not arbitrarily done</t>
  </si>
  <si>
    <t>CAEQ1 - Since the entity does not have an in house Company Secretary, the secretarial works and ROC works are performed by another practising company secretary</t>
  </si>
  <si>
    <t>CADBT1 - Statements received from the lenders are reconciled to general ledger every month-end. Discrepancies are investigated and resolved in a timely manner</t>
  </si>
  <si>
    <t>CACL1 - Goods and Services received are compared to order documents and invoices before approval by the management.</t>
  </si>
  <si>
    <t>CACL2 - Invoices are approved by the management before recording as payable.</t>
  </si>
  <si>
    <t>CACL3 - Management reviews and approves payments before processing.</t>
  </si>
  <si>
    <t>CACL4 - A reconciliation between accounts payable sub-ledger and general ledger prepared at month-ends, and reviewed and approved by the management.</t>
  </si>
  <si>
    <t>CALA2 - Based on the details as mentioned in the supporting documents, the acmount to be booked as prepaid and the amount to be expensed off is calculated by the management and appropriate entry is passed in the books of account</t>
  </si>
  <si>
    <t>CALA3 - The staff advances files are maintained by the HR department which is further cross checked by the accounts department at the time of processing payroll. In the case of employees who leave the organisation, the final settlement is done after adjusting with anny balance left in staff advance account</t>
  </si>
  <si>
    <t>CALA4 - Advances/loans to staff are made as per the entity's policy for staff advances and loans after taking appropriate approvals and receipts are obtained from the staff where they acknowledge the receipt of the loan/advance</t>
  </si>
  <si>
    <t>CALA5 - The recoverability of loans &amp; advances is periodically assessed and in respect of doubtful accounts, write off/provisioning is done as is appropriate in the circumstances</t>
  </si>
  <si>
    <t>CARE1 - Invoices are approved based on a comparison to the written customer order and approved shipping documents</t>
  </si>
  <si>
    <t>CARE2 - Invoices are sequentially numbered by the application system and the sequence of invoices processed is accounted for.</t>
  </si>
  <si>
    <t>CARE3 - Invoice terms and sale prices are based on approved sale terms and price list. Exceptions to standard pricing and discounts require specific management approval</t>
  </si>
  <si>
    <t>CARE4 - The sale value is calculated and invoice is generated automatically by the application system. Sale prices are obtained from a master file.</t>
  </si>
  <si>
    <t>CARE5 - Access to the sales price master file is restricted to authorised personnel only.</t>
  </si>
  <si>
    <t>CARE6 - The discount value shown on the invoice is calculated based on the management approved discount rates.</t>
  </si>
  <si>
    <t>CARE7 - Credit notes are approved based on a comparison to valid supporting documents, viz., original invoice raised to record the sales.</t>
  </si>
  <si>
    <t>CARE8 - The "advance from customers" account is regularly reviewed to ensure that no revenue is pending to be booked for any service, the provision of which has been completed.</t>
  </si>
  <si>
    <t>SPFA2 - Obtain a list of Fixed Asset additions during the period and compare the amounts booked in the ledger with the relevant supporting documents. Ensure that all additions during the year have been correctly booked in the respective ledger accounts.</t>
  </si>
  <si>
    <t>SPFA3 - Obtain the records of the physical verification procedures carried out by the entity during the year. Alternatively, we may choose to visit a few locations on our own and physically verfiy the assets.</t>
  </si>
  <si>
    <t>SPFA4 - Obtain a list of Asset Disposals during the year and ensure that the related amounts have been correctly removed from the Gross Block as well as Accumulated Depreciation</t>
  </si>
  <si>
    <t>SPFA5 - Obtain the rates of Deprecation for each category of assets as per the Companies Act as well as the Income Tax act and compute the Depreciation Expense for the year as per Companies Act and income Tax Act.</t>
  </si>
  <si>
    <t>SPFA6 - Review the Repairs and maintanence ledger to ensure that no asset which has to be capitalised has been wrongly expensed off</t>
  </si>
  <si>
    <t>SPFA7 - Perform test for impairment of fixed assets by evaluating the conditions for impairment as laid down in the applicable financial reporting framework</t>
  </si>
  <si>
    <t>SPCB1 - Perform physical verification of Cash on Hand at the balance sheet date</t>
  </si>
  <si>
    <t>SPCB2 - 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</si>
  <si>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SPCB3 - Obtain balance confirmations for all bank accounts maintained by the entity.</t>
  </si>
  <si>
    <t>SPCB4 - Obtain minutes of Board of directors meeting conducted for the purpose of opening or closing bank accounts</t>
  </si>
  <si>
    <t>SPCB5 - If physical verification of cash cannot be conducted at the balance sheet date, perform surprise verifcation of cash during the course of field audit work and obtain confirmation from the management with respect to cash balance as on the balance sheet date</t>
  </si>
  <si>
    <t>SPPAY1 - Compare monthly payroll data maintained by the HR department with the amounts booked in the respective ledger accounts. Ensure that the net salary after LOP is booked as expense and statutory deductions are booked in the respective liability accounts</t>
  </si>
  <si>
    <t>SPPAY2 - Independantly recalculate statutory deductions such as ESI, PF, EWF and compare with the amounts booked in the ledger. Ensure that there are no material differences.</t>
  </si>
  <si>
    <t>SPPAY3 - Check incentive computation and esnure that the same is consistent through out the period and appropriately accounted</t>
  </si>
  <si>
    <t>SPPAY4 - Check the wages/salary payable balance as at the balance sheet date and obtain employeewise, monthwise breakup of the same to identify if there are any long outstanding balances that are no longer payable</t>
  </si>
  <si>
    <t>SPINV1 - Identify significant locations of inventory including third party locations and perform test counts of stock on the balance sheet date</t>
  </si>
  <si>
    <t>SPINV2 - Incase of inventories owned by the entity but located at third party premises, obtain confirmation from the third parties as to the stock in hand as on the balance sheet date.</t>
  </si>
  <si>
    <t>SPINV3 - Ensure that inventories are measured at lower of cost or NRV and that a recogonised cost formula as per AS 2 is used for valuation. Also ensure that all associated costs incurred in bringing the inventories to their present location and condition are taken while valuing inventories</t>
  </si>
  <si>
    <t>SPEQ1 - Obtain a schedule of changes in all equity accounts and all transactions affecting equity during the year. Agree the beginning balances of the schedule of changes in equity to prior-year working papers and agree the ending balances to the general ledger. Trace significant reconciling items, if any, to supporting documents. Agree changes in authorized shares to minutes and documents filed with the Registrar of Companies. Agree number of shares and proceeds from issuance of new shares to cash receipts and supporting records.</t>
  </si>
  <si>
    <t>SPEQ2 - Review minutes of meetings of those charged with governance noting dividends declared or distributed. For dividends paid in cash, trace selection to appropriate supporting documents, including meeting minutes. For dividends declared but unpaid, trace to recording to appropriate liability accounts. Ascertain the amount to be transferred to general reserve under Companies (Transfer of Profits to Reserves) Rules; compare with recorded amounts, investigate and correct all differences.</t>
  </si>
  <si>
    <t>SPEQ3 - Ascertain the rate of dividend declared by the Board of Directors at their meeting to approve the annual audited financial statements; develop an expectation of the dividend payout and corporate dividend tax for the year; compare with recorded amounts, investigate and correct all differences</t>
  </si>
  <si>
    <t>SPDBT1 - Obtain statements from the lenders and ensure that all the borrowings taken have been accounted in the general ledger.</t>
  </si>
  <si>
    <t>SPDBT2 - Obtain confirmation of account balances as on the balance sheet date from the lenders and agree the balances with the amount as per books.</t>
  </si>
  <si>
    <t>SPDBT3 - Ensure that Tax has been deducted on all interest payments to the lenders</t>
  </si>
  <si>
    <t>SPDBT4 - Check the amount of interest expense as per the statements and ensure that there are no material deviations from the amount booked in the ledger.</t>
  </si>
  <si>
    <t>SPDBT5 - Recalculate the interest expense/compare the interest expense as per repayment schedule with the amounts booked</t>
  </si>
  <si>
    <t>SPDBT6 - Wherever applicable, calculate and identify the portion of loan liability to be recogonised as current and as non-current</t>
  </si>
  <si>
    <t>SPCL1 - Obtain the list of Creditors/ Creditors Trial Balance from the accounting package and agree the total with the balance as per general ledger.</t>
  </si>
  <si>
    <t>SPCL2 - 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 and comparison with the original sales invoices.</t>
  </si>
  <si>
    <t>SPCL3 - Prepare a Collection-Remittance schedule for statutory dues and ensure that the statutory dues collected have been properly remitted within the due dates. Independantly recalculate the amount of statutory dues payable and compare the same with the amount booked in the ledger.</t>
  </si>
  <si>
    <t>SPCL4 - Obtain a breakup of the accrued expenses for the current period. Perform a retrospective review of significant accounting estimates related to accrued expenses and other liabilities of the prior year and consider the results of this retrospective review in evaluating the current-year estimates. If there exists a possible bias on the part of management in making accounting estimates, evaluate whether circumstances producing such a bias represent a risk of a material misstatement due to fraud.</t>
  </si>
  <si>
    <t>SPLA1 - Review the trial balance to identify expense accounts which are likely to include prepayments (viz., insurance, annual maintenance charges, etc.)</t>
  </si>
  <si>
    <t>SPLA2 - Obtain the supporting documentation and independantly recalculate the amount to be booked as prepaid and the amount to be expensed off.</t>
  </si>
  <si>
    <t>SPLA3 - Obtain individual reconciliations of the selected prepaid account balances to the general ledger and trace the significant reconciling items if any to the supporting documentation.</t>
  </si>
  <si>
    <t>SPLA4 - Check the subsequent settlement of the prepaid expenses (Loans &amp; advances given). Incase of advances given to staff, obtain confirmations from the employees/management for the amount of loan/advance receivable. Write off amounts which are not recoverable</t>
  </si>
  <si>
    <t>SPLA5 - Obtain a breakup of the deposit accounts and test the validity of the account balance to the supporting documentations. If payments were not made in the current year, agree the opening balances to the previous year working papers.</t>
  </si>
  <si>
    <t>SPRE1 - Select samples of sales transactions recorded in the ledger and ensure the validity of the same by comparing with the relevant supporting documents available.</t>
  </si>
  <si>
    <t>SPRE2 - Ensure that all Sales Invoices and Credit notes are sequentially numbered by the application system.</t>
  </si>
  <si>
    <t>SPRE3 - Verify, on a sample basis that the sale prices and discounts given are as per the approved price list and the discount rates approved by the management.</t>
  </si>
  <si>
    <t>SPRE4 - Compare, on a sample basis, the credit notes issued to customers in respect of sales returns with the corresponding sales invoices to ensure their validity.</t>
  </si>
  <si>
    <t>SPRE5 - Review the advance from customers account and ensure that revenue has been booked for all services the provision of which has been completed.</t>
  </si>
  <si>
    <t>SPRE6 - Obtain a list of last five shipping documents as on balance sheet date and first five shipping documents on the day suceeding the balance sheet date and ensure that the former has been accounted as sales while the latter has not. (Cutoff testing)</t>
  </si>
  <si>
    <t>SPEXP1 - Select expense accounts for test of details/vouching on the basis of materiality set. Compare the selected expenses with appropriate supporting documents</t>
  </si>
  <si>
    <t>SPEXP2 - Perform expectation of administration, establishment expenses on the basis of external supporting documents available such as rent agreements, contracts for professional services etc and compare with amounts booked in ledger</t>
  </si>
  <si>
    <t>Industry type</t>
  </si>
  <si>
    <t>Statutory Audit for the year ended 31.03.2020</t>
  </si>
  <si>
    <t>Nature of account balance (For drop down)</t>
  </si>
  <si>
    <t>N/A</t>
  </si>
  <si>
    <t>Yes/No list (For drop down)</t>
  </si>
  <si>
    <t>Nature of risk (For drop down)</t>
  </si>
  <si>
    <t>Normal risk</t>
  </si>
  <si>
    <t>CAFA6</t>
  </si>
  <si>
    <t>Return filing software Winman is used for confirming and cross checking the income tax depreciation computed to ensure that there are no mathematical errors in computation</t>
  </si>
  <si>
    <t>CAFA5 - Return filing software Winman is used for confirming and cross checking the income tax depreciation computed to ensure that there are no mathematical errors in computation</t>
  </si>
  <si>
    <t>Control Activities</t>
  </si>
  <si>
    <t>Substantive procedures</t>
  </si>
  <si>
    <t>Risk of misstatement of Cash because cash on hand has been misappropriated / stolen.</t>
  </si>
  <si>
    <t>RSKCB4 - Risk of misstatement of Cash because cash on hand has been misappropriated / stolen.</t>
  </si>
  <si>
    <t>RSKCB8 - Risk of understatement of Cash because non existent cash oayments are recorded in the cash book</t>
  </si>
  <si>
    <t>Biometric attendance systems installed at the office and factory premises ensure that employee attendance data is correctly captured before processing payroll</t>
  </si>
  <si>
    <t>CAPAY2</t>
  </si>
  <si>
    <t>CAPAY2 - Biometric attendance systems installed at the office and factory premises ensure that employee attendance data is correctly captured before processing payroll</t>
  </si>
  <si>
    <t>SPPAY5</t>
  </si>
  <si>
    <t>Check the base data given to the actuary for actuarial valuation and ensure that there are no inconsistencies</t>
  </si>
  <si>
    <t>SPPAY5 - Check the base data given to the actuary for actuarial valuation and ensure that there are no inconsistencies</t>
  </si>
  <si>
    <t>Ensure that inventories are valued using appropriate cost formulae and all costs incurred in bringing the inventories to their present location and condition are considered</t>
  </si>
  <si>
    <t>RSKINV4 - Risk of misstatement of invetory because of pilferage or misapproopriation</t>
  </si>
  <si>
    <t>RSKINV5 - Risk of overstatement of Inventory because inventory is old, obsolete, damaged, not usable or is saleable at amounts less than that at which it is recorded.</t>
  </si>
  <si>
    <t>RSKINV6 - Risk of misstatement of Inventory because the prices used to value inventory and / or the valuation principles and methods used are incorrect.</t>
  </si>
  <si>
    <t>RSKINV7 - Risk of misstatement of Traded goods inventory because other costs attributable to purchase of inventory are not allocated to closing stock on reasonable basis.</t>
  </si>
  <si>
    <t>RSKINV8 - Risk of misstatement of Manufactured Inventory because raw material cost is not allocated to finished goods and work-in-progress inventory on weighted average basis.</t>
  </si>
  <si>
    <t>RSKINV9 - Risk of misstatement of Manufactured Inventory because labour cost and production overheads and indirect overhheads are not allocated to finished goods and work-in-progress on a reasonable basis.</t>
  </si>
  <si>
    <t>RSKREC1 - Risk of misstatement of Accounts receivable because invoices issued and recorded do not relate to valid sales / shipments or because invoices are not recorded at all.</t>
  </si>
  <si>
    <t>RSKREC2 - Risk of misstatement of Accounts receivable because of errors in the calculation of sales value on the invoice.</t>
  </si>
  <si>
    <t>RSKREC3 - Risk of misstatement of Accounts receivable because receipts from customers is recorded more than once or are not recorded at all.</t>
  </si>
  <si>
    <t>RSKREC4 - Risk of misstatement of Accounts receivable because credit notes issued and recorded do not relate to valid sales returns or credit notes are not recorded at all.</t>
  </si>
  <si>
    <t>RSKREC5 - Risk of misstatement of Accounts receivable because Sales and Sales returns have been recorded in the wrong period.</t>
  </si>
  <si>
    <t>RSKREC6 - Risk of overstatement of Accounts receivable because of understatement of allowance for doubtful debts.</t>
  </si>
  <si>
    <t>RSKREC7 - Risk of overstatement of Accounts receivable because bad debts are not recorded.</t>
  </si>
  <si>
    <t>CADRS4 - Goods shipped at, before, or after the end of the accounting period are scrutinised and / or reconciled to ensure complete and consistent recording in the appropriate period including raising and recording of related invoices.</t>
  </si>
  <si>
    <t>CADRS5 - Compliance with the debtors provision policy is monitored by the Audit Committee and exceptions are specifically approved by the Audit Committee.</t>
  </si>
  <si>
    <t>CADRS6 - Write off of bad debts is done only after taking necessry approval from the senior management after recording the reasons for writing off the debtors as bad.</t>
  </si>
  <si>
    <t>CARE9</t>
  </si>
  <si>
    <t>CARE9 - Goods shipped at, before, or after the end of the accounting period are scrutinised and / or reconciled to ensure complete and consistent recording in the appropriate period including raising and recording of related invoices.</t>
  </si>
  <si>
    <t>SPDRS1</t>
  </si>
  <si>
    <t>SPDRS2</t>
  </si>
  <si>
    <t xml:space="preserve">SPDRS2 - Obtain / prepare a schedule of provision for doubtful debts showing beginning balance, provision for doubtful accounts, write offs, recoveries and ending balance. Test the summarisation of the schedule and agree the ending balance to the general ledger. </t>
  </si>
  <si>
    <t>SPDRS3</t>
  </si>
  <si>
    <t>SPDRS3 - Obtain supporting documents for bad debts written off to ensure that the write off has been approved by the appropriate authority.</t>
  </si>
  <si>
    <t>SPDRS4</t>
  </si>
  <si>
    <t>SPDRS4 - Reconcile the total balance as per the ageing report to the general ledger and develop and expectation of the amount to be booked as provision for doubtful debts based on the management policy. Compare the same with the amount booked in the ledger and obtain explanations for the differences.</t>
  </si>
  <si>
    <t>Ensure that changes to equity during the year are accounted correctly</t>
  </si>
  <si>
    <t>CADBT2</t>
  </si>
  <si>
    <t>CADBT2 - Reconciliation statements are prepared every month and are reviewed and approved by the management.</t>
  </si>
  <si>
    <t>RSKLA9 - Risk of overstatement of Deposits because the deposits which are no longer recoverable/doubtful have not been written off/provided for</t>
  </si>
  <si>
    <t>SPLA6</t>
  </si>
  <si>
    <t>SPLA7</t>
  </si>
  <si>
    <t>SPLA6 - In respect of doubtful advances, develop and expectation of the amount to be booked as provision based on the management policy. Compare the same with the amount booked in the ledger and obtain explanations for the differences. In respect of writeoffs, obtain supporting documents foradvances written off to ensure that the write off has been approved by the appropriate authority</t>
  </si>
  <si>
    <t>Wherever applicable, calculate and identify the portion of advance or deposit to be recogonised as current and as non-current</t>
  </si>
  <si>
    <t>SPLA7 - Wherever applicable, calculate and identify the portion of advance or deposit to be recogonised as current and as non-current</t>
  </si>
  <si>
    <t>CALA1 - Management reviews and approves the journal voucher along with appropriate supporting documentation before recording the expense related transaction in the general ledger.</t>
  </si>
  <si>
    <t>RSKLA7 - Risk of misstatement of Staff advances because the balance in staff advance account pertain to employees who have left the organisation</t>
  </si>
  <si>
    <t>RSKLA5 - Risk of understatement of Prepaid expense because prepayments have been incorrectly recorded as expense instead of Assets</t>
  </si>
  <si>
    <t>RSKLA10 - Risk of misrstatement of Loans &amp; advances or Deposits because the required classification into current and non current as required by the framework is not done</t>
  </si>
  <si>
    <t>Risk of misstatement of Staff advances because the balance in staff advance account pertain to employees who have left the organisation</t>
  </si>
  <si>
    <t>Management reviews and approves the journal voucher along with appropriate supporting documentation before recording the expense related transaction in the general ledger.</t>
  </si>
  <si>
    <t>RSKRE8 - Risk of understatement of service revenue because amounts received in advance for services to be provided are not transferred to revenue after completion of service.</t>
  </si>
  <si>
    <t>RSKRE7 - Risk of misstatement of revenue due to recording in the incorrect period</t>
  </si>
  <si>
    <t>Risk of misstatement of revenue due to recording in the incorrect period</t>
  </si>
  <si>
    <t>Ensure that sales and sales returns are booked in the correct period</t>
  </si>
  <si>
    <t>CARE9 - Goods shipped and returned at, before, or after the end of the accounting period are scrutinised and / or reconciled to ensure complete and consistent recording in the appropriate period including raising and recording of related invoices.</t>
  </si>
  <si>
    <t>Goods shipped and returned at, before, or after the end of the accounting period are scrutinised and / or reconciled to ensure complete and consistent recording in the appropriate period including raising and recording of related invoices.</t>
  </si>
  <si>
    <t>Obtain a list of last five shipping documents and return documents as on balance sheet date and first five shipping documents and return documents on the day suceeding the balance sheet date and ensure that the former has been accounted as sales while the latter has not. (Cutoff testing)</t>
  </si>
  <si>
    <t>SPRE6 - Obtain a list of last five shipping documents and return documents as on balance sheet date and first five shipping documents and return documents on the day suceeding the balance sheet date and ensure that the former has been accounted as sales while the latter has not. (Cutoff testing)</t>
  </si>
  <si>
    <t>Ensure discounts given on sales &amp; other selling overheads are appropriately recorded</t>
  </si>
  <si>
    <t>CAEXP1 - Invoices and supporting documents are approved by the management before recording in the general ledger.</t>
  </si>
  <si>
    <t>Test of control</t>
  </si>
  <si>
    <t>Substantive Procedure</t>
  </si>
  <si>
    <t>Description of Substantive procedure</t>
  </si>
  <si>
    <t>1) Obtain details of physical verification of fixed assets performed by the entity and check if the periodicity of verification is appropriate</t>
  </si>
  <si>
    <t>1) Obtain monthly bank reconciliation statements prepared by the entity and check whether the same are approved by the management</t>
  </si>
  <si>
    <t>1) Obtain bank confirmation statements</t>
  </si>
  <si>
    <t>1) Obtain minutes of the BoD meetings</t>
  </si>
  <si>
    <t>1) Check whether Cash is kept under lock &amp; key and the authority for holding the key</t>
  </si>
  <si>
    <t>1) Obtain reports from the attendance system for a few samples covering the period under audit and check whether the attendance data is correctly captured for processing payroll</t>
  </si>
  <si>
    <t>1) Obtain management approvals for write off of debts</t>
  </si>
  <si>
    <t>1) Obtain a few samples for payments processed during the year and check whether the payment is approved by the appropriate authority and whether there are adequate supportings</t>
  </si>
  <si>
    <t>1) Obtain samples of a few staff loans/advances made during the year and compare the same with the entity's policy to see whether the same has been adherred to</t>
  </si>
  <si>
    <t>1) Test the sequential numbering of invoices in the system and see whether the same can be bypassed</t>
  </si>
  <si>
    <t>1) Check who has the authority to alter the price master file in the system and whether the same can be bypassed</t>
  </si>
  <si>
    <t>1) Obtain the management's discount policy and check in respect of a few samples whether the policy has been adherred to</t>
  </si>
  <si>
    <t>1) Obtain a few sample invoices and check whether the same have been authorised by the appropriate authority before recording the same in the general ledger</t>
  </si>
  <si>
    <t>1) Obtain opening trial balance of the financial year and compare the same with the closing audited trial balance of the previous year to ensure that the opening balances have been correctly carried forward</t>
  </si>
  <si>
    <t>1) Obtain supportings for the fixed assets purchased during the year and ensure that the amounts are correctly accounted in the books. Check the classification of the additions made and ensure that all necessary compliances with the statutory framework as well as other legal frameworks are met</t>
  </si>
  <si>
    <t>1) Scrutinise the fixed asset ledgers as well as the cash and bank books to find out any asset disposals during the year. Ensure that the related amounts upto the date of disposal are removed from gross block and accumulated depreciation</t>
  </si>
  <si>
    <t>1) In respect of asset additions during the year, check whether the classification as per companies act and income tax act are proper. Ensure that the useful lives as well as rates of depeciation as given in the statutes are correctly captured
2) Periodically, review the classification of Fixed assets present in the opening block as well to confirm that the classification made earlier still remains appropriate</t>
  </si>
  <si>
    <t>1) Perform impairment testing for fixed assets based on the conditions laid out in the financial reporting framework in the event of any fixed asset becoming obsolete/non usable</t>
  </si>
  <si>
    <t>1) Visit the location where cash is physically maintained and physically verifiy the same in the presence of the authorised person from the entity's behalf
2) Note down the number of currencies in each denomination and check the physical cash balance with the balance as per the books of account</t>
  </si>
  <si>
    <t>1) Match the bank book balance to the general ledger
2) Match the pass book balance to the bank confirmation/statement
3) Trace the subsequent clearance of the reconciling items to the subsequent bank statement.
4) Where the items are not subsequently cleared, check if the instruments have become stale and if any reversal entry needs to be passed</t>
  </si>
  <si>
    <t>1) Obtain balance confirmation statements directly from the bank
2) If direct confirmations are not available, have the entity obtain confirmations and communicate the same to the auditors</t>
  </si>
  <si>
    <t>1) Obtain minutes of BoD meetings and review the same</t>
  </si>
  <si>
    <t>1) Perform surprise verification of cash on a random date during field audit and compare the physical balance with the book balance
2) Obtain a confirmation from the entity regarding the physical cash balance as on the balance sheet date</t>
  </si>
  <si>
    <t>1) Check the payroll computations for each month after considering the base salary and the LOP days. Ensure that the calculations are correct and the correct amount is poseted in the ledger
2) Check if there are reconciling items between the payroll workings and the ledger balance such as amount paid to contract staff and such others who are not in payroll. Check if the grouping of such amounts as salary is appropriate</t>
  </si>
  <si>
    <t>1) Recalculate statutory deductions based on the rates as given in the statute and ensure that there are no short deductions or material differences</t>
  </si>
  <si>
    <t>1) If incentives are paid to the staff, check the parameters for incentive computation and ensure that the incentive is computed appropriately.
2) Also whether statutory deductions are correctly made wherever applocable</t>
  </si>
  <si>
    <t>1) Obtain monthwise employeewise split up of the balance in wages payable ledger
2) Check if there are any amounts which are no longer payable and need to be written back
3) Check subsequent settlement of the salary payable balance</t>
  </si>
  <si>
    <t>1) Compare the salary given for actuarial valuation with the monthly payroll data
2) Trace other data such as joining date, leave data on a sample basis with the employee personnel files, leave cards or such other records</t>
  </si>
  <si>
    <t>1) Enquire with the management regarding significant locations of inventory. Visit such locations during the entity's inventory verification process. Observe the enitity's inventory count process and perform test counts on a sample basis</t>
  </si>
  <si>
    <t>1) Visit 3rd party locations where inventory is kept by the entity and perform test counts.
2) If unable to visit, request confirmations for the inventory held by the 3rd parties</t>
  </si>
  <si>
    <t>1) Check whether all costrs related to bring the inventory to its present location and condition as required by the FRF are considered for inventory valuation
2) On a sample basis, perform Cost NRV comparison to ensure that inventory is not stated over its recoverable value</t>
  </si>
  <si>
    <t>1) Obtain management's policy of debtors provisioning and check if appropriate provision has been made for balances which are doubtful.
2) Prepare a schedule showing movement of debtors provision and agree the closing balance to the amunt booked in the ledger</t>
  </si>
  <si>
    <t>1) Check whether appropriate approvals are present for the bad debts written off</t>
  </si>
  <si>
    <t>1) Prepare a schedule showing movement of debtors provision and agree the closing balance to the amunt booked in the ledger
2) For those debts which are long outstanding and no provision has been made, obtain reasons as to why provision has not been made</t>
  </si>
  <si>
    <t>1) For corporate entitiies, review the minutes of BoD meetings and the MCA forms filed to see if there are any fresh issue of shares during the year.
2) For non coporate entities check whether withdrawals and additions to the capital and current accounts are accounted appropriately
3) Where dividends are declared in the case of corporate entities, check whether the required compliances have been met</t>
  </si>
  <si>
    <t>1) Obtain statements from the lenders in respect of loans taken by the entity. Check whether loans taken and repayments made are correctly accounted</t>
  </si>
  <si>
    <t>1) Obtain balance confirmation statements directly from the lenders
2) If direct confirmations are not available, have the entity obtain confirmations and communicate the same to the auditors</t>
  </si>
  <si>
    <t>1) For loans taken from lenders other than banks, check whether tax deduction has been made at appropriate rates as specified in the income tax act</t>
  </si>
  <si>
    <t>1) Compare the interest serviced as per the statement with the interest accounted in the ledger. Ensure that there are no differences</t>
  </si>
  <si>
    <t>1) Recalculate the interest expense based on the outstanding balance and agreed interest rates to ensure that there has not been any overcharging of interest by the lenders.
2) If a repayment schedule is available, ensure that the interest charged by the lender is as per the repayment schedule</t>
  </si>
  <si>
    <t>1) Classify the outstanding loan liability into current and non-current portions.
2) In case of finance leases, perform lease workings in order to identify the balance payable in each time frame as is required by the applicable financial reporting framework</t>
  </si>
  <si>
    <t>1) Obtain the list of creditors from the accounting software and tally the total balance of the same with the creditors balance as per Trial balance</t>
  </si>
  <si>
    <t>1) Obtain confirmations from the creditors for balances outstanding to them
2) Where confirmation procedures are not performed, perform alternate procedures such as subsequent settlement procedures and comparison with original invoices to ensure that the balances are existent as on the balance sheet date</t>
  </si>
  <si>
    <t>1) Independantly recalculate the statutory liabilities in respect of GST, TDS, Employee deductions, TCS etc as per the applicable provisions and ensure that there are no short deductions
2) Obtain payment challans from the entity for remittance of the statutory liabilities and check if there are any short payments</t>
  </si>
  <si>
    <t>1) Obtain a breakup of the accrued expenses (Expenses payable) as on the balance sheet date
2) Where accounting estimates are used by the entity in determining the expenses payable, check the underlying assumptions for the estimates and ensure if the same are appropriate in the circumstances.</t>
  </si>
  <si>
    <t>1) Review the trial balance to identify expense accounts which are likely to include prepayments (viz., insurance, annual maintenance charges, etc.)</t>
  </si>
  <si>
    <t>1) Obtain supportings for the amounts to be booked as prepaid expense and accordingly calculate the prepaid portion and expense portion</t>
  </si>
  <si>
    <t>1) Obtain breakups of other loans and advances balances and trace the balances to the supporting documentation if any</t>
  </si>
  <si>
    <t>1) Perform subsequent settlement testing of staff advances as well as other advances. Write off advances which are deemed to be non recoverable
2) Obtain confirmations from employees in the case of staff advances. Also check whether the employee is still working with the entity</t>
  </si>
  <si>
    <t>1) Obtain supporting documents for deposits and verify the same with the amounts booked in the ledger</t>
  </si>
  <si>
    <t>1) Obtain manamgement's policy for provisioning for doubtful advances, and develop an expectation of the amount to be booked as provision. Compare the same with the ledger and ensure there are no differences
2) In respect of advances written off, obtain appropriate approvals for the the writeoffs</t>
  </si>
  <si>
    <t>1) Wherever applicable, calculate and identify the portion of advance or deposit to be recogonised as current and as non-current</t>
  </si>
  <si>
    <t>1) Select samples of sales transactions recorded in the ledger and ensure the validity of the same by comparing with the relevant supporting documents available.</t>
  </si>
  <si>
    <t>1) Try manually entering sales invoice number and credit note number in the system to ensure whether there are appropriate controls to ensure sequential numbering</t>
  </si>
  <si>
    <t>1) Select sample invoices and ensure that the sale prices and discounts given therein are as per the management approved pricelist and discount chart</t>
  </si>
  <si>
    <t>1) Obtain samples of credit notes during the year
2) Compare the details mentioned in the credit notes with the original invoices and see whether the credit notes relate to valid sales made earlier</t>
  </si>
  <si>
    <t>1) Obtain a list of last five shipping documents and return documents as on balance sheet date and first five shipping documents and return documents on the day suceeding the balance sheet date and ensure that the invoices related to the former have been accounted as sales while those related to the latter have not</t>
  </si>
  <si>
    <t>1) Select expense ledgers for performing test of details based on the materiality levels set for the year.
2) From such selected expense ledgers, select the transactions for vouching based on the threshold materiality
3) Compare the selected transactions with relevant supporting documents</t>
  </si>
  <si>
    <t>1) In respect of recurring expenses such as rent, professional services etc, obtain the contract with the respective parties and ensure that the accounting of expenses is correct</t>
  </si>
  <si>
    <t>Already covered under Control testing</t>
  </si>
  <si>
    <t>Couldn't perform due to COVID lockdown</t>
  </si>
  <si>
    <t>Not vouched</t>
  </si>
  <si>
    <t>Linson Francis</t>
  </si>
  <si>
    <t>George &amp; Company</t>
  </si>
  <si>
    <t>1) Scrutinise the repairs and maintenance ledger to identify any expenses that meets capitalisation criteria and therefore needs to be capitalised as fixed asset in the books of account</t>
  </si>
  <si>
    <t>12 samples among all the bank a/cs spread over 12 months</t>
  </si>
  <si>
    <t>Covered Under SPCB2</t>
  </si>
  <si>
    <t>Covered Under CACB4</t>
  </si>
  <si>
    <t>Remarks</t>
  </si>
  <si>
    <t>1) Obtain the invoicewise breakup of debtors from the accounting software and agree the total balance to the Trial balance.
2) Calculate Ageing of debtors based on invoice date and group the debtors into outstanding for more than 1 year and less than 1 year
3) Check subsequent settlement of debtors and for those balances which are long outstanding and not susbequently settled, make enquiries with the management regarding their recoverability</t>
  </si>
  <si>
    <t>Covered under SPDRS2</t>
  </si>
  <si>
    <t>Covered under SPCL1</t>
  </si>
  <si>
    <t>RSKCB8 - Risk of understatement of Cash because non existent cash payments are recorded in the cash book</t>
  </si>
  <si>
    <t>Linson</t>
  </si>
  <si>
    <t>Robin</t>
  </si>
  <si>
    <t>Ensure that all statutory liabilities relating to Direct taxes, indirect taxes and employee benefits are appropriately computed.</t>
  </si>
  <si>
    <t>Ensure that collected statutory liabilities are promptly paid to the credit of the government.</t>
  </si>
  <si>
    <t>Statutory Payables</t>
  </si>
  <si>
    <t>RSKSP2 - Risk of misstatement of statutory liabilities because the applicable rates are not applied consistently through out the period under audit</t>
  </si>
  <si>
    <t>RSKSP1 - Risk of misstatement of statutory liabilities because the liabilities are not calculated as per the applicable statutory provisions</t>
  </si>
  <si>
    <t>RSKSP3 - Risk of misstatement of statutory liabilities because the statutory liabilities are not remitted within the applicable due dates</t>
  </si>
  <si>
    <t>RSKSP4 - Risk of misstatement of statutory liabilities because the returns are incorrectly filed or not filed at all</t>
  </si>
  <si>
    <t>RSKSP1</t>
  </si>
  <si>
    <t>RSKSP2</t>
  </si>
  <si>
    <t>RSKSP3</t>
  </si>
  <si>
    <t>RSKSP4</t>
  </si>
  <si>
    <t>Risk of misstatement of statutory liabilities because the statutory liabilities are not remitted within the applicable due dates</t>
  </si>
  <si>
    <t>Risk of misstatement of statutory liabilities because the applicable rates are not applied consistently through out the period under audit</t>
  </si>
  <si>
    <t>Risk of misstatement of statutory liabilities because the liabilities are not calculated as per the applicable statutory provisions</t>
  </si>
  <si>
    <t>Risk of misstatement of statutory liabilities because the returns are incorrectly filed or not filed at all</t>
  </si>
  <si>
    <t>CASP1</t>
  </si>
  <si>
    <t>The applicable statutory rates are updated in a master file in the accounting package and are continuosly reviewd and updated.</t>
  </si>
  <si>
    <t>CASP1 - The applicable statutory rates are updated in a master file in the accounting package and are continuosly reviewd and updated.</t>
  </si>
  <si>
    <t>SPSP1</t>
  </si>
  <si>
    <t>SPSP2</t>
  </si>
  <si>
    <t>SPSP3</t>
  </si>
  <si>
    <t>SPSP4</t>
  </si>
  <si>
    <t>Independently recalculate the statutory liabilities by applying the relevant statutory provisions.</t>
  </si>
  <si>
    <t>Ensure that any rate changes during the period are supported by appropriate notification/ammendments</t>
  </si>
  <si>
    <t>SPSP1- Independently recalculate the statutory liabilities by applying the relevant statutory provisions.</t>
  </si>
  <si>
    <t>SPSP2- Ensure that any rate changes during the period are supported by appropriate notification/ammendments</t>
  </si>
  <si>
    <t>Verify the payments made in respect of statutory liablities with the respective challans for remittance.</t>
  </si>
  <si>
    <t>SPSP3- Verify the payments made in respect of statutory liablities with the respective challans for remittance.</t>
  </si>
  <si>
    <t>Ensure that the returns filed in respect of statutory liabilities contain all the details as is required by the statute</t>
  </si>
  <si>
    <t>SPSP4 - Ensure that the returns filed in respect of statutory liabilities contain all the details as is required by the statute</t>
  </si>
  <si>
    <t>1) Obtain an understanding of the relevant statutory framework.
2) Obtain workings from the entity in respect of the statutory liabilities paid by them.
3) Independently recalculate the statutory laibilities at the applicable rates and compare the same with entity's working and amounts booked in the ledger</t>
  </si>
  <si>
    <t>1) Obtain notification/ammendments issued during the period under audit and ensure the correctness of applied rates.</t>
  </si>
  <si>
    <t>1) Scrutinise the books, for payments made in respect of statutory dues made and obtain the challans as supportings.</t>
  </si>
  <si>
    <t>1) Compare the independent recalculations with the returns filed by the entity and check whether relevant details are included as required by the statute.</t>
  </si>
  <si>
    <t>TDS</t>
  </si>
  <si>
    <t>GST</t>
  </si>
  <si>
    <t>Covered under SPSP1</t>
  </si>
  <si>
    <t>RSKLA11- Risk of misstatement of Staff advances because the advances paid and repayments received are not recorded</t>
  </si>
  <si>
    <t>Covered under SPLA1 to SPLA5</t>
  </si>
  <si>
    <t>Rahul M (Pkd)</t>
  </si>
  <si>
    <t>Total</t>
  </si>
  <si>
    <t>Cash</t>
  </si>
  <si>
    <t>Activity</t>
  </si>
  <si>
    <t>Loans and Advances</t>
  </si>
  <si>
    <t>To be done</t>
  </si>
  <si>
    <t>Status</t>
  </si>
  <si>
    <t>Control testing to be done</t>
  </si>
  <si>
    <t>SPDRS1 - Obtain the list of Debtors/ Debtors Trial Balance from the accounting package and agree the total with the balance as per general ledger. Obtain/Calculate the ageing of Debtors based on Invoice date. Perform subsequent settlement testing</t>
  </si>
  <si>
    <t>Statutory Audit for the year ended 31.03.2021</t>
  </si>
  <si>
    <t>Shahin Shah</t>
  </si>
  <si>
    <t>Risk Identified</t>
  </si>
  <si>
    <t>Affected assertions</t>
  </si>
  <si>
    <t>Affected stakeholders</t>
  </si>
  <si>
    <t>Shareholders / Partners</t>
  </si>
  <si>
    <t>Government</t>
  </si>
  <si>
    <t>Employees</t>
  </si>
  <si>
    <t>Suppliers</t>
  </si>
  <si>
    <t>Customers</t>
  </si>
  <si>
    <t>Mitigating controls if any</t>
  </si>
  <si>
    <t>Risk Impact</t>
  </si>
  <si>
    <t>Risk Likelihood</t>
  </si>
  <si>
    <t>Risk Product</t>
  </si>
  <si>
    <t>Type of RAAP performed</t>
  </si>
  <si>
    <t>Whether planning to Rely on controls</t>
  </si>
  <si>
    <t>If Yes, last control testing performed during?</t>
  </si>
  <si>
    <t>Performance Materiality for this MCOTABD</t>
  </si>
  <si>
    <t>Test of controls planned for the current year (If any)</t>
  </si>
  <si>
    <t>Substantive procedure planned for the current year</t>
  </si>
  <si>
    <t>Sampling done?</t>
  </si>
  <si>
    <t>Sampling Procedure</t>
  </si>
  <si>
    <t>Risk due to Fraud?</t>
  </si>
  <si>
    <t>100% of items selected for balance sheet items</t>
  </si>
  <si>
    <t>Risk of misstatement of Accounts receivable because invoices issued and recorded do not relate to valid sales / shipments or because invoices are not recorded at all.</t>
  </si>
  <si>
    <t>Risk of misstatement of Accounts receivable because of errors in the calculation of sales value on the invoice.</t>
  </si>
  <si>
    <t>Risk of misstatement of Accounts receivable because receipts from customers is recorded more than once or are not recorded at all.</t>
  </si>
  <si>
    <t>Risk of overstatement of Accounts receivable because of understatement of allowance for doubtful debts.</t>
  </si>
  <si>
    <t>The discount value shown on the invoice is calculated based on the management approved discount rates</t>
  </si>
  <si>
    <t>Loans And Advances</t>
  </si>
  <si>
    <t>A.</t>
  </si>
  <si>
    <t>Based on the details as mentioned in the supporting documents, the amount to be booked as prepaid and the amount to be expensed off is calculated by the management and appropriate entry is passed in the books of account</t>
  </si>
  <si>
    <t>B.</t>
  </si>
  <si>
    <t>C.</t>
  </si>
  <si>
    <t>D.</t>
  </si>
  <si>
    <t>E.</t>
  </si>
  <si>
    <t>F.</t>
  </si>
  <si>
    <t>B</t>
  </si>
  <si>
    <t>Risk of misstatement of Loans &amp; advances or Deposits because the required classification into current and non current as required by the framework is not done</t>
  </si>
  <si>
    <t>A</t>
  </si>
  <si>
    <t>C</t>
  </si>
  <si>
    <t>Check incentive computation and ensure that the same is consistent through out the period and appropriately accounted</t>
  </si>
  <si>
    <t>Observation</t>
  </si>
  <si>
    <t>D</t>
  </si>
  <si>
    <t>No control testing planned since not relying on the control activity and the risk is not a significant risk</t>
  </si>
  <si>
    <t>Observation, Inquiry</t>
  </si>
  <si>
    <t>Risk of overstatement of fixed assets because assets disposed off have not been recorded in the fixed asset register / general ledger.</t>
  </si>
  <si>
    <t>Observation, Inspection</t>
  </si>
  <si>
    <t>Risk of overstatement of recorded debt (Eg: Due to non recording of payments, personal loans of directors/partners accounted in the firm's books etc)</t>
  </si>
  <si>
    <t>Suppliers / Creditors</t>
  </si>
  <si>
    <t>Observation, Inquiry, Inspection</t>
  </si>
  <si>
    <t>Is the risk a significant risk?</t>
  </si>
  <si>
    <t>Consideration 1</t>
  </si>
  <si>
    <t>Whether the risk is a risk of fraud</t>
  </si>
  <si>
    <t>Consideration 2</t>
  </si>
  <si>
    <t>Consideration 3</t>
  </si>
  <si>
    <t>Consideration 4</t>
  </si>
  <si>
    <t>Consideration 5</t>
  </si>
  <si>
    <t>Consideration 6</t>
  </si>
  <si>
    <t>Consideration 7</t>
  </si>
  <si>
    <t>Whether the risk is related to recent significant economic, accounting, or other developments like changes in regulatory environment, etc.</t>
  </si>
  <si>
    <t>The complexity of transactions</t>
  </si>
  <si>
    <t>Whether the risk involves significant transactions with related parties</t>
  </si>
  <si>
    <t>The degree of subjectivity in the measurement of financial information related to the risk, especially those measurements involving a wide range of measurement uncertainty</t>
  </si>
  <si>
    <t>Any other considerations, Pls specify</t>
  </si>
  <si>
    <t>Whether the risk is a significant risk?</t>
  </si>
  <si>
    <t>Code</t>
  </si>
  <si>
    <t>Planning to rely on controls?</t>
  </si>
  <si>
    <t>There is a strong monitoring and supervision by the creditors (banks in this case) which serves as a control check for the recorded debt balance</t>
  </si>
  <si>
    <t>The entity employs ethical and transparent practices of accounting and no instances of such risks culminating into potential misstatements have been noted in during the previous audits</t>
  </si>
  <si>
    <t>CADBT3</t>
  </si>
  <si>
    <t>Statements are received from the lenders and reconciliation statements are prepared every month and are reviewed and approved by the management.</t>
  </si>
  <si>
    <t>Risk Pervasiveness</t>
  </si>
  <si>
    <t>Due to the mitigating effect of controls</t>
  </si>
  <si>
    <t>Pervasive</t>
  </si>
  <si>
    <t>Non Pervasive</t>
  </si>
  <si>
    <t>Less likely</t>
  </si>
  <si>
    <t>Likely</t>
  </si>
  <si>
    <t>Highly unlikely</t>
  </si>
  <si>
    <t>Moderately likely</t>
  </si>
  <si>
    <t>Substantive procedures planned for the current year</t>
  </si>
  <si>
    <t>Additional audit procedures planned for the year (In respect of significant risks)</t>
  </si>
  <si>
    <t>Not a significant risk as per our assessment. Hence no additional audit procedures planned</t>
  </si>
  <si>
    <t>CADBT4</t>
  </si>
  <si>
    <t>CADBT5</t>
  </si>
  <si>
    <t>Risk of misstatement of loan balance and interest expense due to non recording/incorrect recording of interest expense</t>
  </si>
  <si>
    <t>Check whether there is any interest incurred in respect of a qualifying asset meeting capitalisation criterial as per AS 16 - Borrowing costs</t>
  </si>
  <si>
    <t>Check whether applicable statutory deductions such as TDS has been made wherever applicable</t>
  </si>
  <si>
    <t>Risk of erroneous classification of loan outstanding balance and interest expense in the financial statements</t>
  </si>
  <si>
    <t>SPDBT7</t>
  </si>
  <si>
    <t>SPDBT8</t>
  </si>
  <si>
    <t>SPDBT9</t>
  </si>
  <si>
    <t>Ensure interest expenses as well as bank charges are classified as Finance costs</t>
  </si>
  <si>
    <t>SPDBT10</t>
  </si>
  <si>
    <t>SPDBT11</t>
  </si>
  <si>
    <t>The interest expense is independantly worked out by the entity based on the applicable limits and interest percentage</t>
  </si>
  <si>
    <t>Scrutinise the interest ledger to see whether any payments in the nature of penal charges/penal interest have been made by the entity which indicate the possibility of violation of the terms of the loan</t>
  </si>
  <si>
    <t>SPDBT12</t>
  </si>
  <si>
    <t>The management maintains a list of routine/regular prepaid balances which is updated whenever a payment towards such balance is made</t>
  </si>
  <si>
    <t>In respect of Insurance paid for vehicles, ensure that the first insurance paid is capitalised along with the cost of the vehicles and prepaid is recognised in respect of subsequent renewals.</t>
  </si>
  <si>
    <t>Check the payroll computation/disbursement sheet for the last month of the financial year to ensure that all those employees in respect of whom staff advances are outstanding as at the end of the year are included in the last month's payroll</t>
  </si>
  <si>
    <t>CALA6</t>
  </si>
  <si>
    <t>Management obtains and approves supporting documentation in respect of deposits before the same are accounted in the books of account</t>
  </si>
  <si>
    <t>Due to errors of omission that may happen</t>
  </si>
  <si>
    <t>SPLA8</t>
  </si>
  <si>
    <t>SPLA9</t>
  </si>
  <si>
    <t>SPLA10</t>
  </si>
  <si>
    <t>SPLA11</t>
  </si>
  <si>
    <t>In respect of rent deposits, obtain rent agreements with the lessor that are valid as at the date of the balance sheet and ensure that the deposits mentioned therein are accounted in the books</t>
  </si>
  <si>
    <t>In respect of deposits with statutory authorities made during the course of legal proceedings, check the status of the proceedings to consider whether such deposits can be treated as receivable</t>
  </si>
  <si>
    <t>For electricity deposits, obtain confirmations from the electricity department or obtain invoices nearest to the date of balance sheet and cross check the amount of deposit mentioned therein with the amount recorded in the books to see if any appropriations have been made by the department against the deposit amounts</t>
  </si>
  <si>
    <t>SPLA12</t>
  </si>
  <si>
    <t>Enquire about the recoverability of the amounts booked as deposits and consider if any such balance needs to be writte off being non recoverable or an allowance or provision is required to be made</t>
  </si>
  <si>
    <t>Ensure that deposits and other advances as disclosed in the balance sheet are appropriately classified</t>
  </si>
  <si>
    <t>SPLA13</t>
  </si>
  <si>
    <t>Select samples of sales transactions recorded in the ledger and ensure the validity of the same by comparing with the relevant supporting documents available such as customer requisitions (From Tally) or Jobwork orders (From EBIZ)</t>
  </si>
  <si>
    <t>Person entering the sales order and invoice could be the same</t>
  </si>
  <si>
    <t>Due to the mitigating effect of the above controls</t>
  </si>
  <si>
    <t>Obtain the list of Debtors/ Debtors Trial Balance and prepare the invoicewise breakup of debtors. Obtain/Calculate the ageing of Debtors based on Invoice date. Perform subsequent settlement testing</t>
  </si>
  <si>
    <t>Observation, Reperformance</t>
  </si>
  <si>
    <t>CADRS1</t>
  </si>
  <si>
    <t>Write off of bad debts is done only after taking necessry approval from the senior management/Partners after recording the reasons for writing off the debtors as bad.</t>
  </si>
  <si>
    <t>Risk of overstatement of Cash balance (Eg: non-existent cash receipts have been recorded, cash payments omited to be recorded etc.)</t>
  </si>
  <si>
    <t>Risk of understatement of Cash balance (Eg: non-existent cash payments have been recorded, cash receipts omited to be recorded etc.)</t>
  </si>
  <si>
    <t>Risk of understatement of bank balance (Eg: non-existent bank payments recorded, bank receipts omitted to be recorded etc)</t>
  </si>
  <si>
    <t>Risk of overstatement of bank balance (Eg: non-existent bank receipts have been recorded, bank payments or charges omitted to be recorded etc)</t>
  </si>
  <si>
    <t>SPRE7</t>
  </si>
  <si>
    <t>Obtain shipping bills/Gate out passes/Freight bills in respect of the samples selected and ensure that the invoicing done against the debtors are not fictitious and that the goods have been actually shipped to the party</t>
  </si>
  <si>
    <t>Risk of overstatement of bad debts because debtors are written off as bad without proper approvals</t>
  </si>
  <si>
    <t>Risk of overstatement of Prepaid expense because amounts included in prepaid expense relate to non existent or unauthorised transaction.</t>
  </si>
  <si>
    <t>Risk of misstatement of Deposits because the the recorded deposits are non existent or without proper supportings</t>
  </si>
  <si>
    <t>Check the GST records of the entity to see whether any assets have been disposed off for a consideration</t>
  </si>
  <si>
    <t>Observation, Inquiry, Recalculation</t>
  </si>
  <si>
    <t>There are no controls present at the entity</t>
  </si>
  <si>
    <t>Check who has access to cash balance and whether cash is kept under a proper lock and key system at the entity</t>
  </si>
  <si>
    <t>The materials traded in are not that perishable and the risk of the same being obsolete is less</t>
  </si>
  <si>
    <t>The goods dealt with by the entity are mostly of non perishable nature and as such there is negligible risk of the same getting damaged over time. However, damages may occur during cutting the sheets and the damaged sheets are segregated from the good stock and sold at market rates</t>
  </si>
  <si>
    <t>SPINV4</t>
  </si>
  <si>
    <t>Obtain damaged/obsolete stock list as on balance sheet date and value the same at NRV. NRV may be taken as the value at which similar items have been actually sold at a date nearest to the balance sheet date (Can be before or after the balance sheet date)</t>
  </si>
  <si>
    <t>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t>
  </si>
  <si>
    <t>SPINV5</t>
  </si>
  <si>
    <t>All purchases/expense transactions are supported by valid purchase orders. The invoices received from suppliers are cross checked against the respective purchase orders before the same are accounted in the books</t>
  </si>
  <si>
    <t>Observation, Inspection, Enquiry</t>
  </si>
  <si>
    <t>CACL5</t>
  </si>
  <si>
    <t>Competent staff and periodic internal audit functions</t>
  </si>
  <si>
    <t>SPFA8</t>
  </si>
  <si>
    <t>Review the capital work in progress ledger to ensure that capitalisations have been done only in respect of those assets that meets capitalisation criteria</t>
  </si>
  <si>
    <t>Arun K Baiju</t>
  </si>
  <si>
    <t>Previous experience with the entity suggests that the chances of fraud resulting in such a risk are very minimal</t>
  </si>
  <si>
    <t>Risk of misstatement of fixed assets because initial measurement, subsequent measurement and impairment testing of fixed assets have not been done in the manner specified in the financial reporting framework</t>
  </si>
  <si>
    <t>E</t>
  </si>
  <si>
    <t>Ensure that initial and subsequent measurement of fixed assets is done as per the financial reporting framework</t>
  </si>
  <si>
    <t>The invoice of assets purchased are forwarded to the accounts department after approval by the respective department who placed the requisition. The accounts department checks the invoices for approval and records the same in the accounting software</t>
  </si>
  <si>
    <t>CAFA7</t>
  </si>
  <si>
    <t>For assets requiring installation/assets which are not readily usable, the accounts department accounts the same in a capital work in progress ledger (CWIP). All other expenses related to get the asset ready for its intended use are also accounted in the same ledger. Capitalisation from CWIP acccount is done when the asset is ready for use</t>
  </si>
  <si>
    <t>The internal audit department of the entity checks the accounted transactions on a quarterly basis and ensures that those expenses meeting capitalisation criteria are appropriately classified as Fixed assets and others are charged to revenue</t>
  </si>
  <si>
    <t>CAFA8</t>
  </si>
  <si>
    <t>The internal audit department of the entity checks the accounted transactions on a quarterly basis and ensures that those expenses meeting capitalisation criteria are appropriately accounted as Fixed assets and others are charged to revenue</t>
  </si>
  <si>
    <t>Quotations are obtained from multiple parties in respect of asset disposals. The party offering the best terms is selected and sent for approval by the management</t>
  </si>
  <si>
    <t>SPFA9</t>
  </si>
  <si>
    <t>SPFA10</t>
  </si>
  <si>
    <t>SPFA11</t>
  </si>
  <si>
    <t>CADRS3</t>
  </si>
  <si>
    <t>Statements are received from the debtors periodically and are reconciled to general ledger. Discrepancies are investigated and resolved in a timely manner</t>
  </si>
  <si>
    <t>SPDRS5</t>
  </si>
  <si>
    <t>Send or have the entity send confirmation requests to debtors as on balance sheet date. Check whether the statements/balance confirmations received from debtors matches with the balance as per books on balance sheet date.</t>
  </si>
  <si>
    <t>SPDRS6</t>
  </si>
  <si>
    <t>If balance confirmation/statements are not available as on the balance sheet date, compare the balance as per the date nearest to the balance sheet date with the books of account. The intervening transactions between the statement/ confirmation date and the balance sheet date may be tested for validity by comparing with invoices and orders</t>
  </si>
  <si>
    <t>CADRS2</t>
  </si>
  <si>
    <t>RSKDRS1</t>
  </si>
  <si>
    <t>RSKDRS2</t>
  </si>
  <si>
    <t>RSKDRS3</t>
  </si>
  <si>
    <t>RSKDRS4</t>
  </si>
  <si>
    <t>RSKDRS5</t>
  </si>
  <si>
    <t>Scrutinise the prepaid ledger for the subsequent period to ensure that the amounts accounted as prepaid in the books of account have been expensed off subsequently (Especially in the case of large prepaid balances such as Ocean Freight) when the services are deemed to be completed</t>
  </si>
  <si>
    <t>CALA7</t>
  </si>
  <si>
    <t>CALA8</t>
  </si>
  <si>
    <t>The internal audit department of the entity checks the accounted transactions on a quarterly basis and ensures that  payments made are correctly classified as expenses and prepaid expenses</t>
  </si>
  <si>
    <t>Stock records can be updated (GRN can be entered) only if supplier invoice details are entered in the books of account. This ensures that no invoice is left out if the items in respect of which the invoice is issued are to enter the stock records</t>
  </si>
  <si>
    <t>Risk of misstatement of supplier balances because advances made to suppliers for supply of goods/services may end up being irrecoverable if the party does not honour transaction</t>
  </si>
  <si>
    <t>CACL6</t>
  </si>
  <si>
    <t>In respect of foreign suppliers, generally advance payments are made and therefore such advances do not come under the purview of monetary items that require restatement. However, where there are foreign currency payables, it is ensured that the same are restated in the books of account based on the exchange rate as on the balance sheet date.</t>
  </si>
  <si>
    <t>Advance payments are made mostly in the case of foreign suppliers with whom the entity has long standing relationships. Further, the agent of the entity acts as an extended arm of the entity to coordinate the transaction without any hurdles</t>
  </si>
  <si>
    <t>CACL7</t>
  </si>
  <si>
    <t>SPCL5</t>
  </si>
  <si>
    <t>Obtain SBI TT buying rate as on the date of the balance sheet and check whether foreign currency balances have been restated as per the said rate. Check whether the difference if any has been accounted in unrealised foreign exchange gain/loss account</t>
  </si>
  <si>
    <t>Obtain agreements and terms with suppliers to who advance payments are made. Check whether there are any protective clauses mentioned therein where the supplier fails to honour the transaction</t>
  </si>
  <si>
    <t>SPCL6</t>
  </si>
  <si>
    <t>Risk of misstatement of foreign supplier balances because such balances are not restated as on the balance sheet date at the appropriate exchange rates as specified in the financial reporting framework</t>
  </si>
  <si>
    <t>Ensure that supplier balances are not misstated due to foreign supplier balances not being restated and no allowance being provided against doubtful advances</t>
  </si>
  <si>
    <t>Risk of failure to disclose or erroneous classification of guarantees and other non fund based financial arrangements in the financial statements</t>
  </si>
  <si>
    <t>Confirmation statements are obtained from banks/lenders wherein balances of all the loans and financing arranements taken from the respective lender will be mentioned.</t>
  </si>
  <si>
    <t>CASP2</t>
  </si>
  <si>
    <t>GST rates are linked to HSN numbers in the back end of the accounting software and the same get automarically picked when outward supply invoices are entered by a user. The user cannot manually edit such rates from the front end.</t>
  </si>
  <si>
    <t>Senior manager-Audits periodically monitors websites of governmental departments and maintains close relationships with the entity's statuory auditors and consultants to facilitate timely updation of changes in statutory provisions. Publications and journals of trade and financial bodies are also used for this purpose. Whenever a change relevant to the entity's business is noted, the same is communicated with the entire team and appropriate changes are made in the software's back end</t>
  </si>
  <si>
    <t>CASP3</t>
  </si>
  <si>
    <t>CASP4</t>
  </si>
  <si>
    <t>CASP5</t>
  </si>
  <si>
    <t>The privilege to pass back dated entries in the accounting software rests with only a very few users at the managerial level as well as those who are involved in passing of monthly closing entries</t>
  </si>
  <si>
    <t>The internal audit team of the entity covers on a quarterly basis the compliance with various statutory liabilities such as TDS and Input tax credit under GST</t>
  </si>
  <si>
    <t>SPSP5</t>
  </si>
  <si>
    <t>Due to the mititgating effect of controls</t>
  </si>
  <si>
    <t>Observation, Inspection, Inquiry</t>
  </si>
  <si>
    <t>Observation, Inquiry, Inspection, Analytical procedures</t>
  </si>
  <si>
    <t>Presentation</t>
  </si>
  <si>
    <t>Prepare or have the entity prepare balance confirmation requests for amounts outstanding to creditors as on the balance sheet date. Agree the balances as per confirmations received to the ledger balances and reconcile the differences if any. Incase of non replies, perform alternative procedures such as checking subsequent settlement of amounts outstanding</t>
  </si>
  <si>
    <t>For those creditor balances in respect of which confirmations are not obtained and balances have not been subsequently settled, verify the balances outstanding with the original supplier invoices</t>
  </si>
  <si>
    <t>Check subsequent settlement of such advance accounts to see whether transaction is honoured at a later date. Ensure that appropriate allowance for doubtful advance is made where there is indication that the supplier might default his obligations</t>
  </si>
  <si>
    <t>Being non fund arrangements errors of omission can happen</t>
  </si>
  <si>
    <t>Absence of control activities</t>
  </si>
  <si>
    <t>Recalculation, Observation</t>
  </si>
  <si>
    <t>Dheeraj R</t>
  </si>
  <si>
    <t>George Infra Private Limited</t>
  </si>
  <si>
    <t>review it</t>
  </si>
  <si>
    <t>Whether the risk involves significant transactions that are outside the normal course of business of the entity or that appear to be unusual</t>
  </si>
  <si>
    <t>Inquiry, Inspection, Recalculation</t>
  </si>
  <si>
    <t>Inquiry, Inspection</t>
  </si>
  <si>
    <t>Task</t>
  </si>
  <si>
    <t>Financials</t>
  </si>
  <si>
    <t>Audit documentation</t>
  </si>
  <si>
    <t>Statutory Audit Review</t>
  </si>
  <si>
    <t>Opening balance verification</t>
  </si>
  <si>
    <t>Average 
Cost</t>
  </si>
  <si>
    <t>Man days</t>
  </si>
  <si>
    <t>Material class of transaction</t>
  </si>
  <si>
    <t>FA Workings (including CWIP)</t>
  </si>
  <si>
    <t>FA Vouching (including CWIP)</t>
  </si>
  <si>
    <t>FA Control testing</t>
  </si>
  <si>
    <t>Hrs</t>
  </si>
  <si>
    <t>FA Review</t>
  </si>
  <si>
    <t>Required resource</t>
  </si>
  <si>
    <t>First year article</t>
  </si>
  <si>
    <t>Kuri Loans</t>
  </si>
  <si>
    <t>Vehicle Loans</t>
  </si>
  <si>
    <t>Working Capital Loans</t>
  </si>
  <si>
    <t>Debt Review</t>
  </si>
  <si>
    <t>Bank Reconciliation</t>
  </si>
  <si>
    <t>Cash &amp; Bank Review</t>
  </si>
  <si>
    <t>Payroll workings</t>
  </si>
  <si>
    <t>Payroll Review</t>
  </si>
  <si>
    <t>Inventory Exporting</t>
  </si>
  <si>
    <t>Nevil + 1 First year article</t>
  </si>
  <si>
    <t>Inventory - Data bank</t>
  </si>
  <si>
    <t>Inventory - FIFO</t>
  </si>
  <si>
    <t>Nevil + Linson Francis + Grasion George</t>
  </si>
  <si>
    <t>Inventory - Opening balance correction</t>
  </si>
  <si>
    <t>Inventory - Review</t>
  </si>
  <si>
    <t>Grasion George + Nevil</t>
  </si>
  <si>
    <t>Inventory - Others</t>
  </si>
  <si>
    <t>Receivables -  Accuracy of client workings</t>
  </si>
  <si>
    <t>Receivables -  Confirmations</t>
  </si>
  <si>
    <t>Receivables -  Provision</t>
  </si>
  <si>
    <t>Receivables -  Review</t>
  </si>
  <si>
    <t>Accounts Payable -  Accuracy of client workings</t>
  </si>
  <si>
    <t>Accounts Payable -  Confirmations</t>
  </si>
  <si>
    <t>Accounts Payable -  Provision</t>
  </si>
  <si>
    <t>Accounts Payable -  Review</t>
  </si>
  <si>
    <t>Staff Advance</t>
  </si>
  <si>
    <t>Prepaid expense</t>
  </si>
  <si>
    <t>Deposits with Govt. Authorities</t>
  </si>
  <si>
    <t>Rent Deposits</t>
  </si>
  <si>
    <t>Other Deposits</t>
  </si>
  <si>
    <t>Loans and advances Review</t>
  </si>
  <si>
    <t>Revenue related vouching</t>
  </si>
  <si>
    <t>Revenue Review</t>
  </si>
  <si>
    <t>Sample Selection</t>
  </si>
  <si>
    <t>Vouching</t>
  </si>
  <si>
    <t>2 First Year article</t>
  </si>
  <si>
    <t>GST Exporting and formating</t>
  </si>
  <si>
    <t>Input workings</t>
  </si>
  <si>
    <t>TDS/TCS</t>
  </si>
  <si>
    <t>GST Output workings</t>
  </si>
  <si>
    <t>GST Consolidation</t>
  </si>
  <si>
    <t>GST Financial summary</t>
  </si>
  <si>
    <t>TDS/TCS Exporting</t>
  </si>
  <si>
    <t>Statutory payable review</t>
  </si>
  <si>
    <t>Grasion/ Linson</t>
  </si>
  <si>
    <t>Risk of misstatement of fixed assets because the depreciation method and / or depreciation rate adopted are not in compliance with the applicable statutes</t>
  </si>
  <si>
    <t>SPFA4</t>
  </si>
  <si>
    <t>Obtain the rates of Deprecation for each category of assets as per the applicable statutes and compute the Depreciation Expense for the year as per  statute.</t>
  </si>
  <si>
    <t>CACB4</t>
  </si>
  <si>
    <t>Bank Accounts are opened and closed with the approval of the Board of Directors.</t>
  </si>
  <si>
    <t>Obtain bank reconciliation statements from the entity for all accounts (including zero balance accounts) and agree the bank book balance to the general ledger and the pass book balance to the bank statement. Trace the reconciling items to the bank statement for the subsequent period or general ledger as the case may be.</t>
  </si>
  <si>
    <t>Bank statements are periodically obtained and bank reconciliation statements are prepared every month and are reviewed and approved by the management.</t>
  </si>
  <si>
    <t>The management monitors collections from debtors on a daily basis based on the reports received from accounts department. In respect of long outstanding cases, follow ups are made for recovering the balance due by the Area sales managers as well as by the accounts department. If, in spite of repeated followups, the party defaults in settling the dues, the details are sent to the legal department to initiate legal proceedings for recovery. Accordingly such balances are classified as doubtful and a provision is made.</t>
  </si>
  <si>
    <t>The applicable statutory rates are updated in a master file in the accounting package and are continuosly reviewed and updated.</t>
  </si>
  <si>
    <t>The discount value shown on the invoice is calculated based on the management approved discount rates.</t>
  </si>
  <si>
    <t>Fixed assets are physically number-tagged and such tags are linked to the Fixed Asset Register so as to identify any fictitious fixed assets</t>
  </si>
  <si>
    <t>CAFA9</t>
  </si>
  <si>
    <t>Check whether cut off dates determined are appropriate and the accounting of statutory liabilities has been done accordingly</t>
  </si>
  <si>
    <t>After obtaining approval from the COO/Directors, purchase orders are raised on the vendors by the purchase department in respect of requisitions received from production. In respect of admin and IT assets, the respective departments themselves obtain quotations from various vendors and select the vendor offering the best terms and places their order.</t>
  </si>
  <si>
    <t>Ensure that gratuity provision is accounted correctly</t>
  </si>
  <si>
    <t>RSKPROV1</t>
  </si>
  <si>
    <t>CAPROV1</t>
  </si>
  <si>
    <t>The employee data for actuarial valuation compiled by the HR department is cross checked by the accounts department before the same is sent for actuarial valuation</t>
  </si>
  <si>
    <t>SPPROV1</t>
  </si>
  <si>
    <t>Ensure that doubtful balances are appropriately provided for</t>
  </si>
  <si>
    <t>RSKPROV2</t>
  </si>
  <si>
    <t>Risk of misstatement of provision for doubtful balances because of doubtful balances are not properly estimated/ascertained</t>
  </si>
  <si>
    <t>CAPROV2</t>
  </si>
  <si>
    <t>The entity has an internal policy of follow up with long outstanding balances. In case of non replies and non payments, the entity consults with its legal counsel and sends out notices to the parties. Doubtful debts are ascertained and marked for write off or provision after consultation with TCWG</t>
  </si>
  <si>
    <t>SPPROV2</t>
  </si>
  <si>
    <t>Analyse the ageing of long outstanding balances to see if there are any cases where there are no movements during the year and enquire with persons within the entity regarding the recoverability of such balances. Obtain supportings in the form of approvals and communications from the entity's legal counsel and TCWG to determine the balances that are doubtful</t>
  </si>
  <si>
    <t>Ensure that annual accruals to provisions for fabricator incentive and warranty are accounted</t>
  </si>
  <si>
    <t>RSKPROV3</t>
  </si>
  <si>
    <t>Risk of understatement of expenses and provision balance as accruals of fabricator incentive and product warranties are not appropriately accounted</t>
  </si>
  <si>
    <t>CAPROV3</t>
  </si>
  <si>
    <t>Incentives to fabricators are provided by way of fuel points which have specific validity. The accumulation of fuel points is tracked by way of the entity's inhouse application software which has control mechanisms to ensure that points which expire as at the balance sheet date are automatically removed. The provision for fabricator incentive is provided on the unexpired points based on reports generated from the application software.</t>
  </si>
  <si>
    <t>CAPROV4</t>
  </si>
  <si>
    <t>The entity keeps a tab of the product warranty claims that arise during each period. Provision for product warranties is calculated based on the warranty claim patterns and trends for the previous periods</t>
  </si>
  <si>
    <t>SPPROV3</t>
  </si>
  <si>
    <t>Obtain reports from the entity's application software and check on a sample basis the points that accrue to fabricators. Ensure that provision is made only in respect of the accumulated unexpired points as at the nd of the financial year</t>
  </si>
  <si>
    <t>SPPROV4</t>
  </si>
  <si>
    <t>Independantly ascertain the trend of warranty claims over the past periods. Check whether the underlying assumptions used to compute product warranty provision based on past trends are adequate and reasonable</t>
  </si>
  <si>
    <t>RSKDBT7</t>
  </si>
  <si>
    <t>Risk of incomplete disclosure of particulars with respect to loans such as charges, security details etc</t>
  </si>
  <si>
    <t>Disclosure</t>
  </si>
  <si>
    <t>Errors of omission can happen</t>
  </si>
  <si>
    <t>SPDBT13</t>
  </si>
  <si>
    <t>Obtain renewal/sanction letters for financial facilities availed by the entity. Check the documents for details of interest rates and securities and ensure that the same are adequately disclosed in the financial statements as per the requirements of the financial reporting framework</t>
  </si>
  <si>
    <t>SPDBT14</t>
  </si>
  <si>
    <t>Check MCA website for details of creation, modification and satisfaction of charges. Ensure that non compliances in respect of the same are appropriately disclosed in notes to accounts as well as audit report (CARO)</t>
  </si>
  <si>
    <t>SPDBT15</t>
  </si>
  <si>
    <t>Obtain renewal/sanction letters/loan agreements for financial facilities availed by the entity and ensure that the terms and conditions mentioned therein have been complied with</t>
  </si>
  <si>
    <t>SPDRS7</t>
  </si>
  <si>
    <t>Ensure that sundry debtors are appropriately presented and disclosed as per statutory requirements</t>
  </si>
  <si>
    <t>RSKDRS6</t>
  </si>
  <si>
    <t>Risk that debts due from directors, related parties of the entity are not separately disclosed as per reporting requirements</t>
  </si>
  <si>
    <t>Nil</t>
  </si>
  <si>
    <t>SPDRS8</t>
  </si>
  <si>
    <t>Cross check with related party workings to ensure that debtors are presented appropriately as per reporting requirements</t>
  </si>
  <si>
    <t>SPCL7</t>
  </si>
  <si>
    <t>Calculate Creditors to purchase turnover ratio and import credtiors to import purchase turnover ratio and check if there are any abnormalities</t>
  </si>
  <si>
    <t>Calculate Drs turnover ratio for all debtors and make enquiries with the management in case of abnormalities noticed</t>
  </si>
  <si>
    <t>Statutory Audit for the year ended 31.03.2024</t>
  </si>
  <si>
    <t>Obtain GSTR2B for the period under audit and check whether there are any transactions listed therein in respect of fixed assets acquired by the entity. Ensure that all these transactions have been correctly accounted in the books</t>
  </si>
  <si>
    <t>Requisitions are received from production department, admin department and IT department for purchase of fixed assets. The production department requisitions are forwarded to purchase department which is inturn sent to the COO/Directors for approval. The admin and IT department requisitions are approved by the respective department heads and sent to the COO/Directors for his approval</t>
  </si>
  <si>
    <t>Obtain the rates of Deprecation for each category of assets as per the applicable statutes and compute the Depreciation Expense for the year as per the statutes.</t>
  </si>
  <si>
    <t>A risk emanating from misappropriation/threats has the inherent characteristics of a risk due to fraud</t>
  </si>
  <si>
    <t>Check if the entity has taken any off balancesheet financing/non fund based commitments and also if any security or guarantee has been provided by or to the entity. Ensure that the same are appropriately and adequately disclosed in the notes to account</t>
  </si>
  <si>
    <t>Investments</t>
  </si>
  <si>
    <t>Risk of misstatement of investment in chit funds since payments to chit companies are not correctly accounted in the books of account</t>
  </si>
  <si>
    <t>Ensure that Investments in chit funds are appropriately accounted</t>
  </si>
  <si>
    <t>Periodic statements are obtained from chit fund companies and balances reconciled with the accounted balances in the books of account</t>
  </si>
  <si>
    <t>Not performed since not relying on controls</t>
  </si>
  <si>
    <t>Obtain confirmations from the chit fund companies and compare the amounts mentioned therein (total remittance, future liability, closing balance) with the computed balances</t>
  </si>
  <si>
    <t>Obtain statements from chit fund companies for the year. Check if payments made to chits and dividends and bonuses earned upon making such payments are accounted. From the data available calculate the total remittance made towards the chit fund, future liability and closing balance of chit fund</t>
  </si>
  <si>
    <t>Ensure that other investments in shares and mutual funds are appropriately accounted and measured</t>
  </si>
  <si>
    <t>Risk of misstatement of investments in shares and mutual funds since amounts invested are not accounted and measured as per the requirements of relevant accounting standards</t>
  </si>
  <si>
    <t>In case of investments in listed shares and mutual funds, periodic statements are obtained and the investment cost is compared to its  FMV as per requirements of accounting standards</t>
  </si>
  <si>
    <t>Obtain statements in respect of investments made by the entity and check if the investments made are accounted at cost after expensing off charges if any. Obtain share prices/NAVs as on the balance sheet date and check whether the FMV of investment has gone down below the cost. Incase of current investments, ensure that investments are measured at lower of cost or FMV and in case of non current investment, ensure that the same are measured at cost</t>
  </si>
  <si>
    <t>Ensure that investments are appropriately classified and disclosed in the financial statements</t>
  </si>
  <si>
    <t>Risk that investments made by the company are not appropriately classified and disclosed in the financial statements</t>
  </si>
  <si>
    <t>Obtain list of investments and check whether the investments are meant to be liquidated in the next 12 months. If yes, classify the same as current and if no, classify as non-current investments</t>
  </si>
  <si>
    <t>Check whether investments in chit funds have a corresponding liability against the same by way of prized chitty. In such cases, investments are to be netted off against the curresponding liability the net balance needs to be appropriately disclosed in the financial statements</t>
  </si>
  <si>
    <t>RSKINMT1</t>
  </si>
  <si>
    <t>CAINMT1</t>
  </si>
  <si>
    <t>SPINMT1</t>
  </si>
  <si>
    <t>SPINMT2</t>
  </si>
  <si>
    <t>RSKINMT2</t>
  </si>
  <si>
    <t>CAINMT2</t>
  </si>
  <si>
    <t>SPINMT3</t>
  </si>
  <si>
    <t>RSKINMT3</t>
  </si>
  <si>
    <t>SPINMT4</t>
  </si>
  <si>
    <t>SPINMT5</t>
  </si>
  <si>
    <t>Ensure that Cash balances are not materially misstated</t>
  </si>
  <si>
    <t>Ensure that bank balances are not materially misstated</t>
  </si>
  <si>
    <t>Risk of understatement of Prepaid expense because prepaid is not recognised for payments in respect of which services have not been received and such payments are wrongly classified as expense.</t>
  </si>
  <si>
    <t>Where the recoverability of an advance is uncertain, ensure that appropriate allowance for doubtful advance is made in the books of account</t>
  </si>
  <si>
    <t>There have been similar instances culminating in frauds by employees in the prior periods</t>
  </si>
  <si>
    <t>SPCL8</t>
  </si>
  <si>
    <t>Ensure that compliances related to MSME creditors are met</t>
  </si>
  <si>
    <t>RSKCL6</t>
  </si>
  <si>
    <t>Risk of misstatement of supplier balances because amounts outstanding to MSME creditors are not appropriately classified and disclosed</t>
  </si>
  <si>
    <t>CACL8</t>
  </si>
  <si>
    <t>Entity circulates confirmation requests to all creditors to confirm whether they are MSME creditors. In case of non replies, a further reminder confirmation request is circulated</t>
  </si>
  <si>
    <t>Check whether MSME confirmation requests have been circulated for all creditors of the entity. Also check whether follow up mails have been circulated in case of non replies</t>
  </si>
  <si>
    <t>SPCL9</t>
  </si>
  <si>
    <t>Obtain list of MSME creditors prepared by the entity and check whether the classification is done as per confirmations received from the respective parties. Ensure that reporting requirements under the financial reporting framework as well as other compliance requirements (Eg: income tax related) with respect to such parties are complied with</t>
  </si>
  <si>
    <t>Not tested since not relying on controls</t>
  </si>
  <si>
    <t>Cutoff &amp; Allocation</t>
  </si>
  <si>
    <t>Control testing was not performed since not relying on controls</t>
  </si>
  <si>
    <t>Analytical procedures</t>
  </si>
  <si>
    <t>Risk of misstatement of leave salary expense and accrual because the leave, salary and other relevant data provided for actuarial valuation is incorrect and disclosures required as per the financial reporting framework are not given</t>
  </si>
  <si>
    <t>Ensure all employee benefit provisions are correctly computed and recorded in the books of account and appropriately disclosed in the financial statements</t>
  </si>
  <si>
    <t>SPPAY6</t>
  </si>
  <si>
    <t>Ensure that all the required disclosures and reporting requirements as per the financial reporting framework are complied with</t>
  </si>
  <si>
    <t>Ensure other expenses including purchases are appropriately recorded</t>
  </si>
  <si>
    <t>Select expense accounts (including purchases) for test of details/vouching on the basis of materiality set. Compare the selected expenses with appropriate supporting documents</t>
  </si>
  <si>
    <t>Risk that inventory balances are intentionally misstated so as to ensure better working capital borrowing limits</t>
  </si>
  <si>
    <t>There is an inherent risk of fraud in intentionally misstating inventory balances</t>
  </si>
  <si>
    <t>Lenders</t>
  </si>
  <si>
    <t>Obtain quarterly statements of inventory submitted to banks and compare the same with book stock to check if there are any material discrepancies</t>
  </si>
  <si>
    <t>SPINV6</t>
  </si>
  <si>
    <t>RSKINV5</t>
  </si>
  <si>
    <t>Presentation &amp; Disclosures</t>
  </si>
  <si>
    <t>Identified ROMM at Financial Statement Level</t>
  </si>
  <si>
    <t>SA 330-Para A1</t>
  </si>
  <si>
    <t>Resulting in FS level risk</t>
  </si>
  <si>
    <t>Whether Pervasive?</t>
  </si>
  <si>
    <t>Management Plans to address Risk</t>
  </si>
  <si>
    <t xml:space="preserve">Further Audit Procedures Planned / Remarks of Auditor </t>
  </si>
  <si>
    <t xml:space="preserve">Application and Other Explanatory Material
</t>
  </si>
  <si>
    <t xml:space="preserve"> [2020.01 Understanding the entity]</t>
  </si>
  <si>
    <t>The relationships with suppliers and customers are generally cordial. Rawmaterial imported is supplied against advances paid to suppliers which is not against any contract and therefore there is risk that the party may not honour the purchase transaction</t>
  </si>
  <si>
    <t>The management relies on the long term association they have had with the supplier and is of the opinion that this risk is not material. Further, advance paid at the time of placing an import order is only 15% of the import value after which the supplier starts manufacturing the required batch. Further the entity's agent who facilitates the import transactions acts as an extended arm of the entity and effectively coordinates the transaction.</t>
  </si>
  <si>
    <t>SPCL5 - Verifying terms of contract with major suppliers
SPCL6 - Subsequent settlement testing</t>
  </si>
  <si>
    <t>Overall Responses (Ref: Para. 5)</t>
  </si>
  <si>
    <t>Rule 3 of Companies Accounts Rules becomes applicable from 01-04-2023.However rule 11(g) of Companies (Audit and Auditors)Rules becomes applicable from 01-04-2022.</t>
  </si>
  <si>
    <t xml:space="preserve">Accounting softwares used by entity namely Tallyprime and SAP having audit trial feature. </t>
  </si>
  <si>
    <t>[2020.02 Understanding the internal control]</t>
  </si>
  <si>
    <t>TCWG may inadvertently encroach on the roles and responsibilities of operational management, leading to confusion, overlapping duties, or undermining the authority of senior personnel. This can cause friction within the management team, reducing efficiency and effectiveness in decision-making processes.</t>
  </si>
  <si>
    <t>TCWG has delegated certain operational responsibilities to senior management, empowering them to make decisions within their areas of expertise. This Fosters a culture of trust and accountability, allowing senior personnel to lead effectively while TCWG focuses on strategic governance.</t>
  </si>
  <si>
    <t>It was explained that the entity is in the process of corporatising its operations and accordingly there are structural changes happening. The present involvement of TCWG in operations was warranted since the entity reported losses in the year 2022-23 and the directors took a call to take part more in the operational activities in order to tide over the situation and steady the ship. It was informed that their involvement in the operations will be brought down going forward.</t>
  </si>
  <si>
    <t>Absence of a formal documented risk assessment process would mean that risks may not be identified or managed effectively, leading to unforeseen issues that could impact the organization’s performance and stability.</t>
  </si>
  <si>
    <t>Even though the risk assessment process at the entity is not maintained in a documented form, they have good systems and practices in place and are generally compliant with applicable laws and regulations. Further, as per the provisions of Companies act, an "external" internal auditor has been appointed by the entity and the entity is planning to move to a risk based internal audit approach this year the scope of which is being finalised. Iit is expected that a formal documented risk assessment process with risk rankings and matrices will be introduced as part of the same</t>
  </si>
  <si>
    <t>The entity has the capability and resources to appropriately identify, assess and responds to risks as and when they occur even though such process is not documented or formal. Based on our risk assessment process, we observed that the entity has in place adequate controls to respond to risks at business level, FS level and MCOTABD level. The results of the same are given in the respective working papers
FAPFS3 -  Monitoring of work
FAPFS4 - Unpredictable elements
FAPFS5 - Audit procedures to obtain persuasive audit evidence</t>
  </si>
  <si>
    <t>Non standard journal entries may be used to misrepresent books of account by artificially overstanding or understanding account balances</t>
  </si>
  <si>
    <t>There is proper control over passing of non standard journal entries in that such rights are limited to select individuals within the organisation</t>
  </si>
  <si>
    <t>Non standard journal entries are checked during ledger scrutiny
FAPFS7 - Journal entry testing</t>
  </si>
  <si>
    <t xml:space="preserve">Control activities at the entity including Authorisation matrices, segregation etc are not documented. </t>
  </si>
  <si>
    <t>It is ensured that eventhough the activities are not documented, there is an in principle system at the entity to ensure that the same are appropriately being followed. 
Further, as per the provisions of Companies act, an "external" internal auditor has been appointed by the entity and the entity is planning to move to a risk based internal audit approach this year the scope of which is being finalised. Iit is expected that a formal documented risk assessment process with risk rankings and related control activities will be introduced as part of the same</t>
  </si>
  <si>
    <t>Based on our risk assessment process, we observed that the entity has in place adequate controls to respond to risks at business level, FS level and MCOTABD level. The results of the same are given in the respective working papers
FAPFS1 - Engagement team selection
FAPFS2 - Firm's QC policy
FAPFS3 -  Monitoring of work
FAPFS4 - Unpredictable elements
FAPFS5 - Audit procedures to obtain persuasive audit evidence
FAPFS6 - Results of audit procedures from prior years</t>
  </si>
  <si>
    <t>Assertions Addressed</t>
  </si>
  <si>
    <t>Assertions affected</t>
  </si>
  <si>
    <t>Type of risk</t>
  </si>
  <si>
    <t>Control testing</t>
  </si>
  <si>
    <t>Substantive testing</t>
  </si>
  <si>
    <t>R, C, V</t>
  </si>
  <si>
    <t>Normal</t>
  </si>
  <si>
    <t>CACL5 - Payment approval</t>
  </si>
  <si>
    <t>SPFA8 - GSTR2A verification for additions</t>
  </si>
  <si>
    <t>CACB2 - Monthly bank reco testing</t>
  </si>
  <si>
    <t>SPFA2 - Additions vouching</t>
  </si>
  <si>
    <t>SPFA3 - Physical verification procedures</t>
  </si>
  <si>
    <t>SPCL2 - Creditors balance confirmation</t>
  </si>
  <si>
    <t>SPCB2 - Bank reconciliation checking</t>
  </si>
  <si>
    <t>E, R, C, V</t>
  </si>
  <si>
    <t>SPFA1 - Checking OB carried forward</t>
  </si>
  <si>
    <t>SPFA9 - Checking GSTRs for asset sale</t>
  </si>
  <si>
    <t>E, R, V, A</t>
  </si>
  <si>
    <t>CAFA3 - Checking asset purchase requisitions</t>
  </si>
  <si>
    <t>SPFA6 - Repairs &amp; maint ledger scrutiny</t>
  </si>
  <si>
    <t>CAFA4 - Asset PO verification</t>
  </si>
  <si>
    <t>CAFA5 - Asset invoice approval</t>
  </si>
  <si>
    <t>RSKFA4 - Risk of overstatement of fixed assets because repairs and maintenance expenses have been incorrectly capitalised as fixed assets.</t>
  </si>
  <si>
    <t>SPFA10 - Review of CWIP ledger &amp; capitalisation</t>
  </si>
  <si>
    <t>RSKFA5 - Risk of overstatement of fixed assets because assets disposed of have not been recorded in the fixed asset register / general ledger.</t>
  </si>
  <si>
    <t>E, R</t>
  </si>
  <si>
    <t>SPFA4 - Testing asset disposals</t>
  </si>
  <si>
    <t>RSKFA6 - Risk of misstatement of fixed assets because initial measurement, subsequent measurement and impairment testing of fixed assets have not been done in the manner specified in the financial reporting framework</t>
  </si>
  <si>
    <t>SPFA7 - Impairment testing</t>
  </si>
  <si>
    <t>RSKFA7 - Risk of misstatement of fixed assets because the depreciation method and / or depreciation rate adopted are not in compliance with the applicable statutes</t>
  </si>
  <si>
    <t>V, A</t>
  </si>
  <si>
    <t>SPFA5 - Depreciation recomputation</t>
  </si>
  <si>
    <t>SPFA11 - Cross checking with Winman</t>
  </si>
  <si>
    <t>RSKCB1 - Risk of overstatement of Cash balance (Eg: non-existent cash receipts have been recorded, cash payments omited to be recorded etc.)</t>
  </si>
  <si>
    <t>E, R, V</t>
  </si>
  <si>
    <t>CACB1 - Periodic physical verification of cash</t>
  </si>
  <si>
    <t>SPCB1 - Cash physical verification on BS date</t>
  </si>
  <si>
    <t>SPCB5 - Physical verification on date other than BS date</t>
  </si>
  <si>
    <t>RSKCB2 - Risk of understatement of Cash balance (Eg: non-existent cash payments have been recorded, cash receipts omited to be recorded etc.)</t>
  </si>
  <si>
    <t>RSKCB3 - Risk of misstatement of Cash because cash on hand has been misappropriated / stolen.</t>
  </si>
  <si>
    <t>Significant</t>
  </si>
  <si>
    <t>CACB5 - Cash is kept under lock &amp; key</t>
  </si>
  <si>
    <t>SPCB4 - Whether cash is kept under lock &amp; key</t>
  </si>
  <si>
    <t>RSKCB4 - Risk of overstatement of bank balance (Eg: non-existent bank receipts have been recorded, bank payments or charges omitted to be recorded etc)</t>
  </si>
  <si>
    <t>E, R, C</t>
  </si>
  <si>
    <t>CACB3 - Bank confirmation testing</t>
  </si>
  <si>
    <t>SPCB3 - Bank confirmation testing</t>
  </si>
  <si>
    <t>CACB4 - Checking BoD minutes</t>
  </si>
  <si>
    <t>RSKCB5 - Risk of understatement of bank balance (Eg: non-existent bank payments recorded, bank receipts omitted to be recorded etc)</t>
  </si>
  <si>
    <t>O, C, A, CO</t>
  </si>
  <si>
    <t>CAPAY2 - Biometric attendance report checking</t>
  </si>
  <si>
    <t>C, A</t>
  </si>
  <si>
    <t>RSKPAY5 - Risk of misstatement of leave salary expense and accrual because the leave, salary and other relevant data provided for actuarial valuation is incorrect and disclosures required as per the financial reporting framework are not given</t>
  </si>
  <si>
    <t>C, A, CL</t>
  </si>
  <si>
    <t>CAINV1 - Physical verification</t>
  </si>
  <si>
    <t>SPINV1 - Inventory test counts</t>
  </si>
  <si>
    <t>SPINV2 - Confirmation of stock with 3rd parties</t>
  </si>
  <si>
    <t>RSKINV3 - Risk of overstatement of Inventory because inventory is old, obsolete, damaged, not usable or is saleable at amounts less than that at which it is recorded.</t>
  </si>
  <si>
    <t>SPINV3 - Checking inventory valuation method</t>
  </si>
  <si>
    <t>SPINV4 - Using NRV for valuing damaged stock</t>
  </si>
  <si>
    <t>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t>
  </si>
  <si>
    <t>SPINV5 - Allocating overheads to stock</t>
  </si>
  <si>
    <t>RSKINV5 - Risk that inventory balances are intentionally misstated so as to ensure better working capital borrowing limits</t>
  </si>
  <si>
    <t>V, A, P&amp;D</t>
  </si>
  <si>
    <t>SPDBT15 - Checking terms as per sanction letters
SPINV6 - Verifying quarterly inventory statements submitted to banks</t>
  </si>
  <si>
    <t>RSKDRS1 - Risk of misstatement of Accounts receivable  because invoices issued and recorded do not relate to valid sales / shipments or because invoices are not recorded at all.</t>
  </si>
  <si>
    <t>SPRE1 - Validity of recorded sales transactions</t>
  </si>
  <si>
    <t>SPRE7 - Checking gate passes to ensure invoices are not fictitious</t>
  </si>
  <si>
    <t>RSKDRS2 - Risk of misstatement of Accounts receivable  because of errors in the calculation of sales value on the invoice.</t>
  </si>
  <si>
    <t>R, V</t>
  </si>
  <si>
    <t>CARE3 - Comparision with pricelists</t>
  </si>
  <si>
    <t>SPRE3 - Checking pricelists and discounts</t>
  </si>
  <si>
    <t>CARE4 - Checking invoice autocomputation</t>
  </si>
  <si>
    <t>CARE5 - Checking for unauthorised access</t>
  </si>
  <si>
    <t>RSKDRS3 - Risk of misstatement of Accounts receivable  because receipts from customers is recorded more than once or are not recorded at all.</t>
  </si>
  <si>
    <t>E, R, V, C</t>
  </si>
  <si>
    <t>SPDRS1 - Drs ageing</t>
  </si>
  <si>
    <t>S</t>
  </si>
  <si>
    <t>SPDRS5 - Confirmation procedures as on BS date/subsequent testing.</t>
  </si>
  <si>
    <t>SPDRS6 - Confirmation procedures on other date/subsequent testing.</t>
  </si>
  <si>
    <t>SPDRS7 - Drs Turnover ratio checking</t>
  </si>
  <si>
    <t>RSKDRS4 - Risk of overstatement of Accounts receivable because of understatement of allowance for doubtful debts.</t>
  </si>
  <si>
    <t>R, V, A</t>
  </si>
  <si>
    <t>SPDRS2 - Check debtors provisioning</t>
  </si>
  <si>
    <t>SPDRS4 - Reconcile ageing report with GL</t>
  </si>
  <si>
    <t>RSKDRS5 - Risk of overstatement of bad debts because debtors are written off as bad without proper approvals</t>
  </si>
  <si>
    <t>CADRS3 - Approvals for writeoff of debts</t>
  </si>
  <si>
    <t>SPDRS3 - Approvals for writeoff of debts</t>
  </si>
  <si>
    <t>RSKDRS6 - Risk that debts due from directors, related parties of the entity are not separately disclosed as per reporting requirements</t>
  </si>
  <si>
    <t>P</t>
  </si>
  <si>
    <t>SPDRS8 - Cross check with related party workings to ensure that debtors are presented appropriately as per reporting requirements</t>
  </si>
  <si>
    <t>RSKINMT1-Risk of misstatement of investment in chit funds since payments to chit companies are not correctly accounted in the books of account</t>
  </si>
  <si>
    <t>SPINMT1 - Comparison of amounts booked with statements</t>
  </si>
  <si>
    <t>SPINMT2 - Comparison with confirmations</t>
  </si>
  <si>
    <t>RSKINMT2-Risk of misstatement of investments in shares and mutual funds since amounts invested are not accounted and measured as per the requirements of relevant accounting standards</t>
  </si>
  <si>
    <t>SPINMT3 - Comparison with statements and cost FMV comparison</t>
  </si>
  <si>
    <t>RSKINMT3-Risk that investments made by the company are not appropriately classified and disclosed in the financial statements</t>
  </si>
  <si>
    <t>SPINMT4 - Checking time period for liquidation for current/non current classification</t>
  </si>
  <si>
    <t>SPINMT5 - Comparison against corresponding liability if any and appropriate disclosure</t>
  </si>
  <si>
    <t>SPEQ1 - Obtain schedule of changes in equity and confirm the balances</t>
  </si>
  <si>
    <t>SPEQ2 - Review minutes of TCWG</t>
  </si>
  <si>
    <t>SPEQ3 - Check statutory compliance of dividend payouts if any</t>
  </si>
  <si>
    <t>RSKDBT1 - Risk of overstatement of recorded debt (Eg: Due to non recording of payments, personal loans of directors/partners accounted in the firm's books etc)</t>
  </si>
  <si>
    <t>E, O, C</t>
  </si>
  <si>
    <t>CADBT1 - Monitoring by lenders</t>
  </si>
  <si>
    <t>SPDBT1 - Check if all loan balances are accounted</t>
  </si>
  <si>
    <t>SPDBT2 - Checking with confirmations</t>
  </si>
  <si>
    <t>CADBT4 - Checking confirmations from lenders</t>
  </si>
  <si>
    <t>RSKDBT3 - Risk of non compliance with the terms of the loan</t>
  </si>
  <si>
    <t>O</t>
  </si>
  <si>
    <t>SPDBT5 - Check interest ledgers for penalties</t>
  </si>
  <si>
    <t>SPDBT15 - Checking terms as per sanction letters</t>
  </si>
  <si>
    <t>RSKDBT4 - Risk of misstatement of loan balance and interest expense due to non recording/incorrect recording of interest expense</t>
  </si>
  <si>
    <t>O, C, V, A</t>
  </si>
  <si>
    <t>SPDBT6 - Check interest booked with statements</t>
  </si>
  <si>
    <t>SPDBT7 - Recalculate interest amount</t>
  </si>
  <si>
    <t>SPDBT8 - Check if there are any borrowing costs to be capitalised</t>
  </si>
  <si>
    <t>SPDBT9 - Check for statutory compliance wrt TDS</t>
  </si>
  <si>
    <t>RSKDBT5 - Risk of erroneous classification of loan outstanding balance and interest expense in the financial statements</t>
  </si>
  <si>
    <t>P, A</t>
  </si>
  <si>
    <t>SPDBT10 - Calculate current, non current portion</t>
  </si>
  <si>
    <t>SPDBT11 - Ensure correct classification of interest</t>
  </si>
  <si>
    <t>RSKDBT6 - Risk of failure to disclose or erroneous classification of guarantees and other non fund based financial arrangements in the financial statements</t>
  </si>
  <si>
    <t>SPDBT12 - Check for off BS financing arrangements</t>
  </si>
  <si>
    <t>RSKDBT7 - Risk of incomplete disclosure of particulars with respect to loans such as charges, security details etc</t>
  </si>
  <si>
    <t>P, D</t>
  </si>
  <si>
    <t>SPDBT13 - Check renewal/sanction letters</t>
  </si>
  <si>
    <t>SPDBT14 - Check MCA website and ensure adequate disclosure</t>
  </si>
  <si>
    <t>CACL3 - Purchase order testing</t>
  </si>
  <si>
    <t>SPCL1 - Obtaining list of creditors</t>
  </si>
  <si>
    <t>SPCL2 - Creditors balance confirmation BS date</t>
  </si>
  <si>
    <t>SPCL3 - Checking wih confirmations nearest to BS date</t>
  </si>
  <si>
    <t>SPCL8 - Checking with original supplier invoices</t>
  </si>
  <si>
    <t>O, C, V</t>
  </si>
  <si>
    <t>SPCL7 -  Checking Crs to purchase turnover</t>
  </si>
  <si>
    <t>O, C</t>
  </si>
  <si>
    <t>RSKCL4 - Risk of misstatement of foreign supplier balances because such balances are not restated as on the balance sheet date as specified in the financial reporting framework</t>
  </si>
  <si>
    <t>O, V</t>
  </si>
  <si>
    <t>SPCL4 - Foreign currency balance restatement</t>
  </si>
  <si>
    <t>RSKCL5 - Risk of misstatement of supplier balances because advances made to suppliers for supply of goods/services may end up being irrecoverable if the party does not honour transaction</t>
  </si>
  <si>
    <t>SPCL6 - Subsequent settlement testing</t>
  </si>
  <si>
    <t>RSKCL6 - Risk of misstatement of supplier balances because amounts outstanding to MSME creditors are not appropriately classified and disclosed</t>
  </si>
  <si>
    <t>CACL8 - MSME confirmations</t>
  </si>
  <si>
    <t>SPCL9 - MSME classification &amp; IT disallowance</t>
  </si>
  <si>
    <t>E, O, V, CO, Allocation</t>
  </si>
  <si>
    <t>SPSP1 - Recalculation of statutory dues</t>
  </si>
  <si>
    <t>SPSP2 - Checking whether recent rate changes/amendments are given effect to</t>
  </si>
  <si>
    <t>SPSP5 - Checking accounting of statutory dues</t>
  </si>
  <si>
    <t>O, C, CO</t>
  </si>
  <si>
    <t>SPSP3 - Verifying whether statutory dues are paid</t>
  </si>
  <si>
    <t>SPSP4 - Checking whether returns filed are complete and correct</t>
  </si>
  <si>
    <t>RSKLA1 - Risk of understatement of Prepaid expense because prepaid is not recognised for payments in respect of which services have not been received and such payments are wrongly classified as expense.</t>
  </si>
  <si>
    <t>E, R, C, V, A</t>
  </si>
  <si>
    <t>SPLA1 - Check TB to identify balances that can include prepayments</t>
  </si>
  <si>
    <t>SPLA2 - Verify prepaid expense booked with supportings</t>
  </si>
  <si>
    <t>SPLA3 - Ensure first insurance premium for vehicles is capitalised</t>
  </si>
  <si>
    <t>SPLA4 - Check whether prepaid expenses are subsequently expensed off</t>
  </si>
  <si>
    <t>RSKLA3 - Risk of misstatement of Staff advances because the balance in staff advance account pertain to employees who have left the organisation</t>
  </si>
  <si>
    <t>CALA4 - Check whether advances to staff adhere to the entity's policy for the same</t>
  </si>
  <si>
    <t>SPLA5 - Subsequent settlement of advances</t>
  </si>
  <si>
    <t>SPLA6 - Check if outstanding staff advance balance is wrt employees who are with the organisation as on BS date</t>
  </si>
  <si>
    <t>SPLA7 - Provision for doubtful advances</t>
  </si>
  <si>
    <t>SPLA8 - Verify deposits with supportings</t>
  </si>
  <si>
    <t>SPLA9 - Verify rent deposits with agreements</t>
  </si>
  <si>
    <t>SPLA10 - Obtain status of legal proceedings wrt deposits with statutory authorities</t>
  </si>
  <si>
    <t>SPLA11 - Check electricity deposits with recent KSEB bills</t>
  </si>
  <si>
    <t>SPLA12 - Provision/write off of doubtful/bad deposits</t>
  </si>
  <si>
    <t>SPLA13 - Calculate current and non current portions</t>
  </si>
  <si>
    <t>SPRE1 - Comparison with customer orders</t>
  </si>
  <si>
    <t>CARE2 - Check sequential numbering of invoices</t>
  </si>
  <si>
    <t>SPRE2 - Check sequential numbering of invoices</t>
  </si>
  <si>
    <t>SPRE4 - Check credit notes with original invoices</t>
  </si>
  <si>
    <t>CO</t>
  </si>
  <si>
    <t>SPRE6 - Perform cutoff testing</t>
  </si>
  <si>
    <t>Provisions</t>
  </si>
  <si>
    <t>RSKPROV1 - Risk of misstatement of accrual for gratuity liability at the balance sheet date because the salary, period of service, and other relevant data provided by the entity for actuarial valuation is incorrect.</t>
  </si>
  <si>
    <t>E, O, V</t>
  </si>
  <si>
    <t>SPPROV1 - Check the reasonability of assumptions  by actuary and ensure correctness of the data given to actuary</t>
  </si>
  <si>
    <t>RSKPROV2 - Risk of misstatement of provision for doubtful balances because of doubtful balances are not properly estimated/ascertained</t>
  </si>
  <si>
    <t>E, V, A</t>
  </si>
  <si>
    <t>SPPROV2 - Check the reasonability of provisions made in respect of doubtful balances</t>
  </si>
  <si>
    <t>RSKPROV3 - Risk of understatement of expenses and provision balance as accruals of fabricator incentive and product warranties are not appropriately accounted</t>
  </si>
  <si>
    <t>SPPROV3 - Check the accuracy of points that accrue to fabricators</t>
  </si>
  <si>
    <t>SPPROV4 - Check the calculation of warranty provision and ensure that the assumptions are valid</t>
  </si>
  <si>
    <t>Expenses (Including purchases)</t>
  </si>
  <si>
    <t>CAEXP1 - Approval on invoices</t>
  </si>
  <si>
    <t>SPEXP1 - Perform test of details</t>
  </si>
  <si>
    <t>O, C, A</t>
  </si>
  <si>
    <t>O, C, A, CL</t>
  </si>
  <si>
    <t>SPEXP2 - Perform analytical procedures including building expectations of amount booked as expense with the supportings avaialble (Say rent agreements)</t>
  </si>
  <si>
    <t>FAP Code</t>
  </si>
  <si>
    <t>Description of procedure</t>
  </si>
  <si>
    <t>FAPFS1</t>
  </si>
  <si>
    <t>The audit engagement team was finalised considering the experience and skill sets of the team members. Staff with prior experience in handling audits of the same entity are selected. The significant audit areas are assigned to team members considering their relative experience and special skills</t>
  </si>
  <si>
    <t>FAPFS2</t>
  </si>
  <si>
    <t>Meetings are conducted during various stages of the audit process. At the time of commencement of audit, the engagement partner/qualified member explains to the entire team the need to maintain professional skepticism and adherance to ethical requirements throughout the audit. The firm's quality control manual is explained to the team members so that they have an overall idea about the responsibilities towards quality control in an engagement. The significant audit areas are also communicated to the members where more focus and attention of the team is required.</t>
  </si>
  <si>
    <t>FAPFS3</t>
  </si>
  <si>
    <t>The progress of the audit work is closely and periodically monitored by the engagement partner/qualified member so that queries and roadblocks that the engagement team may face while performing the audit engagement are addressed on an immediate basis</t>
  </si>
  <si>
    <t>FAPFS4</t>
  </si>
  <si>
    <t>Unpredictable elements are included as part of the audit procedures such as surprise verification of cash, inventory etc. Additional audit procedures are performed in respect of risks identified as significant risks.</t>
  </si>
  <si>
    <t>FAPFS5</t>
  </si>
  <si>
    <t>The audit procedures are performed at the period end rather than at an interim date. Audit procedures to obtain more extensive and persuasive audit evidence are performed by the auditor in respect of those areas which in the auditor's professional judgement are considered as significant audit areas</t>
  </si>
  <si>
    <t>FAPFS6</t>
  </si>
  <si>
    <t>FAPFS7</t>
  </si>
  <si>
    <t>Siginificant and unusual entries (specifically journal entries) made in the books of account are checked as part of ledger scrutiny to seen if they are genuine entries</t>
  </si>
  <si>
    <t>Reference</t>
  </si>
  <si>
    <t>Engagement Team</t>
  </si>
  <si>
    <t>Meeting Minutes</t>
  </si>
  <si>
    <t>Refer Monitoring MoM</t>
  </si>
  <si>
    <t xml:space="preserve">Refer respective Manual WPs </t>
  </si>
  <si>
    <t>4000-Audit Execution</t>
  </si>
  <si>
    <t>ROMM and FAP at MCOTABD Level (For details - Refer ensuing sheets)</t>
  </si>
  <si>
    <t>ROMM and FAP at Financial statement Level (For details of FS level FAP, refer below; For MCOTABD level FAP, refer ensuing sheets)</t>
  </si>
  <si>
    <t>Observation, Inquiry, Analytical procedures</t>
  </si>
  <si>
    <t>Risk that all events occurring between the date of the financial statements and the date of the auditor’s report that require adjustment of, or disclosure in, the financial statements are not identified</t>
  </si>
  <si>
    <t>Risk that significant related party relationships and transactions are not identified, accounted and appropriately disclosed in the financial statements</t>
  </si>
  <si>
    <t>Related party registers and register of contracts are maintained and related party transactions are entered only after details  of the related party are entered in such registers</t>
  </si>
  <si>
    <t>The management prepares monthly financial results for discussing with TCWG. Significant transactions occuring after the balance sheet date are therefore appropriately captured</t>
  </si>
  <si>
    <t>FAPFS8</t>
  </si>
  <si>
    <t>Obtain MIS reports and financial statements prepared for the subsequent period by the management. Check if there are any significant transactions reported therein after the balancesheet date but before the date of auditor's report which require adjustment or disclosure in the financial statements</t>
  </si>
  <si>
    <t>FAPFS9</t>
  </si>
  <si>
    <t>Obtain minutes of meeting by the board of  directors and check if there are any significant events, decisions or transactions reported therein after the balancesheet date but before the date of auditor's report which require adjustment or disclosure in the financial statements</t>
  </si>
  <si>
    <t>FAPFS8 - Reviewing subsequent period MIS reports and financial statements
FAPFS9 - Reviewing minutes of meeting of BoD
Perform inquiries with the management and TCWG on occurrence of significant subsequent events.</t>
  </si>
  <si>
    <t>SPCL6 - Subsequent transactions testing</t>
  </si>
  <si>
    <t>GRN, Qlty testing etc</t>
  </si>
  <si>
    <t>Testing General IT controls and Application level controls</t>
  </si>
  <si>
    <r>
      <t xml:space="preserve">TCWG may </t>
    </r>
    <r>
      <rPr>
        <sz val="11"/>
        <color rgb="FFFF0000"/>
        <rFont val="Arial"/>
        <family val="2"/>
      </rPr>
      <t>inadvertently encroach on the roles and responsibilities of operational management,</t>
    </r>
    <r>
      <rPr>
        <sz val="11"/>
        <color theme="1"/>
        <rFont val="Arial"/>
        <family val="2"/>
      </rPr>
      <t xml:space="preserve"> also play the role of operational management leading to confusion, overlapping duties, or undermining the authority of senior personnel. This can cause friction within the management team, reducing efficiency and effectiveness in decision-making processes.</t>
    </r>
  </si>
  <si>
    <t>It was explained that the entity is in the process of improvising its operations and accordingly there are structural changes happening. The present involvement of TCWG in operations was warranted since the entity reported losses in the year 2022-23 and the directors took a call to take part more in the operational activities in order to tide over the situation and steady the ship. It was informed that their involvement in the operations will be brought down going forward.</t>
  </si>
  <si>
    <t>Active involvement of TCWG in the management has so far ensured that the entity was not caught in any surprise situations due to business risks that impacted the organisation's performance and stability. Further, as per the provisions of Companies act, a third party internal auditor has been appointed by the entity and the entity is planning to move to a risk based internal audit approach this year the scope of which is being finalised. Iit is expected that a formal documented risk assessment process with risk rankings and matrices will be introduced as part of the same</t>
  </si>
  <si>
    <t>FAP - MCOTABD</t>
  </si>
  <si>
    <t>Overall responses to assessed risks of misstatement at financial statement level</t>
  </si>
  <si>
    <t>Monthly customer ageing reports - Include under controls</t>
  </si>
  <si>
    <t>Obtain details of physical verification of cash performed by the entity and check if the periodicity of verification is appropriate</t>
  </si>
  <si>
    <t>Obtain bank confirmation statements</t>
  </si>
  <si>
    <t>Obtain a few samples for payments processed during the year and check whether the payment is approved by the appropriate authority and whether there are adequate supportings</t>
  </si>
  <si>
    <t>Select samples of Fixed asset additions during the year. Obtain the corresponding requisitions received from the respective department.Check the requistions for appropriate approvals</t>
  </si>
  <si>
    <t>Check whether the requistions are approved by the COO/Directors.Obtain purchase orders raised in respect of assets requisitioned by the production department and quotations in respect of other assets. Check whether the quotation with best terms is selected</t>
  </si>
  <si>
    <t>Check whether the invoices in respect of the samples selected are approved by the respective departmentt</t>
  </si>
  <si>
    <t>Check whether appropriate approvals are present for the bad debts written off</t>
  </si>
  <si>
    <t>1) Check during invoice generation time whether rates are automatically picked by the application system.
2) Compare the automatically picked rates with price master file, if any entered in the application system.</t>
  </si>
  <si>
    <t>1) Try to manally edit the rate field at the time of generation of invoice and ensure that only logins with appropriate authorisation have such access</t>
  </si>
  <si>
    <t>During physical verification of inventory, check whether damaged stock items are appropriately segregated and kept apart from good stock</t>
  </si>
  <si>
    <t>CAINV2 - Segregation of damaged and good stock</t>
  </si>
  <si>
    <t>SA 560 - Subsequent events</t>
  </si>
  <si>
    <t>FAPFS10</t>
  </si>
  <si>
    <t>Obtain management representations regarding the list of related parties of the company. Identify related party transactions from the books of account and ensure that the same are appropriately disclosed in the financial statements. Obtain register of contracts maintained by the company and check the correctness of related party relationships and transactions recorded therein</t>
  </si>
  <si>
    <t>FAPFS10 - Management representations, statutory registers</t>
  </si>
  <si>
    <t>Risks arising due to overall market conditions including but not limited to price changes of commodities, governmental policies, pandemics etc</t>
  </si>
  <si>
    <t>While preplanning and following a conservative approach to business may alleviate some of these risks, in respect of certain risks, the management will be able to respond only when such risk arises</t>
  </si>
  <si>
    <t>FAPFS1 to FAPFS 10 given below</t>
  </si>
  <si>
    <t>3000 - Communications</t>
  </si>
  <si>
    <t>Obtain sample purchase/expense transactions and check if there are valid purchase orders against such transactions</t>
  </si>
  <si>
    <t>RSKEP1</t>
  </si>
  <si>
    <t>Ensure that accrued expenses are appropriately reported and classified</t>
  </si>
  <si>
    <t>CAEP1</t>
  </si>
  <si>
    <t>SPEP1</t>
  </si>
  <si>
    <t>Monthly P&amp;L statements are prepared by the entity for presenting before top management where it is ensured that all recurring expenses are appropriately accounted to facilitate comparison</t>
  </si>
  <si>
    <t>SPEP2</t>
  </si>
  <si>
    <t>Where invoices related to expenses corresponding to the period under audit are obtained subsequent to the balance sheet date but before the audit report date, ensure that the accrued expense/expense payable amount is accounted as per the amount mentioned in such invoices. Alternatively check if the amounts recognised as accrued expenses are settled subsequently</t>
  </si>
  <si>
    <t>Check major recurring expenses such as salaries, electricity charges, telephone expenses etc and ensure that expense corresponding to the entire reporting period is accounted in the books of account.</t>
  </si>
  <si>
    <t>SPEP3</t>
  </si>
  <si>
    <t>In respect of recurring expenses for which invoices are not received (say, Bank interest), recalculate the amount of expense corresponding to the period under audit and ensure that the same is appropriately recognised in the books of account</t>
  </si>
  <si>
    <t>SPEP4</t>
  </si>
  <si>
    <t>Ensure that expenses payable/accrued expenses are appropriately classified in the financial statements</t>
  </si>
  <si>
    <t>Expenses payable</t>
  </si>
  <si>
    <t>RSKEP1 - Risk of misstatement of expenses payable because accrued expenses are not appropriately accounted and classified</t>
  </si>
  <si>
    <t>E, O, C, V, A</t>
  </si>
  <si>
    <t>SPEP1 - Ensuring recurring expenses are booked</t>
  </si>
  <si>
    <t>SPEP2 - Expense payable subsequent testing</t>
  </si>
  <si>
    <t>SPEP3 - Recalculation of expenses payable</t>
  </si>
  <si>
    <t>SPEP4 - Classification of expenses payable</t>
  </si>
  <si>
    <t>Ensure that expenses payable to staff are appropriately recorded</t>
  </si>
  <si>
    <t>RSKEP2</t>
  </si>
  <si>
    <t>SPEP5</t>
  </si>
  <si>
    <t>Risk of misstatement of expenses payable because accrued expenses are not appropriately accounted and appropriately classified</t>
  </si>
  <si>
    <t>CAEP2</t>
  </si>
  <si>
    <t>Reimbursement claims received from staff are appropriately approved by the respective department heads and forwarded for payment processing. The expenses reimbursable are recorded by the accounts department after receipt of such approved reimbursement forms and payments are processed accordingly</t>
  </si>
  <si>
    <t>Risk of misstatement of expenses payable because expenses payable to staff are not correctly accounted and appropriately classified</t>
  </si>
  <si>
    <t>Check subsequent settlement of expenses payable to staff including but not limited to travel reimbursements, Bata Payable etc to ensure that the amounts accounted as payable correspond to valid  transactions</t>
  </si>
  <si>
    <t>SPEP6</t>
  </si>
  <si>
    <t>Check the classification of expenses payable to staff and ensure that the same are included under current liabilities in the balance sheet</t>
  </si>
  <si>
    <t>RSKEP2 - Risk of misstatement of expenses payable because expenses payable to staff are not correctly accounted and appropriately classified</t>
  </si>
  <si>
    <t>SPEP6 - Classification of staff advance payable</t>
  </si>
  <si>
    <t>SPEP5 - Subsequent settlement of staff payables</t>
  </si>
  <si>
    <t>Risk of non compliance with the terms of the loan resulting in increased interest and penal charges</t>
  </si>
  <si>
    <t>SPDBT16</t>
  </si>
  <si>
    <t>Obtain a representation from the management stating that all loan balances required to be reported are correctly reported</t>
  </si>
  <si>
    <t>SPDBT16 - Obtain written representations</t>
  </si>
  <si>
    <t>Risk of overstatement of Accounts payable because payments to creditors are not recorded or are not netted off with outstanding payable balance</t>
  </si>
  <si>
    <t>SPCL10</t>
  </si>
  <si>
    <t>Ensure that where payments are made to creditors, the same are appropriately set off against the outstanding payable balances. Where there are dues to and from the same entity, unless otherwise specified, set off the dues and present the net amount appropriately in the financial statements</t>
  </si>
  <si>
    <t>RSKCL3 - Risk of overstatement of Accounts payable because payments to creditors are not recorded or are not netted off with outstanding payable balance</t>
  </si>
  <si>
    <t>SPCL10 - Netting off dues</t>
  </si>
  <si>
    <t>RSKLA4 - Risk of misstatement of Deposits because the the recorded deposits are fictitious or non-recoverable/doubtful or without proper supportings</t>
  </si>
  <si>
    <t>RSKLA6</t>
  </si>
  <si>
    <t>Risk of misstatement of Loans &amp; advances or Deposits because doubtful deposits are not adequately proviided for</t>
  </si>
  <si>
    <t>SPLA14</t>
  </si>
  <si>
    <t>SPLA15</t>
  </si>
  <si>
    <t>In respect of deposits with statutory authorities such as appeal deposits, check the latest status of the same and obtain supporting documentation.</t>
  </si>
  <si>
    <t>Obtain ageing of deposits and enquire about the recoverability of long outstanding balances. Provide for the balances for which recoverability is uncertain. Ensure that the doubtful balances are appropriately classified in the financial statements as required by the financial reporting framework</t>
  </si>
  <si>
    <t>SPLA14 - Deposits ageing and provisioning</t>
  </si>
  <si>
    <t>SPLA15 - Statutory deposits</t>
  </si>
  <si>
    <t>RSKLA6 - Risk of misstatement of Loans &amp; advances or Deposits because doubtful deposits are not adequately proviided for</t>
  </si>
  <si>
    <t>RSKPAY6</t>
  </si>
  <si>
    <t>Ensure that employee related costs are correctily recorded in the appropriate ledgers</t>
  </si>
  <si>
    <t>Risk that employee costs are not recorded in the correct ledgers according to their nature (direct wages, indirect costs, staff welfare etc) which could impact calculation of production overhead rates and consquently inventory valuation.</t>
  </si>
  <si>
    <t>SPPAY7</t>
  </si>
  <si>
    <t>Obtain employee wise salary details and designations from the client and check whether direct and indirect employee costs and staff welfare expenses are booked separately in the respective ledgers. Check the computation of production overhead rates and ensure that the direct portion of employee costs is included in the computation</t>
  </si>
  <si>
    <t>RSKPAY6 - Risk that employee costs are not recorded in the correct ledgers according to their nature (direct wages, indirect costs, staff welfare etc) which could impact calculation of production overhead rates and consquently inventory valuation.</t>
  </si>
  <si>
    <t>SPPAY7 - Employee cost segregation and POH calculation</t>
  </si>
  <si>
    <t>SPPAY1 - Recompute salary expense</t>
  </si>
  <si>
    <t>SPPAY3 - Check incentive computation</t>
  </si>
  <si>
    <t>SPPAY4 - Check salary payable balance</t>
  </si>
  <si>
    <t>SPPAY2 - Recalculate PF, ESI deductions</t>
  </si>
  <si>
    <t>SPPAY5 - Checking data given to actuary
SPPAY6 - Ensuring compliance with disclosure reqmts</t>
  </si>
  <si>
    <t>Statutory Audit for the year ended 31.03.2025</t>
  </si>
  <si>
    <t>To be done in current year</t>
  </si>
  <si>
    <t>Check the locations where cash are stored and ensure that the same is protected from unauthorised access. Check whether there is a proper lock and key mechanism and also ensure that the constodianship of the key is given only to the person with appropriate level of authority</t>
  </si>
  <si>
    <t>Obtain Board Resolution in respect of Bank accounts open/ closed during the year</t>
  </si>
  <si>
    <t>E, R, C ,V</t>
  </si>
  <si>
    <t>Obtain Board Resolution in respect of Bank accounts opened/closed during the year</t>
  </si>
  <si>
    <t xml:space="preserve">Obtain samples of Fixed assets from the Ledger accounts/FA Register. Check whether the selected samples are physically number tagged. </t>
  </si>
  <si>
    <t>CAFA9 - FA number tagging</t>
  </si>
  <si>
    <t>E,R, C, V</t>
  </si>
  <si>
    <t>The staff advances files are maintained by the HR department which is further cross checked by the accounts department at the time of processing payroll. In the case of employees who leave the organisation, the final settlement is done after adjusting with any balance left in staff advance account</t>
  </si>
  <si>
    <t>RSKLA5 - Risk of misstatement of Loans &amp; advances or Deposits because the required classification into current and non current as required by the framework is not done</t>
  </si>
  <si>
    <t>O, A, P</t>
  </si>
  <si>
    <t>A, CO</t>
  </si>
  <si>
    <t>CL, PD</t>
  </si>
  <si>
    <t>Obtain the list of employees provided to actuary for actuarial valuation. On a sample basis, compare the details as per the list with the supporting documentation that is available</t>
  </si>
  <si>
    <t>To done during the current year</t>
  </si>
  <si>
    <t>Presentation &amp; Disclosure</t>
  </si>
  <si>
    <t>V, P&amp;D</t>
  </si>
  <si>
    <t>Obtain reports from the attendance system for a few samples covering the period under audit and check whether the attendance data is correctly captured for processing payroll</t>
  </si>
  <si>
    <t>Obtain samples of expense transactions recorded in the general ledger and check whether the same supported by appropriate supporting documentation . Also check there such invoices are approved by the manager</t>
  </si>
  <si>
    <t>Risk of misstatement of finance expenses because the transactions recorded in the general ledger are fictitious or unauthorised or the same are not recorded at all</t>
  </si>
  <si>
    <t>Recalculation, Reperformance</t>
  </si>
  <si>
    <t>Risk of misstatement of depreciation expenses because the transactions recorded in the general ledger are fictitious or unauthorised or the same are not recorded at all</t>
  </si>
  <si>
    <t>Risk of misstatement of Bad debts expenses because the transactions recorded in the general ledger are fictitious or unauthorised or the same are not recorded at all</t>
  </si>
  <si>
    <t>Write off of bad debts is done only after taking necessary approval from the senior management after recording the reasons for writing off the debtors as bad.</t>
  </si>
  <si>
    <t>Risk of misstatement of Administration, establishment expenses because the transactions recorded in the general ledger are fictitious or unauthorised or the same are not recorded at all</t>
  </si>
  <si>
    <t>Risk of misstatement of advertisement expenses because the transactions recorded in the general ledger are fictitious or unauthorised or the same are not recorded at all</t>
  </si>
  <si>
    <t>Obtain the list of prepaid expenses maintained by the management and check whether the calculation And segregation of a transaction in to prepaid balance and expense portion are as per the terms of the respective / contract</t>
  </si>
  <si>
    <t>Obtain the supporting documentation and independently recalculate the amount to be booked as prepaid and the amount to be expensed off.</t>
  </si>
  <si>
    <t>Analytical procedures include comparison with PY workings/balances to see whether there are any significant differences in the balance</t>
  </si>
  <si>
    <t>Check the subsequent settlement of the prepaid expenses (Loans &amp; advances given). In case of advances given to staff, obtain confirmations from the employees/management for the amount of loan/advance receivable. Write off amounts which are not recoverable</t>
  </si>
  <si>
    <t>Due to the mitigating effect of the controls</t>
  </si>
  <si>
    <t>In case of inventories owned by the entity but located at third party premises, obtain confirmation from the third parties as to the stock in hand as on the balance sheet date.</t>
  </si>
  <si>
    <t>Ensure that inventories are measured at lower of cost or NRV and that a recognized cost formula as per AS 2 is used for valuation. Ensure that damaged/obsolete inventories are segregated from the good stock on the production floor during physical verification</t>
  </si>
  <si>
    <t>Ensure that inventories are measured at lower of cost or NRV and that a recognized cost formula as per AS 2 is used for valuation. Also identify all the related manufacturing and indirect overheads and ensure that all associated costs incurred in bringing the inventories to their present location and condition are taken while valuing inventories</t>
  </si>
  <si>
    <t>Obtain records of physical verification of inventory performed by the management and check whether adjustment entries have been made in the books of accounts in respect of the differences noted there in</t>
  </si>
  <si>
    <t>To be done during current year</t>
  </si>
  <si>
    <t>Obtain sample sale transactions and check whether the same are supported by custoomer orders and also whether the goods in respect of such sales have actually moved out by checking shipping documents</t>
  </si>
  <si>
    <t>Obtain internal audit reports from the entity. Check whether any major non-compliances in respect of statutory liabilities are mentioned in such reports and whether appropriate corrective actions have been taken</t>
  </si>
  <si>
    <t>To be done in the current year</t>
  </si>
  <si>
    <t>Obtain agreements and specified covenants for the loan facilities taken by the entity. Check the same for mandatory and periodic compliances that the entity has to meet and see whether the lenders periodically check whether such compliances are met</t>
  </si>
  <si>
    <t>To be done during the current year</t>
  </si>
  <si>
    <t>Obtain confirmations from lenders in respect of financing facilities availed by the entity and check whether all facilities mentioned in the confirmation are accounted in the books of account/disclosed in the financial statements</t>
  </si>
  <si>
    <t>CARE1 - Comparison with orders and shipping documents</t>
  </si>
  <si>
    <t>Select sample dates for each bank account maintained by the entity and obtain bank statements for the set dates.Check whether book balance and bank statement balance are appropriately reconciled.</t>
  </si>
  <si>
    <t>Advances/loans to staff are made as per the entity's policy for staff advances and loans after taking appropriate approvals.</t>
  </si>
  <si>
    <t>Obtain samples of staff loans and advances granted during the period and check either the same are done as per the entities policy.</t>
  </si>
  <si>
    <t>The entity has an effective control environment as per the auditor's evaluation. From prior experiences with the entity, it has been noted that there are sound systems and controls in place at the entity and the management as well as TCWG attach a lot of importance to maintain an effective control environment. Further, the auditor obtained details of control activities in place at the entity. These were reviewed by the auditor and reliance was placed on some of these control activities. The control activities relied upon by the auditor were tested during the audits for the FYs 2022-23 and 2023-24. Where the controls continue to be relevant and no major changes have occured, such a control need to be tested only once in every 3 audits. However, during the year 2024-25 it was ensured that all control activities on which the auditor chooses to rely upon were tested</t>
  </si>
  <si>
    <t>FAP - Test of controls</t>
  </si>
  <si>
    <t>CASP5 - Periodic internal audits and verification</t>
  </si>
  <si>
    <t>CALA1 - Management maintains a list of routine regular prepaid balances</t>
  </si>
  <si>
    <t>R</t>
  </si>
  <si>
    <t xml:space="preserve"> C</t>
  </si>
  <si>
    <t xml:space="preserve"> V</t>
  </si>
  <si>
    <t xml:space="preserve"> R</t>
  </si>
  <si>
    <t xml:space="preserve"> A</t>
  </si>
  <si>
    <t>V</t>
  </si>
  <si>
    <t xml:space="preserve"> C </t>
  </si>
  <si>
    <t xml:space="preserve"> CO</t>
  </si>
  <si>
    <t xml:space="preserve"> CL</t>
  </si>
  <si>
    <t>CL</t>
  </si>
  <si>
    <t xml:space="preserve"> P&amp;D</t>
  </si>
  <si>
    <t xml:space="preserve"> O</t>
  </si>
  <si>
    <t>PD</t>
  </si>
  <si>
    <t>P&amp;D</t>
  </si>
  <si>
    <t>No of assertions addressed</t>
  </si>
  <si>
    <t>Assertions addressed</t>
  </si>
  <si>
    <t>P&amp;DRSKFA1 - Risk of understatement of fixed assets because assets acquired by the entity are not recorded.</t>
  </si>
  <si>
    <t xml:space="preserve"> CRSKFA1 - Risk of understatement of fixed assets because assets acquired by the entity are not recorded.</t>
  </si>
  <si>
    <t xml:space="preserve"> VRSKFA1 - Risk of understatement of fixed assets because assets acquired by the entity are not recorded.</t>
  </si>
  <si>
    <t>ERSKFA2 - Risk of understatement of fixed assets because assets in use and still owned by the entity have been wrongly recorded as disposed.</t>
  </si>
  <si>
    <t xml:space="preserve"> RRSKFA2 - Risk of understatement of fixed assets because assets in use and still owned by the entity have been wrongly recorded as disposed.</t>
  </si>
  <si>
    <t xml:space="preserve"> CRSKFA2 - Risk of understatement of fixed assets because assets in use and still owned by the entity have been wrongly recorded as disposed.</t>
  </si>
  <si>
    <t xml:space="preserve"> VRSKFA2 - Risk of understatement of fixed assets because assets in use and still owned by the entity have been wrongly recorded as disposed.</t>
  </si>
  <si>
    <t>ERSKFA3 - Risk of understatement of fixed assets because fixed assets purchased have been expensed and not capitalised.</t>
  </si>
  <si>
    <t xml:space="preserve"> RRSKFA3 - Risk of understatement of fixed assets because fixed assets purchased have been expensed and not capitalised.</t>
  </si>
  <si>
    <t xml:space="preserve"> VRSKFA3 - Risk of understatement of fixed assets because fixed assets purchased have been expensed and not capitalised.</t>
  </si>
  <si>
    <t xml:space="preserve"> ARSKFA3 - Risk of understatement of fixed assets because fixed assets purchased have been expensed and not capitalised.</t>
  </si>
  <si>
    <t>ERSKFA4 - Risk of overstatement of fixed assets because repairs and maintenance expenses have been incorrectly capitalised as fixed assets.</t>
  </si>
  <si>
    <t xml:space="preserve"> RRSKFA4 - Risk of overstatement of fixed assets because repairs and maintenance expenses have been incorrectly capitalised as fixed assets.</t>
  </si>
  <si>
    <t xml:space="preserve"> VRSKFA4 - Risk of overstatement of fixed assets because repairs and maintenance expenses have been incorrectly capitalised as fixed assets.</t>
  </si>
  <si>
    <t xml:space="preserve"> ARSKFA4 - Risk of overstatement of fixed assets because repairs and maintenance expenses have been incorrectly capitalised as fixed assets.</t>
  </si>
  <si>
    <t>ERSKFA5 - Risk of overstatement of fixed assets because assets disposed of have not been recorded in the fixed asset register / general ledger.</t>
  </si>
  <si>
    <t xml:space="preserve"> RRSKFA5 - Risk of overstatement of fixed assets because assets disposed of have not been recorded in the fixed asset register / general ledger.</t>
  </si>
  <si>
    <t>ERSKFA6 - Risk of misstatement of fixed assets because initial measurement, subsequent measurement and impairment testing of fixed assets have not been done in the manner specified in the financial reporting framework</t>
  </si>
  <si>
    <t xml:space="preserve"> RRSKFA6 - Risk of misstatement of fixed assets because initial measurement, subsequent measurement and impairment testing of fixed assets have not been done in the manner specified in the financial reporting framework</t>
  </si>
  <si>
    <t xml:space="preserve"> VRSKFA6 - Risk of misstatement of fixed assets because initial measurement, subsequent measurement and impairment testing of fixed assets have not been done in the manner specified in the financial reporting framework</t>
  </si>
  <si>
    <t xml:space="preserve"> ARSKFA6 - Risk of misstatement of fixed assets because initial measurement, subsequent measurement and impairment testing of fixed assets have not been done in the manner specified in the financial reporting framework</t>
  </si>
  <si>
    <t>VRSKFA7 - Risk of misstatement of fixed assets because the depreciation method and / or depreciation rate adopted are not in compliance with the applicable statutes</t>
  </si>
  <si>
    <t xml:space="preserve"> ARSKFA7 - Risk of misstatement of fixed assets because the depreciation method and / or depreciation rate adopted are not in compliance with the applicable statutes</t>
  </si>
  <si>
    <t>Rights</t>
  </si>
  <si>
    <t>Risk formatted</t>
  </si>
  <si>
    <t>ERSKCB1 - Risk of overstatement of Cash balance (Eg: non-existent cash receipts have been recorded, cash payments omited to be recorded etc.)</t>
  </si>
  <si>
    <t xml:space="preserve"> RRSKCB1 - Risk of overstatement of Cash balance (Eg: non-existent cash receipts have been recorded, cash payments omited to be recorded etc.)</t>
  </si>
  <si>
    <t xml:space="preserve"> VRSKCB1 - Risk of overstatement of Cash balance (Eg: non-existent cash receipts have been recorded, cash payments omited to be recorded etc.)</t>
  </si>
  <si>
    <t>ERSKCB2 - Risk of understatement of Cash balance (Eg: non-existent cash payments have been recorded, cash receipts omited to be recorded etc.)</t>
  </si>
  <si>
    <t xml:space="preserve"> RRSKCB2 - Risk of understatement of Cash balance (Eg: non-existent cash payments have been recorded, cash receipts omited to be recorded etc.)</t>
  </si>
  <si>
    <t xml:space="preserve"> VRSKCB2 - Risk of understatement of Cash balance (Eg: non-existent cash payments have been recorded, cash receipts omited to be recorded etc.)</t>
  </si>
  <si>
    <t>ERSKCB3 - Risk of misstatement of Cash because cash on hand has been misappropriated / stolen.</t>
  </si>
  <si>
    <t xml:space="preserve"> RRSKCB3 - Risk of misstatement of Cash because cash on hand has been misappropriated / stolen.</t>
  </si>
  <si>
    <t>ERSKCB4 - Risk of overstatement of bank balance (Eg: non-existent bank receipts have been recorded, bank payments or charges omitted to be recorded etc)</t>
  </si>
  <si>
    <t xml:space="preserve"> RRSKCB4 - Risk of overstatement of bank balance (Eg: non-existent bank receipts have been recorded, bank payments or charges omitted to be recorded etc)</t>
  </si>
  <si>
    <t>VRSKCB4 - Risk of overstatement of bank balance (Eg: non-existent bank receipts have been recorded, bank payments or charges omitted to be recorded etc)</t>
  </si>
  <si>
    <t>ERSKCB5 - Risk of understatement of bank balance (Eg: non-existent bank payments recorded, bank receipts omitted to be recorded etc)</t>
  </si>
  <si>
    <t xml:space="preserve"> RRSKCB5 - Risk of understatement of bank balance (Eg: non-existent bank payments recorded, bank receipts omitted to be recorded etc)</t>
  </si>
  <si>
    <t xml:space="preserve"> CRSKCB5 - Risk of understatement of bank balance (Eg: non-existent bank payments recorded, bank receipts omitted to be recorded etc)</t>
  </si>
  <si>
    <t xml:space="preserve"> VRSKCB5 - Risk of understatement of bank balance (Eg: non-existent bank payments recorded, bank receipts omitted to be recorded etc)</t>
  </si>
  <si>
    <t>RRSKCB6 - Risk of understatement of Bank because interest accrued in the bank accounts have not been recorded by the entity.</t>
  </si>
  <si>
    <t xml:space="preserve"> CRSKCB6 - Risk of understatement of Bank because interest accrued in the bank accounts have not been recorded by the entity.</t>
  </si>
  <si>
    <t xml:space="preserve"> VRSKCB6 - Risk of understatement of Bank because interest accrued in the bank accounts have not been recorded by the entity.</t>
  </si>
  <si>
    <t>ORSKPAY1 - Risk of misstatement of payroll expense due to recording of incorrect amount as payroll cost (i.e., due to updation of wrong salary cost in the payroll master file).</t>
  </si>
  <si>
    <t xml:space="preserve"> CRSKPAY1 - Risk of misstatement of payroll expense due to recording of incorrect amount as payroll cost (i.e., due to updation of wrong salary cost in the payroll master file).</t>
  </si>
  <si>
    <t xml:space="preserve"> ARSKPAY1 - Risk of misstatement of payroll expense due to recording of incorrect amount as payroll cost (i.e., due to updation of wrong salary cost in the payroll master file).</t>
  </si>
  <si>
    <t xml:space="preserve"> CORSKPAY1 - Risk of misstatement of payroll expense due to recording of incorrect amount as payroll cost (i.e., due to updation of wrong salary cost in the payroll master file).</t>
  </si>
  <si>
    <t>ARSKPAY2 - Risk of misstatement of payroll expense due to recording of payroll cost in the wrong period.</t>
  </si>
  <si>
    <t xml:space="preserve"> CORSKPAY2 - Risk of misstatement of payroll expense due to recording of payroll cost in the wrong period.</t>
  </si>
  <si>
    <t>CRSKPAY3 - Risk of understatement of payroll cost because the withheld taxes and other deductions are not recorded (i.e., payroll cost is recorded for net payroll and not gross payroll).</t>
  </si>
  <si>
    <t xml:space="preserve"> ARSKPAY3 - Risk of understatement of payroll cost because the withheld taxes and other deductions are not recorded (i.e., payroll cost is recorded for net payroll and not gross payroll).</t>
  </si>
  <si>
    <t>CRSKPAY4 - Risk of misstatement of Provident Fund and ESI expense recorded because the statutory rate of contribution applied is incorrect or contribution has not been calculated for all employees due to processing errors.</t>
  </si>
  <si>
    <t xml:space="preserve"> ARSKPAY4 - Risk of misstatement of Provident Fund and ESI expense recorded because the statutory rate of contribution applied is incorrect or contribution has not been calculated for all employees due to processing errors.</t>
  </si>
  <si>
    <t>CRSKPAY5 - Risk of misstatement of leave salary expense and accrual because the leave, salary and other relevant data provided for actuarial valuation is incorrect and disclosures required as per the financial reporting framework are not given</t>
  </si>
  <si>
    <t xml:space="preserve"> ARSKPAY5 - Risk of misstatement of leave salary expense and accrual because the leave, salary and other relevant data provided for actuarial valuation is incorrect and disclosures required as per the financial reporting framework are not given</t>
  </si>
  <si>
    <t xml:space="preserve"> CLRSKPAY5 - Risk of misstatement of leave salary expense and accrual because the leave, salary and other relevant data provided for actuarial valuation is incorrect and disclosures required as per the financial reporting framework are not given</t>
  </si>
  <si>
    <t>CLRSKPAY6 - Risk that employee costs are not recorded in the correct ledgers according to their nature (direct wages, indirect costs, staff welfare etc) which could impact calculation of production overhead rates and consquently inventory valuation.</t>
  </si>
  <si>
    <t>P&amp;DRSKPAY6 - Risk that employee costs are not recorded in the correct ledgers according to their nature (direct wages, indirect costs, staff welfare etc) which could impact calculation of production overhead rates and consquently inventory valuation.</t>
  </si>
  <si>
    <t>ERSKINV1 - Risk of understatement of Inventory because inventory on hand and inventory received from suppliers are not included in inventory records.</t>
  </si>
  <si>
    <t>RRSKINV1 - Risk of understatement of Inventory because inventory on hand and inventory received from suppliers are not included in inventory records.</t>
  </si>
  <si>
    <t xml:space="preserve"> CRSKINV1 - Risk of understatement of Inventory because inventory on hand and inventory received from suppliers are not included in inventory records.</t>
  </si>
  <si>
    <t xml:space="preserve"> VRSKINV1 - Risk of understatement of Inventory because inventory on hand and inventory received from suppliers are not included in inventory records.</t>
  </si>
  <si>
    <t>ERSKINV2 - Risk of overstatement of Inventory because inventory records include inventory that has been sold to customers / consumed.</t>
  </si>
  <si>
    <t xml:space="preserve"> RRSKINV2 - Risk of overstatement of Inventory because inventory records include inventory that has been sold to customers / consumed.</t>
  </si>
  <si>
    <t xml:space="preserve"> CRSKINV2 - Risk of overstatement of Inventory because inventory records include inventory that has been sold to customers / consumed.</t>
  </si>
  <si>
    <t>VRSKINV3 - Risk of overstatement of Inventory because inventory is old, obsolete, damaged, not usable or is saleable at amounts less than that at which it is recorded.</t>
  </si>
  <si>
    <t xml:space="preserve"> ARSKINV3 - Risk of overstatement of Inventory because inventory is old, obsolete, damaged, not usable or is saleable at amounts less than that at which it is recorded.</t>
  </si>
  <si>
    <t>VRSKINV4 -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t>
  </si>
  <si>
    <t xml:space="preserve"> ARSKINV4 -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t>
  </si>
  <si>
    <t>VRSKINV5 - Risk that inventory balances are intentionally misstated so as to ensure better working capital borrowing limits</t>
  </si>
  <si>
    <t xml:space="preserve"> ARSKINV5 - Risk that inventory balances are intentionally misstated so as to ensure better working capital borrowing limits</t>
  </si>
  <si>
    <t xml:space="preserve"> P&amp;DRSKINV5 - Risk that inventory balances are intentionally misstated so as to ensure better working capital borrowing limits</t>
  </si>
  <si>
    <t>ERSKDRS1 - Risk of misstatement of Accounts receivable  because invoices issued and recorded do not relate to valid sales / shipments or because invoices are not recorded at all.</t>
  </si>
  <si>
    <t xml:space="preserve"> RRSKDRS1 - Risk of misstatement of Accounts receivable  because invoices issued and recorded do not relate to valid sales / shipments or because invoices are not recorded at all.</t>
  </si>
  <si>
    <t>RRSKDRS2 - Risk of misstatement of Accounts receivable  because of errors in the calculation of sales value on the invoice.</t>
  </si>
  <si>
    <t xml:space="preserve"> VRSKDRS2 - Risk of misstatement of Accounts receivable  because of errors in the calculation of sales value on the invoice.</t>
  </si>
  <si>
    <t>ERSKDRS3 - Risk of misstatement of Accounts receivable  because receipts from customers is recorded more than once or are not recorded at all.</t>
  </si>
  <si>
    <t xml:space="preserve"> RRSKDRS3 - Risk of misstatement of Accounts receivable  because receipts from customers is recorded more than once or are not recorded at all.</t>
  </si>
  <si>
    <t xml:space="preserve"> VRSKDRS3 - Risk of misstatement of Accounts receivable  because receipts from customers is recorded more than once or are not recorded at all.</t>
  </si>
  <si>
    <t xml:space="preserve"> CRSKDRS3 - Risk of misstatement of Accounts receivable  because receipts from customers is recorded more than once or are not recorded at all.</t>
  </si>
  <si>
    <t>RRSKDRS4 - Risk of overstatement of Accounts receivable because of understatement of allowance for doubtful debts.</t>
  </si>
  <si>
    <t xml:space="preserve"> VRSKDRS4 - Risk of overstatement of Accounts receivable because of understatement of allowance for doubtful debts.</t>
  </si>
  <si>
    <t xml:space="preserve"> ARSKDRS4 - Risk of overstatement of Accounts receivable because of understatement of allowance for doubtful debts.</t>
  </si>
  <si>
    <t>ERSKDRS5 - Risk of overstatement of bad debts because debtors are written off as bad without proper approvals</t>
  </si>
  <si>
    <t xml:space="preserve"> RRSKDRS5 - Risk of overstatement of bad debts because debtors are written off as bad without proper approvals</t>
  </si>
  <si>
    <t xml:space="preserve"> VRSKDRS5 - Risk of overstatement of bad debts because debtors are written off as bad without proper approvals</t>
  </si>
  <si>
    <t>P&amp;DRSKDRS6 - Risk that debts due from directors, related parties of the entity are not separately disclosed as per reporting requirements</t>
  </si>
  <si>
    <t>ERSKINMT1-Risk of misstatement of investment in chit funds since payments to chit companies are not correctly accounted in the books of account</t>
  </si>
  <si>
    <t xml:space="preserve"> RRSKINMT1-Risk of misstatement of investment in chit funds since payments to chit companies are not correctly accounted in the books of account</t>
  </si>
  <si>
    <t xml:space="preserve"> CRSKINMT1-Risk of misstatement of investment in chit funds since payments to chit companies are not correctly accounted in the books of account</t>
  </si>
  <si>
    <t xml:space="preserve"> VRSKINMT1-Risk of misstatement of investment in chit funds since payments to chit companies are not correctly accounted in the books of account</t>
  </si>
  <si>
    <t>ERSKINMT2-Risk of misstatement of investments in shares and mutual funds since amounts invested are not accounted and measured as per the requirements of relevant accounting standards</t>
  </si>
  <si>
    <t xml:space="preserve"> RRSKINMT2-Risk of misstatement of investments in shares and mutual funds since amounts invested are not accounted and measured as per the requirements of relevant accounting standards</t>
  </si>
  <si>
    <t xml:space="preserve"> VRSKINMT2-Risk of misstatement of investments in shares and mutual funds since amounts invested are not accounted and measured as per the requirements of relevant accounting standards</t>
  </si>
  <si>
    <t xml:space="preserve"> ARSKINMT2-Risk of misstatement of investments in shares and mutual funds since amounts invested are not accounted and measured as per the requirements of relevant accounting standards</t>
  </si>
  <si>
    <t>VRSKINMT3-Risk that investments made by the company are not appropriately classified and disclosed in the financial statements</t>
  </si>
  <si>
    <t xml:space="preserve"> P&amp;DRSKINMT3-Risk that investments made by the company are not appropriately classified and disclosed in the financial statements</t>
  </si>
  <si>
    <t>ERSKDBT1 - Risk of overstatement of recorded debt (Eg: Due to non recording of payments, personal loans of directors/partners accounted in the firm's books etc)</t>
  </si>
  <si>
    <t xml:space="preserve"> ORSKDBT1 - Risk of overstatement of recorded debt (Eg: Due to non recording of payments, personal loans of directors/partners accounted in the firm's books etc)</t>
  </si>
  <si>
    <t xml:space="preserve"> CRSKDBT1 - Risk of overstatement of recorded debt (Eg: Due to non recording of payments, personal loans of directors/partners accounted in the firm's books etc)</t>
  </si>
  <si>
    <t>ORSKDBT3 - Risk of non compliance with the terms of the loan</t>
  </si>
  <si>
    <t>ORSKDBT4 - Risk of misstatement of loan balance and interest expense due to non recording/incorrect recording of interest expense</t>
  </si>
  <si>
    <t xml:space="preserve"> CRSKDBT4 - Risk of misstatement of loan balance and interest expense due to non recording/incorrect recording of interest expense</t>
  </si>
  <si>
    <t xml:space="preserve"> VRSKDBT4 - Risk of misstatement of loan balance and interest expense due to non recording/incorrect recording of interest expense</t>
  </si>
  <si>
    <t xml:space="preserve"> ARSKDBT4 - Risk of misstatement of loan balance and interest expense due to non recording/incorrect recording of interest expense</t>
  </si>
  <si>
    <t>P&amp;DRSKDBT5 - Risk of erroneous classification of loan outstanding balance and interest expense in the financial statements</t>
  </si>
  <si>
    <t xml:space="preserve"> ARSKDBT5 - Risk of erroneous classification of loan outstanding balance and interest expense in the financial statements</t>
  </si>
  <si>
    <t>P&amp;DRSKDBT6 - Risk of failure to disclose or erroneous classification of guarantees and other non fund based financial arrangements in the financial statements</t>
  </si>
  <si>
    <t xml:space="preserve"> ARSKDBT6 - Risk of failure to disclose or erroneous classification of guarantees and other non fund based financial arrangements in the financial statements</t>
  </si>
  <si>
    <t>P&amp;DRSKDBT7 - Risk of incomplete disclosure of particulars with respect to loans such as charges, security details etc</t>
  </si>
  <si>
    <t>ERSKCL1 - Risk of overstatement of Accounts payable because transactions recorded as accounts payable are non-existant or fictitious.</t>
  </si>
  <si>
    <t xml:space="preserve"> ORSKCL1 - Risk of overstatement of Accounts payable because transactions recorded as accounts payable are non-existant or fictitious.</t>
  </si>
  <si>
    <t xml:space="preserve"> CRSKCL1 - Risk of overstatement of Accounts payable because transactions recorded as accounts payable are non-existant or fictitious.</t>
  </si>
  <si>
    <t>ORSKCL2 - Risk of understatement of Accounts payable because transactions resulting in accounts payable are not recorded.</t>
  </si>
  <si>
    <t xml:space="preserve"> CRSKCL2 - Risk of understatement of Accounts payable because transactions resulting in accounts payable are not recorded.</t>
  </si>
  <si>
    <t xml:space="preserve"> VRSKCL2 - Risk of understatement of Accounts payable because transactions resulting in accounts payable are not recorded.</t>
  </si>
  <si>
    <t>ORSKCL3 - Risk of overstatement of Accounts payable because payments to creditors are not recorded or are not netted off with outstanding payable balance</t>
  </si>
  <si>
    <t xml:space="preserve"> CRSKCL3 - Risk of overstatement of Accounts payable because payments to creditors are not recorded or are not netted off with outstanding payable balance</t>
  </si>
  <si>
    <t xml:space="preserve"> ARSKCL3 - Risk of overstatement of Accounts payable because payments to creditors are not recorded or are not netted off with outstanding payable balance</t>
  </si>
  <si>
    <t>ORSKCL4 - Risk of misstatement of foreign supplier balances because such balances are not restated as on the balance sheet date as specified in the financial reporting framework</t>
  </si>
  <si>
    <t xml:space="preserve"> VRSKCL4 - Risk of misstatement of foreign supplier balances because such balances are not restated as on the balance sheet date as specified in the financial reporting framework</t>
  </si>
  <si>
    <t>ORSKCL5 - Risk of misstatement of supplier balances because advances made to suppliers for supply of goods/services may end up being irrecoverable if the party does not honour transaction</t>
  </si>
  <si>
    <t xml:space="preserve"> VRSKCL5 - Risk of misstatement of supplier balances because advances made to suppliers for supply of goods/services may end up being irrecoverable if the party does not honour transaction</t>
  </si>
  <si>
    <t>ORSKCL6 - Risk of misstatement of supplier balances because amounts outstanding to MSME creditors are not appropriately classified and disclosed</t>
  </si>
  <si>
    <t xml:space="preserve"> ARSKCL6 - Risk of misstatement of supplier balances because amounts outstanding to MSME creditors are not appropriately classified and disclosed</t>
  </si>
  <si>
    <t>P&amp;DRSKCL6 - Risk of misstatement of supplier balances because amounts outstanding to MSME creditors are not appropriately classified and disclosed</t>
  </si>
  <si>
    <t>ERSKEP1 - Risk of misstatement of expenses payable because accrued expenses are not appropriately accounted and classified</t>
  </si>
  <si>
    <t xml:space="preserve"> ORSKEP1 - Risk of misstatement of expenses payable because accrued expenses are not appropriately accounted and classified</t>
  </si>
  <si>
    <t xml:space="preserve"> CRSKEP1 - Risk of misstatement of expenses payable because accrued expenses are not appropriately accounted and classified</t>
  </si>
  <si>
    <t xml:space="preserve"> VRSKEP1 - Risk of misstatement of expenses payable because accrued expenses are not appropriately accounted and classified</t>
  </si>
  <si>
    <t xml:space="preserve"> ARSKEP1 - Risk of misstatement of expenses payable because accrued expenses are not appropriately accounted and classified</t>
  </si>
  <si>
    <t>ERSKEP2 - Risk of misstatement of expenses payable because expenses payable to staff are not correctly accounted and appropriately classified</t>
  </si>
  <si>
    <t xml:space="preserve"> ORSKEP2 - Risk of misstatement of expenses payable because expenses payable to staff are not correctly accounted and appropriately classified</t>
  </si>
  <si>
    <t xml:space="preserve"> CRSKEP2 - Risk of misstatement of expenses payable because expenses payable to staff are not correctly accounted and appropriately classified</t>
  </si>
  <si>
    <t xml:space="preserve"> VRSKEP2 - Risk of misstatement of expenses payable because expenses payable to staff are not correctly accounted and appropriately classified</t>
  </si>
  <si>
    <t xml:space="preserve"> ARSKEP2 - Risk of misstatement of expenses payable because expenses payable to staff are not correctly accounted and appropriately classified</t>
  </si>
  <si>
    <t>ERSKSP1 - Risk of misstatement of statutory liabilities because the liabilities are not calculated as per the applicable statutory provisions</t>
  </si>
  <si>
    <t xml:space="preserve"> ORSKSP1 - Risk of misstatement of statutory liabilities because the liabilities are not calculated as per the applicable statutory provisions</t>
  </si>
  <si>
    <t xml:space="preserve"> VRSKSP1 - Risk of misstatement of statutory liabilities because the liabilities are not calculated as per the applicable statutory provisions</t>
  </si>
  <si>
    <t xml:space="preserve"> CORSKSP1 - Risk of misstatement of statutory liabilities because the liabilities are not calculated as per the applicable statutory provisions</t>
  </si>
  <si>
    <t>ARSKSP1 - Risk of misstatement of statutory liabilities because the liabilities are not calculated as per the applicable statutory provisions</t>
  </si>
  <si>
    <t>ORSKSP2 - Risk of misstatement of statutory liabilities because the applicable rates are not applied consistently through out the period under audit</t>
  </si>
  <si>
    <t xml:space="preserve"> CRSKSP2 - Risk of misstatement of statutory liabilities because the applicable rates are not applied consistently through out the period under audit</t>
  </si>
  <si>
    <t xml:space="preserve"> VRSKSP2 - Risk of misstatement of statutory liabilities because the applicable rates are not applied consistently through out the period under audit</t>
  </si>
  <si>
    <t>ORSKSP3 - Risk of misstatement of statutory liabilities because the statutory liabilities are not remitted within the applicable due dates</t>
  </si>
  <si>
    <t xml:space="preserve"> CRSKSP3 - Risk of misstatement of statutory liabilities because the statutory liabilities are not remitted within the applicable due dates</t>
  </si>
  <si>
    <t xml:space="preserve"> CORSKSP3 - Risk of misstatement of statutory liabilities because the statutory liabilities are not remitted within the applicable due dates</t>
  </si>
  <si>
    <t>ORSKSP4 - Risk of misstatement of statutory liabilities because the returns are incorrectly filed or not filed at all</t>
  </si>
  <si>
    <t xml:space="preserve"> CRSKSP4 - Risk of misstatement of statutory liabilities because the returns are incorrectly filed or not filed at all</t>
  </si>
  <si>
    <t>ERSKLA1 - Risk of understatement of Prepaid expense because prepaid is not recognised for payments in respect of which services have not been received and such payments are wrongly classified as expense.</t>
  </si>
  <si>
    <t xml:space="preserve"> RRSKLA1 - Risk of understatement of Prepaid expense because prepaid is not recognised for payments in respect of which services have not been received and such payments are wrongly classified as expense.</t>
  </si>
  <si>
    <t xml:space="preserve"> CRSKLA1 - Risk of understatement of Prepaid expense because prepaid is not recognised for payments in respect of which services have not been received and such payments are wrongly classified as expense.</t>
  </si>
  <si>
    <t xml:space="preserve"> VRSKLA1 - Risk of understatement of Prepaid expense because prepaid is not recognised for payments in respect of which services have not been received and such payments are wrongly classified as expense.</t>
  </si>
  <si>
    <t xml:space="preserve"> ARSKLA1 - Risk of understatement of Prepaid expense because prepaid is not recognised for payments in respect of which services have not been received and such payments are wrongly classified as expense.</t>
  </si>
  <si>
    <t>ERSKLA2 - Risk of overstatement of Prepaid expense because amounts included in prepaid expense relate to fictitious or unauthorised transction.</t>
  </si>
  <si>
    <t xml:space="preserve"> RRSKLA2 - Risk of overstatement of Prepaid expense because amounts included in prepaid expense relate to fictitious or unauthorised transction.</t>
  </si>
  <si>
    <t xml:space="preserve"> CRSKLA2 - Risk of overstatement of Prepaid expense because amounts included in prepaid expense relate to fictitious or unauthorised transction.</t>
  </si>
  <si>
    <t>ERSKLA3 - Risk of misstatement of Staff advances because the balance in staff advance account pertain to employees who have left the organisation</t>
  </si>
  <si>
    <t xml:space="preserve"> RRSKLA3 - Risk of misstatement of Staff advances because the balance in staff advance account pertain to employees who have left the organisation</t>
  </si>
  <si>
    <t xml:space="preserve"> VRSKLA3 - Risk of misstatement of Staff advances because the balance in staff advance account pertain to employees who have left the organisation</t>
  </si>
  <si>
    <t>ERSKLA4 - Risk of misstatement of Deposits because the the recorded deposits are fictitious or non-recoverable/doubtful or without proper supportings</t>
  </si>
  <si>
    <t xml:space="preserve"> RRSKLA4 - Risk of misstatement of Deposits because the the recorded deposits are fictitious or non-recoverable/doubtful or without proper supportings</t>
  </si>
  <si>
    <t xml:space="preserve"> CRSKLA4 - Risk of misstatement of Deposits because the the recorded deposits are fictitious or non-recoverable/doubtful or without proper supportings</t>
  </si>
  <si>
    <t xml:space="preserve"> VRSKLA4 - Risk of misstatement of Deposits because the the recorded deposits are fictitious or non-recoverable/doubtful or without proper supportings</t>
  </si>
  <si>
    <t>P&amp;DRSKLA5 - Risk of misstatement of Loans &amp; advances or Deposits because the required classification into current and non current as required by the framework is not done</t>
  </si>
  <si>
    <t xml:space="preserve"> ARSKLA5 - Risk of misstatement of Loans &amp; advances or Deposits because the required classification into current and non current as required by the framework is not done</t>
  </si>
  <si>
    <t>P&amp;DRSKLA6 - Risk of misstatement of Loans &amp; advances or Deposits because doubtful deposits are not adequately proviided for</t>
  </si>
  <si>
    <t xml:space="preserve"> ARSKLA6 - Risk of misstatement of Loans &amp; advances or Deposits because doubtful deposits are not adequately proviided for</t>
  </si>
  <si>
    <t>ORSKRE1 - Risk of overstatement of revenue because invoices issued and recorded do not relate to valid sales / shipments.</t>
  </si>
  <si>
    <t>ORSKRE2 - Risk of understatement of revenue because invoices issued to customer are not recorded.</t>
  </si>
  <si>
    <t xml:space="preserve"> CRSKRE2 - Risk of understatement of revenue because invoices issued to customer are not recorded.</t>
  </si>
  <si>
    <t>ARSKRE3 - Risk of misstatement of revenue because sale price is not agreeing with the approved price list.</t>
  </si>
  <si>
    <t>ARSKRE4 - Risk of misstatement of revenue because of errors in the calculation of sales value on the invoice.</t>
  </si>
  <si>
    <t>ARSKRE5 - Risk of misstatement of revenue because discounts from sale price shown on the invoice are not calculated in accordance with the approved discount rates.</t>
  </si>
  <si>
    <t>ORSKRE6 - Risk of misstatement of revenue because credit notes issued and recorded do not relate to valid sales returns.</t>
  </si>
  <si>
    <t>CORSKRE7 - Risk of misstatement of revenue due to recording in the incorrect period</t>
  </si>
  <si>
    <t>ERSKPROV1 - Risk of misstatement of accrual for gratuity liability at the balance sheet date because the salary, period of service, and other relevant data provided by the entity for actuarial valuation is incorrect.</t>
  </si>
  <si>
    <t xml:space="preserve"> ORSKPROV1 - Risk of misstatement of accrual for gratuity liability at the balance sheet date because the salary, period of service, and other relevant data provided by the entity for actuarial valuation is incorrect.</t>
  </si>
  <si>
    <t xml:space="preserve"> VRSKPROV1 - Risk of misstatement of accrual for gratuity liability at the balance sheet date because the salary, period of service, and other relevant data provided by the entity for actuarial valuation is incorrect.</t>
  </si>
  <si>
    <t>ERSKPROV2 - Risk of misstatement of provision for doubtful balances because of doubtful balances are not properly estimated/ascertained</t>
  </si>
  <si>
    <t xml:space="preserve"> VRSKPROV2 - Risk of misstatement of provision for doubtful balances because of doubtful balances are not properly estimated/ascertained</t>
  </si>
  <si>
    <t xml:space="preserve"> ARSKPROV2 - Risk of misstatement of provision for doubtful balances because of doubtful balances are not properly estimated/ascertained</t>
  </si>
  <si>
    <t>ORSKPROV3 - Risk of understatement of expenses and provision balance as accruals of fabricator incentive and product warranties are not appropriately accounted</t>
  </si>
  <si>
    <t xml:space="preserve"> CRSKPROV3 - Risk of understatement of expenses and provision balance as accruals of fabricator incentive and product warranties are not appropriately accounted</t>
  </si>
  <si>
    <t xml:space="preserve"> VRSKPROV3 - Risk of understatement of expenses and provision balance as accruals of fabricator incentive and product warranties are not appropriately accounted</t>
  </si>
  <si>
    <t xml:space="preserve"> ARSKPROV3 - Risk of understatement of expenses and provision balance as accruals of fabricator incentive and product warranties are not appropriately accounted</t>
  </si>
  <si>
    <t>ORSKEXP1 - Risk of overstatement of discounts given to distributors / dealers because the transactions recorded in the general ledger are fictitious or unauthorised.</t>
  </si>
  <si>
    <t>ORSKEXP2 - Risk of mistatement of advertisement expenses because the transactions recorded in the general ledger are fictitious or unauthorised or the same are not recorded at all</t>
  </si>
  <si>
    <t xml:space="preserve"> CRSKEXP2 - Risk of mistatement of advertisement expenses because the transactions recorded in the general ledger are fictitious or unauthorised or the same are not recorded at all</t>
  </si>
  <si>
    <t>ORSKEXP3 - Risk of mistatement of finance expenses because the transactions recorded in the general ledger are fictitious or unauthorised or the same are not recorded at all</t>
  </si>
  <si>
    <t xml:space="preserve"> CRSKEXP3 - Risk of mistatement of finance expenses because the transactions recorded in the general ledger are fictitious or unauthorised or the same are not recorded at all</t>
  </si>
  <si>
    <t xml:space="preserve"> ARSKEXP3 - Risk of mistatement of finance expenses because the transactions recorded in the general ledger are fictitious or unauthorised or the same are not recorded at all</t>
  </si>
  <si>
    <t>ORSKEXP4 - Risk of mistatement of depreciation expenses because the transactions recorded in the general ledger are fictitious or unauthorised or the same are not recorded at all</t>
  </si>
  <si>
    <t xml:space="preserve"> CRSKEXP4 - Risk of mistatement of depreciation expenses because the transactions recorded in the general ledger are fictitious or unauthorised or the same are not recorded at all</t>
  </si>
  <si>
    <t>ORSKEXP5 - Risk of mistatement of Bad debts expenses because the transactions recorded in the general ledger are fictitious or unauthorised or the same are not recorded at all</t>
  </si>
  <si>
    <t xml:space="preserve"> CRSKEXP5 - Risk of mistatement of Bad debts expenses because the transactions recorded in the general ledger are fictitious or unauthorised or the same are not recorded at all</t>
  </si>
  <si>
    <t>ORSKEXP6 - Risk of mistatement of Administration, establishment expenses because the transactions recorded in the general ledger are fictitious or unauthorised or the same are not recorded at all</t>
  </si>
  <si>
    <t xml:space="preserve"> CRSKEXP6 - Risk of mistatement of Administration, establishment expenses because the transactions recorded in the general ledger are fictitious or unauthorised or the same are not recorded at all</t>
  </si>
  <si>
    <t xml:space="preserve"> ARSKEXP6 - Risk of mistatement of Administration, establishment expenses because the transactions recorded in the general ledger are fictitious or unauthorised or the same are not recorded at all</t>
  </si>
  <si>
    <t xml:space="preserve"> CLRSKEXP6 - Risk of mistatement of Administration, establishment expenses because the transactions recorded in the general ledger are fictitious or unauthorised or the same are not recorded at all</t>
  </si>
  <si>
    <t xml:space="preserve"> CRSKCB4 - Risk of overstatement of bank balance (Eg: non-existent bank receipts have been recorded, bank payments or charges omitted to be recorded etc)</t>
  </si>
  <si>
    <t>RSKDRS1 - Risk of misstatement of Accounts receivable because invoices issued and recorded do not relate to valid sales / shipments or because invoices are not recorded at all.</t>
  </si>
  <si>
    <t>RSKDRS2 - Risk of misstatement of Accounts receivable because of errors in the calculation of sales value on the invoice.</t>
  </si>
  <si>
    <t>RSKDRS3 - Risk of misstatement of Accounts receivable because receipts from customers is recorded more than once or are not recorded at all.</t>
  </si>
  <si>
    <t>Identified RoMM</t>
  </si>
  <si>
    <t>Controls</t>
  </si>
  <si>
    <t>FAPs planned</t>
  </si>
  <si>
    <t>Substantive</t>
  </si>
  <si>
    <t>CACB1 - Periodic physical verification of cash
CACB5 - Cash is kept under lock &amp; key</t>
  </si>
  <si>
    <t>SPCB1 - Cash physical verification on BS date
SPCB5 - Physical verification on date other than BS date</t>
  </si>
  <si>
    <t>SPCB1 - Cash physical verification on BS date
SPCB5 - Physical verification on date other than BS date
SPCB4 - Whether cash is kept under lock &amp; key</t>
  </si>
  <si>
    <t>CACB2 - Monthly bank reco testing
CACB3 - Bank confirmation testing</t>
  </si>
  <si>
    <t>CACB2 - Monthly bank reco testing
CACB3 - Bank confirmation testing
CACB4 - Checking BoD minutes</t>
  </si>
  <si>
    <t>SPCB2 - Bank reconciliation checking
SPCB3 - Bank confirmation testing</t>
  </si>
  <si>
    <t>SPCL1 - Obtaining list of creditors
SPCL2 - Creditors balance confirmation BS date
SPCL3 - Checking wih confirmations nearest to BS date
SPCL8 - Checking with original supplier invoices</t>
  </si>
  <si>
    <t>SPCL2 - Creditors balance confirmation BS date
SPCL3 - Checking wih confirmations nearest to BS date
SPCL7 -  Checking Crs to purchase turnover</t>
  </si>
  <si>
    <t>CACL5 - Payment approval
CACB2 - Monthly bank reco testing</t>
  </si>
  <si>
    <t>SPCL2 - Creditors balance confirmation BS date
SPCL3 - Checking wih confirmations nearest to BS date
SPCB2 - Bank reconciliation checking
SPCL10 - Netting off dues</t>
  </si>
  <si>
    <t>NIL</t>
  </si>
  <si>
    <t>CADBT1 - Monitoring by lenders
CACB2 - Monthly bank reco testing</t>
  </si>
  <si>
    <t>SPDBT1 - Check if all loan balances are accounted
SPDBT2 - Checking with confirmations</t>
  </si>
  <si>
    <t>SPDBT5 - Check interest ledgers for penalties
SPDBT15 - Checking terms as per sanction letters</t>
  </si>
  <si>
    <t>SPDBT6 - Check interest booked with statements
SPDBT7 - Recalculate interest amount</t>
  </si>
  <si>
    <t>SPDBT6 - Check interest booked with statements
SPDBT7 - Recalculate interest amount
SPDBT8 - Check if there are any borrowing costs to be capitalised
SPDBT9 - Check for statutory compliance wrt TDS</t>
  </si>
  <si>
    <t>SPDBT10 - Calculate current, non current portion
SPDBT11 - Ensure correct classification of interest</t>
  </si>
  <si>
    <t>SPDBT1 - Check if all loan balances are accounted
SPDBT2 - Checking with confirmations
SPDBT12 - Check for off BS financing arrangements
SPDBT16 - Obtain written representations</t>
  </si>
  <si>
    <t>SPDBT13 - Check renewal/sanction letters
SPDBT14 - Check MCA website and ensure adequate disclosure</t>
  </si>
  <si>
    <t>SPRE1 - Validity of recorded sales transactions
SPRE7 - Checking gate passes to ensure invoices are not fictitious</t>
  </si>
  <si>
    <t>CARE3 - Comparision with pricelists
CARE4 - Checking invoice autocomputation
CARE5 - Checking for unauthorised access</t>
  </si>
  <si>
    <t>SPCB2 - Bank reconciliation checking
SPCB3 - Bank confirmation testing
SPDRS1 - Drs ageing
SPDRS5 - Confirmation procedures as on BS date/subsequent testing.
SPDRS6 - Confirmation procedures on other date/subsequent testing.
SPDRS7 - Drs Turnover ratio checking</t>
  </si>
  <si>
    <t>SPDRS1 - Drs ageing
SPDRS2 - Check debtors provisioning
SPDRS4 - Reconcile ageing report with GL</t>
  </si>
  <si>
    <t>SPEP1 - Ensuring recurring expenses are booked
SPEP2 - Expense payable subsequent testing
SPEP3 - Recalculation of expenses payable
SPEP4 - Classification of expenses payable</t>
  </si>
  <si>
    <t>SPEP5 - Subsequent settlement of staff payables
SPEP6 - Classification of staff advance payable</t>
  </si>
  <si>
    <t>SPFA8 - GSTR2A verification for additions
SPFA2 - Additions vouching
SPFA3 - Physical verification procedures
SPCL2 - Creditors balance confirmation
SPCB2 - Bank reconciliation checking</t>
  </si>
  <si>
    <t>SPFA1 - Checking OB carried forward
SPFA3 - Physical verification procedures
SPFA9 - Checking GSTRs for asset sale</t>
  </si>
  <si>
    <t>CAFA3 - Checking asset purchase requisitions
CAFA4 - Asset PO verification
CAFA5 - Asset invoice approval</t>
  </si>
  <si>
    <t>CAFA5 - Asset invoice approval
CAFA9 - FA number tagging</t>
  </si>
  <si>
    <t>SPFA8 - GSTR2A verification for additions
SPFA6 - Repairs &amp; maint ledger scrutiny
SPFA10 - Review of CWIP ledger &amp; capitalisation</t>
  </si>
  <si>
    <t>SPFA1 - Checking OB carried forward
SPFA3 - Physical verification procedures
SPFA4 - Testing asset disposals
SPFA9 - Checking GSTRs for asset sale</t>
  </si>
  <si>
    <t>SPFA1 - Checking OB carried forward
SPFA3 - Physical verification procedures
SPFA9 - Checking GSTRs for asset sale
SPFA7 - Impairment testing</t>
  </si>
  <si>
    <t>SPFA5 - Depreciation recomputation
SPFA11 - Cross checking with Winman</t>
  </si>
  <si>
    <t>SPINMT1 - Comparison of amounts booked with statements
SPINMT2 - Comparison with confirmations</t>
  </si>
  <si>
    <t>SPINMT4 - Checking time period for liquidation for current/non current classification
SPINMT5 - Comparison against corresponding liability if any and appropriate disclosure</t>
  </si>
  <si>
    <t>SPINV1 - Inventory test counts
SPINV2 - Confirmation of stock with 3rd parties</t>
  </si>
  <si>
    <t>SPINV3 - Checking inventory valuation method
SPINV4 - Using NRV for valuing damaged stock</t>
  </si>
  <si>
    <t>SPLA1 - Check TB to identify balances that can include prepayments
SPLA2 - Verify prepaid expense booked with supportings
SPLA3 - Ensure first insurance premium for vehicles is capitalised</t>
  </si>
  <si>
    <t>SPLA2 - Verify prepaid expense booked with supportings
SPLA3 - Ensure first insurance premium for vehicles is capitalised
SPLA4 - Check whether prepaid expenses are subsequently expensed off</t>
  </si>
  <si>
    <t>SPLA5 - Subsequent settlement of advances
SPLA6 - Check if outstanding staff advance balance is wrt employees who are with the organisation as on BS date
SPLA7 - Provision for doubtful advances</t>
  </si>
  <si>
    <t>SPLA8 - Verify deposits with supportings
SPLA9 - Verify rent deposits with agreements
SPLA10 - Obtain status of legal proceedings wrt deposits with statutory authorities
SPLA11 - Check electricity deposits with recent KSEB bills
SPLA12 - Provision/write off of doubtful/bad deposits</t>
  </si>
  <si>
    <t>SPLA14 - Deposits ageing and provisioning
SPLA15 - Statutory deposits</t>
  </si>
  <si>
    <t>SPPAY1 - Recompute salary expense
SPPAY3 - Check incentive computation
SPPAY4 - Check salary payable balance</t>
  </si>
  <si>
    <t>SPPROV3 - Check the accuracy of points that accrue to fabricators
SPPROV4 - Check the calculation of warranty provision and ensure that the assumptions are valid</t>
  </si>
  <si>
    <t>SPRE1 - Comparison with customer orders
SPRE7 - Checking gate passes to ensure invoices are not fictitious</t>
  </si>
  <si>
    <t>CARE4 - Checking invoice autocomputation
CARE5 - Checking for unauthorised access</t>
  </si>
  <si>
    <t>SPSP1 - Recalculation of statutory dues
SPSP2 - Checking whether recent rate changes/amendments are given effect to</t>
  </si>
  <si>
    <t>SPSP1 - Recalculation of statutory dues
SPSP2 - Checking whether recent rate changes/amendments are given effect to
SPSP5 - Checking accounting of statutory dues</t>
  </si>
  <si>
    <t>SPEXP1 - Perform test of details
SPEXP2 - Perform analytical procedures including building expectations of amount booked as expense with the supportings avaialble (Say rent agreements)</t>
  </si>
  <si>
    <t>Obligations</t>
  </si>
  <si>
    <t>MCOTABD</t>
  </si>
  <si>
    <t>RSKINMT1 - Risk of misstatement of investment in chit funds since payments to chit companies are not correctly accounted in the books of account</t>
  </si>
  <si>
    <t>RSKINMT2 - Risk of misstatement of investments in shares and mutual funds since amounts invested are not accounted and measured as per the requirements of relevant accounting standards</t>
  </si>
  <si>
    <t>RSKDBT3 - Risk of non compliance with the terms of the loan resulting in increased interest and penal charges</t>
  </si>
  <si>
    <t>RSKCL4 - Risk of misstatement of foreign supplier balances because such balances are not restated as on the balance sheet date at the appropriate exchange rates as specified in the financial reporting framework</t>
  </si>
  <si>
    <t>Expense Payable</t>
  </si>
  <si>
    <t>RSKEP1 - Risk of misstatement of expenses payable because accrued expenses are not appropriately accounted and appropriately classified</t>
  </si>
  <si>
    <t>RSKLA2 - Risk of overstatement of Prepaid expense because amounts included in prepaid expense relate to non existent or unauthorised transaction.</t>
  </si>
  <si>
    <t>RSKLA4 - Risk of misstatement of Deposits because the the recorded deposits are non existent or without proper supportings</t>
  </si>
  <si>
    <t>RSKEXP3 - Risk of misstatement of finance expenses because the transactions recorded in the general ledger are fictitious or unauthorised or the same are not recorded at all</t>
  </si>
  <si>
    <t>RSKFA5 - Risk of overstatement of fixed assets because assets disposed off have not been recorded in the fixed asset register / general ledger.</t>
  </si>
  <si>
    <t xml:space="preserve">RSKCL4 </t>
  </si>
  <si>
    <t xml:space="preserve">RSKCL5 </t>
  </si>
  <si>
    <t xml:space="preserve">RSKDBT4 </t>
  </si>
  <si>
    <t xml:space="preserve">RSKDBT5 </t>
  </si>
  <si>
    <t xml:space="preserve">RSKDBT7 </t>
  </si>
  <si>
    <t xml:space="preserve">RSKDRS1 </t>
  </si>
  <si>
    <t xml:space="preserve">RSKDRS4 </t>
  </si>
  <si>
    <t xml:space="preserve">RSKDRS6 </t>
  </si>
  <si>
    <t xml:space="preserve">RSKEP1 </t>
  </si>
  <si>
    <t xml:space="preserve">RSKEP2 </t>
  </si>
  <si>
    <t xml:space="preserve">RSKEXP1 </t>
  </si>
  <si>
    <t xml:space="preserve">RSKEXP3 </t>
  </si>
  <si>
    <t xml:space="preserve">RSKEXP4 </t>
  </si>
  <si>
    <t xml:space="preserve">RSKFA2 </t>
  </si>
  <si>
    <t xml:space="preserve">RSKFA7 </t>
  </si>
  <si>
    <t xml:space="preserve">RSKINV4 </t>
  </si>
  <si>
    <t xml:space="preserve">RSKINV5 </t>
  </si>
  <si>
    <t xml:space="preserve">RSKLA2 </t>
  </si>
  <si>
    <t xml:space="preserve">RSKLA4 </t>
  </si>
  <si>
    <t xml:space="preserve">RSKLA5 </t>
  </si>
  <si>
    <t xml:space="preserve">RSKLA6 </t>
  </si>
  <si>
    <t xml:space="preserve">RSKPAY3 </t>
  </si>
  <si>
    <t xml:space="preserve">RSKPAY4 </t>
  </si>
  <si>
    <t xml:space="preserve">RSKPAY5 </t>
  </si>
  <si>
    <t xml:space="preserve">RSKPAY6 </t>
  </si>
  <si>
    <t xml:space="preserve">RSKPROV1 </t>
  </si>
  <si>
    <t xml:space="preserve">RSKPROV2 </t>
  </si>
  <si>
    <t xml:space="preserve">RSKPROV3 </t>
  </si>
  <si>
    <t xml:space="preserve">RSKRE5 </t>
  </si>
  <si>
    <t xml:space="preserve">RSKRE6 </t>
  </si>
  <si>
    <t xml:space="preserve">RSKRE7 </t>
  </si>
  <si>
    <t xml:space="preserve">RSKSP2 </t>
  </si>
  <si>
    <t xml:space="preserve">RSKSP3 </t>
  </si>
  <si>
    <t xml:space="preserve">RSKSP4 </t>
  </si>
  <si>
    <t>investment in chit funds since payments to chit companies are not correctly accounted in the books of account</t>
  </si>
  <si>
    <t>investments in shares and mutual funds since amounts invested are not accounted and measured as per the requirements of relevant accounting standards</t>
  </si>
  <si>
    <t>erroneous classification of loan outstanding balance and interest expense in the financial statements</t>
  </si>
  <si>
    <t>incomplete disclosure of particulars with respect to loans such as charges, security details etc</t>
  </si>
  <si>
    <t>debts due from directors, related parties of the entity are not separately disclosed as per reporting requirements</t>
  </si>
  <si>
    <t>inventory balances are intentionally misstated so as to ensure better working capital borrowing limits</t>
  </si>
  <si>
    <t>employee costs are not recorded in the correct ledgers according to their nature (direct wages, indirect costs, staff welfare etc) which could impact calculation of production overhead rates and consquently inventory valuation.</t>
  </si>
  <si>
    <t>investments made by the company are not appropriately classified and disclosed in the financial statements</t>
  </si>
  <si>
    <t>foreign supplier balances because such balances are not restated as on the balance sheet date as specified in the financial reporting framework</t>
  </si>
  <si>
    <t>supplier balances because advances made to suppliers for supply of goods/services may end up being irrecoverable if the party does not honour transaction</t>
  </si>
  <si>
    <t>loan balance and interest expense due to non recording/incorrect recording of interest expense</t>
  </si>
  <si>
    <t>Accounts receivable because invoices issued and recorded do not relate to valid sales / shipments or because invoices are not recorded at all.</t>
  </si>
  <si>
    <t>Accounts receivable because of understatement of allowance for doubtful debts.</t>
  </si>
  <si>
    <t>expenses payable because accrued expenses are not appropriately accounted and classified</t>
  </si>
  <si>
    <t>expenses payable because expenses payable to staff are not correctly accounted and appropriately classified</t>
  </si>
  <si>
    <t>discounts given to distributors / dealers because the transactions recorded in the general ledger are fictitious or unauthorised.</t>
  </si>
  <si>
    <t>finance expenses because the transactions recorded in the general ledger are fictitious or unauthorised or the same are not recorded at all</t>
  </si>
  <si>
    <t>depreciation expenses because the transactions recorded in the general ledger are fictitious or unauthorised or the same are not recorded at all</t>
  </si>
  <si>
    <t>fixed assets because assets in use and still owned by the entity have been wrongly recorded as disposed.</t>
  </si>
  <si>
    <t>fixed assets because the depreciation method and / or depreciation rate adopted are not in compliance with the applicable statutes</t>
  </si>
  <si>
    <t>Inventory because the prices used to value inventory and / or the valuation principles and methods used are incorrect and associated material costs and overheads (production and indirect overheads) are not allocated to Finished goods and work in progress on a reasonable basis</t>
  </si>
  <si>
    <t>Prepaid expense because amounts included in prepaid expense relate to fictitious or unauthorised transction.</t>
  </si>
  <si>
    <t>Deposits because the the recorded deposits are fictitious or non</t>
  </si>
  <si>
    <t>Loans &amp; advances or Deposits because the required classification into current and non current as required by the framework is not done</t>
  </si>
  <si>
    <t>Loans &amp; advances or Deposits because doubtful deposits are not adequately proviided for</t>
  </si>
  <si>
    <t>payroll cost because the withheld taxes and other deductions are not recorded (i.e., payroll cost is recorded for net payroll and not gross payroll).</t>
  </si>
  <si>
    <t>Provident Fund and ESI expense recorded because the statutory rate of contribution applied is incorrect or contribution has not been calculated for all employees due to processing errors.</t>
  </si>
  <si>
    <t>leave salary expense and accrual because the leave, salary and other relevant data provided for actuarial valuation is incorrect and disclosures required as per the financial reporting framework are not given</t>
  </si>
  <si>
    <t>accrual for gratuity liability at the balance sheet date because the salary, period of service, and other relevant data provided by the entity for actuarial valuation is incorrect.</t>
  </si>
  <si>
    <t>provision for doubtful balances because of doubtful balances are not properly estimated/ascertained</t>
  </si>
  <si>
    <t>expenses and provision balance as accruals of fabricator incentive and product warranties are not appropriately accounted</t>
  </si>
  <si>
    <t>revenue because discounts from sale price shown on the invoice are not calculated in accordance with the approved discount rates.</t>
  </si>
  <si>
    <t>revenue because credit notes issued and recorded do not relate to valid sales returns.</t>
  </si>
  <si>
    <t>revenue due to recording in the incorrect period</t>
  </si>
  <si>
    <t>statutory liabilities because the applicable rates are not applied consistently through out the period under audit</t>
  </si>
  <si>
    <t>statutory liabilities because the statutory liabilities are not remitted within the applicable due dates</t>
  </si>
  <si>
    <t>statutory liabilities because the returns are incorrectly filed or not filed at all</t>
  </si>
  <si>
    <t>Control likely</t>
  </si>
  <si>
    <t>Not likely</t>
  </si>
  <si>
    <t>TCWG Approval for such payments</t>
  </si>
  <si>
    <t>Risk Code</t>
  </si>
  <si>
    <t>Risk description</t>
  </si>
  <si>
    <t>Risk description for readability</t>
  </si>
  <si>
    <t>Controls in place at the entity</t>
  </si>
  <si>
    <t>Risks for which controls are not relied upon and test of controls is not performed</t>
  </si>
  <si>
    <t>To be done during this year</t>
  </si>
  <si>
    <t>SPCL5 - Checking contracts with suppliers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</si>
</sst>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0.00_);_(* \(#,##0.00\);_(* &quot;-&quot;??_);_(@_)"/>
    <numFmt numFmtId="165" formatCode="_(* #,##0_);_(* \(#,##0\);_(* &quot;-&quot;??_);_(@_)"/>
  </numFmts>
  <fonts count="52" x14ac:knownFonts="1">
    <font>
      <sz val="11"/>
      <color theme="1"/>
      <name val="Calibri"/>
      <family val="2"/>
      <scheme val="minor"/>
    </font>
    <font>
      <sz val="9.5"/>
      <color theme="1"/>
      <name val="Times New Roman"/>
      <family val="1"/>
    </font>
    <font>
      <b/>
      <sz val="9.5"/>
      <color theme="1"/>
      <name val="Times New Roman"/>
      <family val="1"/>
    </font>
    <font>
      <b/>
      <sz val="11"/>
      <color theme="1"/>
      <name val="Times New Roman"/>
      <family val="1"/>
    </font>
    <font>
      <b/>
      <sz val="16"/>
      <color theme="1"/>
      <name val="Times New Roman"/>
      <family val="1"/>
    </font>
    <font>
      <sz val="11"/>
      <color theme="1"/>
      <name val="Times New Roman"/>
      <family val="1"/>
    </font>
    <font>
      <b/>
      <sz val="9.5"/>
      <color rgb="FFFF0000"/>
      <name val="Times New Roman"/>
      <family val="1"/>
    </font>
    <font>
      <sz val="9.5"/>
      <name val="Times New Roman"/>
      <family val="1"/>
    </font>
    <font>
      <b/>
      <u/>
      <sz val="12"/>
      <color theme="1"/>
      <name val="Times New Roman"/>
      <family val="1"/>
    </font>
    <font>
      <b/>
      <u/>
      <sz val="14"/>
      <color theme="1"/>
      <name val="Times New Roman"/>
      <family val="1"/>
    </font>
    <font>
      <b/>
      <u/>
      <sz val="9.5"/>
      <color theme="1"/>
      <name val="Times New Roman"/>
      <family val="1"/>
    </font>
    <font>
      <u/>
      <sz val="11"/>
      <color theme="10"/>
      <name val="Calibri"/>
      <family val="2"/>
    </font>
    <font>
      <sz val="11"/>
      <color theme="1"/>
      <name val="Calibri"/>
      <family val="2"/>
      <scheme val="minor"/>
    </font>
    <font>
      <sz val="12"/>
      <name val="Arial"/>
      <family val="2"/>
    </font>
    <font>
      <b/>
      <sz val="10"/>
      <color indexed="8"/>
      <name val="Times New Roman"/>
      <family val="1"/>
    </font>
    <font>
      <sz val="11"/>
      <color indexed="8"/>
      <name val="Calibri"/>
      <family val="2"/>
    </font>
    <font>
      <u/>
      <sz val="10.5"/>
      <color theme="1"/>
      <name val="Times New Roman"/>
      <family val="1"/>
    </font>
    <font>
      <sz val="10.5"/>
      <color theme="1"/>
      <name val="Times New Roman"/>
      <family val="1"/>
    </font>
    <font>
      <b/>
      <sz val="10.5"/>
      <color theme="1"/>
      <name val="Times New Roman"/>
      <family val="1"/>
    </font>
    <font>
      <b/>
      <i/>
      <u/>
      <sz val="9.5"/>
      <color theme="1"/>
      <name val="Times New Roman"/>
      <family val="1"/>
    </font>
    <font>
      <b/>
      <u/>
      <sz val="10.5"/>
      <color indexed="8"/>
      <name val="Times New Roman"/>
      <family val="1"/>
    </font>
    <font>
      <sz val="10.5"/>
      <name val="Times New Roman"/>
      <family val="1"/>
    </font>
    <font>
      <b/>
      <u/>
      <sz val="10"/>
      <color theme="10"/>
      <name val="Times New Roman"/>
      <family val="1"/>
    </font>
    <font>
      <sz val="10"/>
      <color theme="1"/>
      <name val="Times New Roman"/>
      <family val="1"/>
    </font>
    <font>
      <b/>
      <sz val="10"/>
      <name val="Times New Roman"/>
      <family val="1"/>
    </font>
    <font>
      <b/>
      <sz val="10"/>
      <color theme="1"/>
      <name val="Times New Roman"/>
      <family val="1"/>
    </font>
    <font>
      <b/>
      <u/>
      <sz val="11"/>
      <color theme="1"/>
      <name val="Times New Roman"/>
      <family val="1"/>
    </font>
    <font>
      <b/>
      <sz val="9.5"/>
      <color rgb="FF0000FF"/>
      <name val="Times New Roman"/>
      <family val="1"/>
    </font>
    <font>
      <b/>
      <u/>
      <sz val="10"/>
      <name val="Times New Roman"/>
      <family val="1"/>
    </font>
    <font>
      <sz val="11"/>
      <color theme="1"/>
      <name val="Arial"/>
      <family val="2"/>
    </font>
    <font>
      <b/>
      <sz val="11"/>
      <color theme="1"/>
      <name val="Arial"/>
      <family val="2"/>
    </font>
    <font>
      <sz val="11"/>
      <color theme="1"/>
      <name val="Webdings"/>
      <family val="1"/>
      <charset val="2"/>
    </font>
    <font>
      <b/>
      <u/>
      <sz val="11"/>
      <color theme="1"/>
      <name val="Arial"/>
      <family val="2"/>
    </font>
    <font>
      <sz val="10"/>
      <color theme="1"/>
      <name val="Arial"/>
      <family val="2"/>
    </font>
    <font>
      <b/>
      <sz val="10"/>
      <color theme="1"/>
      <name val="Arial"/>
      <family val="2"/>
    </font>
    <font>
      <b/>
      <i/>
      <u/>
      <sz val="11"/>
      <color theme="1"/>
      <name val="Arial"/>
      <family val="2"/>
    </font>
    <font>
      <i/>
      <sz val="10"/>
      <color theme="1"/>
      <name val="Times New Roman"/>
      <family val="1"/>
    </font>
    <font>
      <b/>
      <u/>
      <sz val="10"/>
      <color theme="1"/>
      <name val="Arial"/>
      <family val="2"/>
    </font>
    <font>
      <b/>
      <i/>
      <sz val="10"/>
      <color theme="1"/>
      <name val="Arial"/>
      <family val="2"/>
    </font>
    <font>
      <u/>
      <sz val="10"/>
      <color theme="1"/>
      <name val="Arial"/>
      <family val="2"/>
    </font>
    <font>
      <sz val="10"/>
      <name val="Arial"/>
      <family val="2"/>
    </font>
    <font>
      <sz val="10"/>
      <color theme="1"/>
      <name val="Marlett"/>
      <charset val="2"/>
    </font>
    <font>
      <sz val="10"/>
      <color theme="1"/>
      <name val="Webdings"/>
      <family val="1"/>
      <charset val="2"/>
    </font>
    <font>
      <b/>
      <u/>
      <sz val="10"/>
      <color theme="10"/>
      <name val="Arial"/>
      <family val="2"/>
    </font>
    <font>
      <sz val="11"/>
      <color rgb="FFFF0000"/>
      <name val="Arial"/>
      <family val="2"/>
    </font>
    <font>
      <sz val="11"/>
      <name val="Arial"/>
      <family val="2"/>
    </font>
    <font>
      <sz val="10"/>
      <color rgb="FF000000"/>
      <name val="Arial"/>
      <family val="2"/>
    </font>
    <font>
      <sz val="10"/>
      <color theme="1"/>
      <name val="Times New Roman"/>
      <family val="2"/>
    </font>
    <font>
      <u/>
      <sz val="10"/>
      <color theme="10"/>
      <name val="Times New Roman"/>
      <family val="2"/>
    </font>
    <font>
      <b/>
      <u/>
      <sz val="11"/>
      <color theme="10"/>
      <name val="Arial"/>
      <family val="2"/>
    </font>
    <font>
      <b/>
      <sz val="11"/>
      <color theme="1"/>
      <name val="Calibri"/>
      <family val="2"/>
      <scheme val="minor"/>
    </font>
    <font>
      <sz val="11"/>
      <color theme="1"/>
      <name val="Marlett"/>
      <charset val="2"/>
    </font>
  </fonts>
  <fills count="12">
    <fill>
      <patternFill patternType="none"/>
    </fill>
    <fill>
      <patternFill patternType="gray125"/>
    </fill>
    <fill>
      <patternFill patternType="solid">
        <fgColor theme="9" tint="0.59999389629810485"/>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6" tint="0.59999389629810485"/>
        <bgColor indexed="64"/>
      </patternFill>
    </fill>
    <fill>
      <patternFill patternType="solid">
        <fgColor theme="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59999389629810485"/>
        <bgColor indexed="64"/>
      </patternFill>
    </fill>
  </fills>
  <borders count="12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000000"/>
      </left>
      <right style="medium">
        <color rgb="FF000000"/>
      </right>
      <top style="medium">
        <color rgb="FF000000"/>
      </top>
      <bottom style="hair">
        <color rgb="FF000000"/>
      </bottom>
      <diagonal/>
    </border>
    <border>
      <left/>
      <right style="medium">
        <color rgb="FF000000"/>
      </right>
      <top style="medium">
        <color rgb="FF000000"/>
      </top>
      <bottom style="hair">
        <color rgb="FF000000"/>
      </bottom>
      <diagonal/>
    </border>
    <border>
      <left style="medium">
        <color rgb="FF000000"/>
      </left>
      <right/>
      <top style="medium">
        <color rgb="FF000000"/>
      </top>
      <bottom style="hair">
        <color rgb="FF000000"/>
      </bottom>
      <diagonal/>
    </border>
    <border>
      <left style="medium">
        <color rgb="FF000000"/>
      </left>
      <right style="medium">
        <color rgb="FF000000"/>
      </right>
      <top style="hair">
        <color rgb="FF000000"/>
      </top>
      <bottom style="thin">
        <color rgb="FF000000"/>
      </bottom>
      <diagonal/>
    </border>
    <border>
      <left/>
      <right style="medium">
        <color rgb="FF000000"/>
      </right>
      <top style="hair">
        <color rgb="FF000000"/>
      </top>
      <bottom style="thin">
        <color rgb="FF000000"/>
      </bottom>
      <diagonal/>
    </border>
    <border>
      <left style="medium">
        <color rgb="FF000000"/>
      </left>
      <right/>
      <top style="hair">
        <color rgb="FF000000"/>
      </top>
      <bottom style="thin">
        <color rgb="FF000000"/>
      </bottom>
      <diagonal/>
    </border>
    <border>
      <left style="medium">
        <color rgb="FF000000"/>
      </left>
      <right style="medium">
        <color rgb="FF000000"/>
      </right>
      <top style="thin">
        <color rgb="FF000000"/>
      </top>
      <bottom style="hair">
        <color rgb="FF000000"/>
      </bottom>
      <diagonal/>
    </border>
    <border>
      <left/>
      <right style="medium">
        <color rgb="FF000000"/>
      </right>
      <top style="thin">
        <color rgb="FF000000"/>
      </top>
      <bottom style="hair">
        <color rgb="FF000000"/>
      </bottom>
      <diagonal/>
    </border>
    <border>
      <left style="medium">
        <color rgb="FF000000"/>
      </left>
      <right/>
      <top style="thin">
        <color rgb="FF000000"/>
      </top>
      <bottom style="hair">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right style="medium">
        <color rgb="FF000000"/>
      </right>
      <top style="hair">
        <color rgb="FF000000"/>
      </top>
      <bottom style="medium">
        <color rgb="FF000000"/>
      </bottom>
      <diagonal/>
    </border>
    <border>
      <left style="medium">
        <color rgb="FF000000"/>
      </left>
      <right/>
      <top style="hair">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hair">
        <color rgb="FF000000"/>
      </bottom>
      <diagonal/>
    </border>
    <border>
      <left/>
      <right style="medium">
        <color rgb="FF000000"/>
      </right>
      <top/>
      <bottom style="hair">
        <color rgb="FF000000"/>
      </bottom>
      <diagonal/>
    </border>
    <border>
      <left style="medium">
        <color rgb="FF000000"/>
      </left>
      <right style="medium">
        <color rgb="FF000000"/>
      </right>
      <top style="thin">
        <color rgb="FF000000"/>
      </top>
      <bottom/>
      <diagonal/>
    </border>
    <border>
      <left/>
      <right/>
      <top style="medium">
        <color rgb="FF000000"/>
      </top>
      <bottom style="thin">
        <color rgb="FF000000"/>
      </bottom>
      <diagonal/>
    </border>
    <border>
      <left/>
      <right style="medium">
        <color rgb="FF000000"/>
      </right>
      <top style="medium">
        <color rgb="FF000000"/>
      </top>
      <bottom style="medium">
        <color rgb="FF000000"/>
      </bottom>
      <diagonal/>
    </border>
    <border>
      <left/>
      <right/>
      <top style="medium">
        <color auto="1"/>
      </top>
      <bottom style="medium">
        <color auto="1"/>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hair">
        <color rgb="FF000000"/>
      </top>
      <bottom style="thin">
        <color auto="1"/>
      </bottom>
      <diagonal/>
    </border>
    <border>
      <left/>
      <right style="medium">
        <color rgb="FF000000"/>
      </right>
      <top style="hair">
        <color rgb="FF000000"/>
      </top>
      <bottom style="thin">
        <color auto="1"/>
      </bottom>
      <diagonal/>
    </border>
    <border>
      <left style="medium">
        <color rgb="FF000000"/>
      </left>
      <right style="medium">
        <color rgb="FF000000"/>
      </right>
      <top/>
      <bottom style="thin">
        <color auto="1"/>
      </bottom>
      <diagonal/>
    </border>
    <border>
      <left/>
      <right style="medium">
        <color rgb="FF000000"/>
      </right>
      <top/>
      <bottom style="thin">
        <color auto="1"/>
      </bottom>
      <diagonal/>
    </border>
    <border>
      <left/>
      <right/>
      <top/>
      <bottom style="thin">
        <color auto="1"/>
      </bottom>
      <diagonal/>
    </border>
    <border>
      <left style="medium">
        <color rgb="FF000000"/>
      </left>
      <right style="medium">
        <color rgb="FF000000"/>
      </right>
      <top style="thin">
        <color auto="1"/>
      </top>
      <bottom style="thin">
        <color auto="1"/>
      </bottom>
      <diagonal/>
    </border>
    <border>
      <left/>
      <right style="medium">
        <color rgb="FF000000"/>
      </right>
      <top style="thin">
        <color auto="1"/>
      </top>
      <bottom style="thin">
        <color auto="1"/>
      </bottom>
      <diagonal/>
    </border>
    <border>
      <left/>
      <right/>
      <top style="thin">
        <color auto="1"/>
      </top>
      <bottom style="thin">
        <color auto="1"/>
      </bottom>
      <diagonal/>
    </border>
    <border>
      <left style="medium">
        <color rgb="FF000000"/>
      </left>
      <right style="medium">
        <color rgb="FF000000"/>
      </right>
      <top style="thin">
        <color auto="1"/>
      </top>
      <bottom style="medium">
        <color rgb="FF000000"/>
      </bottom>
      <diagonal/>
    </border>
    <border>
      <left/>
      <right style="medium">
        <color rgb="FF000000"/>
      </right>
      <top style="thin">
        <color auto="1"/>
      </top>
      <bottom style="medium">
        <color rgb="FF000000"/>
      </bottom>
      <diagonal/>
    </border>
    <border>
      <left style="medium">
        <color auto="1"/>
      </left>
      <right style="medium">
        <color auto="1"/>
      </right>
      <top style="medium">
        <color auto="1"/>
      </top>
      <bottom style="medium">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top/>
      <bottom/>
      <diagonal/>
    </border>
    <border>
      <left/>
      <right style="thin">
        <color auto="1"/>
      </right>
      <top/>
      <bottom/>
      <diagonal/>
    </border>
    <border>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style="thin">
        <color rgb="FF000000"/>
      </bottom>
      <diagonal/>
    </border>
    <border>
      <left style="medium">
        <color indexed="64"/>
      </left>
      <right style="medium">
        <color indexed="64"/>
      </right>
      <top/>
      <bottom style="medium">
        <color indexed="64"/>
      </bottom>
      <diagonal/>
    </border>
    <border>
      <left style="medium">
        <color indexed="64"/>
      </left>
      <right/>
      <top/>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indexed="64"/>
      </left>
      <right/>
      <top style="medium">
        <color auto="1"/>
      </top>
      <bottom style="medium">
        <color auto="1"/>
      </bottom>
      <diagonal/>
    </border>
    <border>
      <left style="thin">
        <color indexed="64"/>
      </left>
      <right/>
      <top style="medium">
        <color auto="1"/>
      </top>
      <bottom/>
      <diagonal/>
    </border>
    <border>
      <left style="thin">
        <color indexed="64"/>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indexed="64"/>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medium">
        <color indexed="64"/>
      </right>
      <top style="thin">
        <color indexed="64"/>
      </top>
      <bottom style="thin">
        <color indexed="64"/>
      </bottom>
      <diagonal/>
    </border>
    <border>
      <left style="thin">
        <color auto="1"/>
      </left>
      <right style="thin">
        <color auto="1"/>
      </right>
      <top style="thin">
        <color indexed="64"/>
      </top>
      <bottom style="medium">
        <color indexed="64"/>
      </bottom>
      <diagonal/>
    </border>
    <border>
      <left style="thin">
        <color auto="1"/>
      </left>
      <right style="medium">
        <color indexed="64"/>
      </right>
      <top style="thin">
        <color indexed="64"/>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n">
        <color auto="1"/>
      </left>
      <right style="medium">
        <color indexed="64"/>
      </right>
      <top style="thin">
        <color indexed="64"/>
      </top>
      <bottom/>
      <diagonal/>
    </border>
    <border>
      <left/>
      <right style="medium">
        <color auto="1"/>
      </right>
      <top style="thin">
        <color auto="1"/>
      </top>
      <bottom/>
      <diagonal/>
    </border>
    <border>
      <left style="medium">
        <color auto="1"/>
      </left>
      <right style="thin">
        <color auto="1"/>
      </right>
      <top/>
      <bottom style="thin">
        <color auto="1"/>
      </bottom>
      <diagonal/>
    </border>
    <border>
      <left style="thin">
        <color auto="1"/>
      </left>
      <right style="medium">
        <color indexed="64"/>
      </right>
      <top/>
      <bottom style="thin">
        <color auto="1"/>
      </bottom>
      <diagonal/>
    </border>
    <border>
      <left style="thin">
        <color indexed="64"/>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right style="thin">
        <color auto="1"/>
      </right>
      <top style="medium">
        <color auto="1"/>
      </top>
      <bottom/>
      <diagonal/>
    </border>
    <border>
      <left style="medium">
        <color auto="1"/>
      </left>
      <right/>
      <top style="medium">
        <color auto="1"/>
      </top>
      <bottom style="thin">
        <color auto="1"/>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rgb="FF000000"/>
      </right>
      <top style="medium">
        <color indexed="64"/>
      </top>
      <bottom style="medium">
        <color indexed="64"/>
      </bottom>
      <diagonal/>
    </border>
    <border>
      <left/>
      <right style="medium">
        <color rgb="FF000000"/>
      </right>
      <top style="thin">
        <color indexed="64"/>
      </top>
      <bottom/>
      <diagonal/>
    </border>
    <border>
      <left/>
      <right style="medium">
        <color rgb="FF000000"/>
      </right>
      <top style="medium">
        <color auto="1"/>
      </top>
      <bottom style="thin">
        <color indexed="64"/>
      </bottom>
      <diagonal/>
    </border>
    <border>
      <left/>
      <right style="medium">
        <color rgb="FF000000"/>
      </right>
      <top style="thin">
        <color auto="1"/>
      </top>
      <bottom style="medium">
        <color auto="1"/>
      </bottom>
      <diagonal/>
    </border>
    <border>
      <left/>
      <right style="thin">
        <color auto="1"/>
      </right>
      <top style="medium">
        <color auto="1"/>
      </top>
      <bottom style="thin">
        <color auto="1"/>
      </bottom>
      <diagonal/>
    </border>
  </borders>
  <cellStyleXfs count="23">
    <xf numFmtId="0" fontId="0" fillId="0" borderId="0"/>
    <xf numFmtId="0" fontId="11" fillId="0" borderId="0" applyNumberFormat="0" applyFill="0" applyBorder="0" applyAlignment="0" applyProtection="0">
      <alignment vertical="top"/>
      <protection locked="0"/>
    </xf>
    <xf numFmtId="43" fontId="12" fillId="0" borderId="0" applyFont="0" applyFill="0" applyBorder="0" applyAlignment="0" applyProtection="0"/>
    <xf numFmtId="0" fontId="13" fillId="0" borderId="0"/>
    <xf numFmtId="164" fontId="15" fillId="0" borderId="0" applyFont="0" applyFill="0" applyBorder="0" applyAlignment="0" applyProtection="0"/>
    <xf numFmtId="0" fontId="11" fillId="0" borderId="0" applyNumberFormat="0" applyFill="0" applyBorder="0" applyAlignment="0" applyProtection="0">
      <alignment vertical="top"/>
      <protection locked="0"/>
    </xf>
    <xf numFmtId="9"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47" fillId="0" borderId="0"/>
    <xf numFmtId="0" fontId="12" fillId="0" borderId="0"/>
    <xf numFmtId="0" fontId="48" fillId="0" borderId="0" applyNumberForma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5" fillId="0" borderId="0" applyFont="0" applyFill="0" applyBorder="0" applyAlignment="0" applyProtection="0"/>
    <xf numFmtId="0" fontId="11" fillId="0" borderId="0" applyNumberFormat="0" applyFill="0" applyBorder="0" applyAlignment="0" applyProtection="0">
      <alignment vertical="top"/>
      <protection locked="0"/>
    </xf>
    <xf numFmtId="43" fontId="12" fillId="0" borderId="0" applyFont="0" applyFill="0" applyBorder="0" applyAlignment="0" applyProtection="0"/>
    <xf numFmtId="43" fontId="15" fillId="0" borderId="0" applyFont="0" applyFill="0" applyBorder="0" applyAlignment="0" applyProtection="0"/>
    <xf numFmtId="43" fontId="12" fillId="0" borderId="0" applyFont="0" applyFill="0" applyBorder="0" applyAlignment="0" applyProtection="0"/>
  </cellStyleXfs>
  <cellXfs count="1198">
    <xf numFmtId="0" fontId="0" fillId="0" borderId="0" xfId="0"/>
    <xf numFmtId="0" fontId="1" fillId="0" borderId="0" xfId="0" applyFont="1"/>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5" xfId="0" applyFont="1" applyBorder="1" applyAlignment="1">
      <alignment horizontal="center" vertical="center"/>
    </xf>
    <xf numFmtId="0" fontId="1" fillId="0" borderId="5" xfId="0" applyFont="1" applyBorder="1" applyAlignment="1">
      <alignment vertical="center" wrapText="1"/>
    </xf>
    <xf numFmtId="0" fontId="1" fillId="0" borderId="6" xfId="0" applyFont="1" applyBorder="1" applyAlignment="1">
      <alignment horizontal="center" vertical="center"/>
    </xf>
    <xf numFmtId="0" fontId="1" fillId="0" borderId="6" xfId="0" applyFont="1" applyBorder="1" applyAlignment="1">
      <alignment vertical="center" wrapText="1"/>
    </xf>
    <xf numFmtId="0" fontId="4" fillId="2" borderId="7" xfId="0" applyFont="1" applyFill="1" applyBorder="1" applyAlignment="1">
      <alignment vertical="top"/>
    </xf>
    <xf numFmtId="0" fontId="4" fillId="2" borderId="8" xfId="0" applyFont="1" applyFill="1" applyBorder="1"/>
    <xf numFmtId="0" fontId="4" fillId="2" borderId="7" xfId="0" applyFont="1" applyFill="1" applyBorder="1"/>
    <xf numFmtId="0" fontId="5" fillId="0" borderId="0" xfId="0" applyFont="1"/>
    <xf numFmtId="0" fontId="1" fillId="0" borderId="9" xfId="0" applyFont="1" applyBorder="1" applyAlignment="1">
      <alignment vertical="top" wrapText="1"/>
    </xf>
    <xf numFmtId="0" fontId="1" fillId="0" borderId="10" xfId="0" applyFont="1" applyBorder="1" applyAlignment="1">
      <alignment vertical="top" wrapText="1"/>
    </xf>
    <xf numFmtId="0" fontId="1" fillId="0" borderId="9" xfId="0" applyFont="1" applyBorder="1" applyAlignment="1">
      <alignment horizontal="center" vertical="top" wrapText="1"/>
    </xf>
    <xf numFmtId="0" fontId="1" fillId="0" borderId="12" xfId="0" applyFont="1" applyBorder="1" applyAlignment="1">
      <alignment vertical="top" wrapText="1"/>
    </xf>
    <xf numFmtId="0" fontId="1" fillId="0" borderId="13" xfId="0" applyFont="1" applyBorder="1" applyAlignment="1">
      <alignment vertical="top" wrapText="1"/>
    </xf>
    <xf numFmtId="0" fontId="1" fillId="0" borderId="12" xfId="0" applyFont="1" applyBorder="1" applyAlignment="1">
      <alignment horizontal="center" vertical="top" wrapText="1"/>
    </xf>
    <xf numFmtId="0" fontId="1" fillId="0" borderId="15" xfId="0" applyFont="1" applyBorder="1" applyAlignment="1">
      <alignment vertical="top" wrapText="1"/>
    </xf>
    <xf numFmtId="0" fontId="1" fillId="0" borderId="16" xfId="0" applyFont="1" applyBorder="1" applyAlignment="1">
      <alignment vertical="top" wrapText="1"/>
    </xf>
    <xf numFmtId="0" fontId="1" fillId="0" borderId="15" xfId="0" applyFont="1" applyBorder="1" applyAlignment="1">
      <alignment horizontal="center" vertical="top" wrapText="1"/>
    </xf>
    <xf numFmtId="0" fontId="1" fillId="0" borderId="5" xfId="0" applyFont="1" applyBorder="1" applyAlignment="1">
      <alignment vertical="top" wrapText="1"/>
    </xf>
    <xf numFmtId="0" fontId="1" fillId="0" borderId="18" xfId="0" applyFont="1" applyBorder="1" applyAlignment="1">
      <alignment vertical="top" wrapText="1"/>
    </xf>
    <xf numFmtId="0" fontId="6" fillId="0" borderId="19" xfId="0" applyFont="1" applyBorder="1" applyAlignment="1">
      <alignment horizontal="center" vertical="center" wrapText="1"/>
    </xf>
    <xf numFmtId="0" fontId="7" fillId="0" borderId="5" xfId="0" applyFont="1" applyBorder="1" applyAlignment="1">
      <alignment horizontal="center" vertical="top" wrapText="1"/>
    </xf>
    <xf numFmtId="0" fontId="1" fillId="0" borderId="19" xfId="0" applyFont="1" applyBorder="1" applyAlignment="1">
      <alignment vertical="center" wrapText="1"/>
    </xf>
    <xf numFmtId="0" fontId="1" fillId="0" borderId="6" xfId="0" applyFont="1" applyBorder="1" applyAlignment="1">
      <alignment vertical="top" wrapText="1"/>
    </xf>
    <xf numFmtId="0" fontId="1" fillId="0" borderId="20" xfId="0" applyFont="1" applyBorder="1" applyAlignment="1">
      <alignment vertical="top" wrapText="1"/>
    </xf>
    <xf numFmtId="0" fontId="6" fillId="0" borderId="21" xfId="0" applyFont="1" applyBorder="1" applyAlignment="1">
      <alignment horizontal="center" vertical="center" wrapText="1"/>
    </xf>
    <xf numFmtId="0" fontId="7" fillId="0" borderId="6" xfId="0" applyFont="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center" wrapText="1"/>
    </xf>
    <xf numFmtId="0" fontId="3" fillId="3" borderId="1" xfId="0" applyFont="1" applyFill="1" applyBorder="1" applyAlignment="1">
      <alignment horizontal="center" vertical="top" wrapText="1"/>
    </xf>
    <xf numFmtId="0" fontId="1" fillId="0" borderId="11" xfId="0" applyFont="1" applyBorder="1" applyAlignment="1">
      <alignment horizontal="left" vertical="center" wrapText="1"/>
    </xf>
    <xf numFmtId="0" fontId="1" fillId="0" borderId="14" xfId="0" applyFont="1" applyBorder="1" applyAlignment="1">
      <alignment horizontal="left" vertical="center" wrapText="1"/>
    </xf>
    <xf numFmtId="0" fontId="1" fillId="0" borderId="17" xfId="0" applyFont="1" applyBorder="1" applyAlignment="1">
      <alignment horizontal="left" vertical="center" wrapText="1"/>
    </xf>
    <xf numFmtId="0" fontId="0" fillId="2" borderId="8" xfId="0" applyFill="1" applyBorder="1"/>
    <xf numFmtId="0" fontId="1" fillId="0" borderId="9" xfId="0" applyFont="1" applyBorder="1" applyAlignment="1">
      <alignment vertical="top"/>
    </xf>
    <xf numFmtId="0" fontId="1" fillId="0" borderId="11" xfId="0" applyFont="1" applyBorder="1" applyAlignment="1">
      <alignment horizontal="center" vertical="top" wrapText="1"/>
    </xf>
    <xf numFmtId="0" fontId="1" fillId="0" borderId="23" xfId="0" applyFont="1" applyBorder="1" applyAlignment="1">
      <alignment vertical="top"/>
    </xf>
    <xf numFmtId="0" fontId="1" fillId="0" borderId="23" xfId="0" applyFont="1" applyBorder="1" applyAlignment="1">
      <alignment vertical="top" wrapText="1"/>
    </xf>
    <xf numFmtId="0" fontId="1" fillId="0" borderId="24" xfId="0" applyFont="1" applyBorder="1" applyAlignment="1">
      <alignment vertical="top" wrapText="1"/>
    </xf>
    <xf numFmtId="0" fontId="1" fillId="0" borderId="25" xfId="0" applyFont="1" applyBorder="1" applyAlignment="1">
      <alignment horizontal="center" vertical="top" wrapText="1"/>
    </xf>
    <xf numFmtId="0" fontId="1" fillId="0" borderId="12" xfId="0" applyFont="1" applyBorder="1" applyAlignment="1">
      <alignment vertical="top"/>
    </xf>
    <xf numFmtId="0" fontId="1" fillId="0" borderId="14" xfId="0" applyFont="1" applyBorder="1" applyAlignment="1">
      <alignment horizontal="center" vertical="top" wrapText="1"/>
    </xf>
    <xf numFmtId="0" fontId="1" fillId="0" borderId="5" xfId="0" applyFont="1" applyBorder="1" applyAlignment="1">
      <alignment vertical="top"/>
    </xf>
    <xf numFmtId="0" fontId="1" fillId="0" borderId="19" xfId="0" applyFont="1" applyBorder="1" applyAlignment="1">
      <alignment vertical="top" wrapText="1"/>
    </xf>
    <xf numFmtId="0" fontId="1" fillId="0" borderId="5" xfId="0" applyFont="1" applyBorder="1" applyAlignment="1">
      <alignment horizontal="center" vertical="top" wrapText="1"/>
    </xf>
    <xf numFmtId="0" fontId="1" fillId="0" borderId="15" xfId="0" applyFont="1" applyBorder="1" applyAlignment="1">
      <alignment vertical="top"/>
    </xf>
    <xf numFmtId="0" fontId="7" fillId="0" borderId="17" xfId="0" applyFont="1" applyBorder="1" applyAlignment="1">
      <alignment horizontal="center" vertical="top" wrapText="1"/>
    </xf>
    <xf numFmtId="0" fontId="7" fillId="0" borderId="25" xfId="0" applyFont="1" applyBorder="1" applyAlignment="1">
      <alignment horizontal="center" vertical="top" wrapText="1"/>
    </xf>
    <xf numFmtId="0" fontId="7" fillId="0" borderId="14" xfId="0" applyFont="1" applyBorder="1" applyAlignment="1">
      <alignment horizontal="center" vertical="top" wrapText="1"/>
    </xf>
    <xf numFmtId="0" fontId="1" fillId="0" borderId="19" xfId="0" applyFont="1" applyBorder="1" applyAlignment="1">
      <alignment horizontal="center" vertical="top" wrapText="1"/>
    </xf>
    <xf numFmtId="0" fontId="1" fillId="0" borderId="26" xfId="0" applyFont="1" applyBorder="1" applyAlignment="1">
      <alignment vertical="top"/>
    </xf>
    <xf numFmtId="0" fontId="1" fillId="0" borderId="26" xfId="0" applyFont="1" applyBorder="1" applyAlignment="1">
      <alignment vertical="top" wrapText="1"/>
    </xf>
    <xf numFmtId="0" fontId="1" fillId="0" borderId="27" xfId="0" applyFont="1" applyBorder="1" applyAlignment="1">
      <alignment vertical="top" wrapText="1"/>
    </xf>
    <xf numFmtId="0" fontId="7" fillId="0" borderId="28" xfId="0" applyFont="1" applyBorder="1" applyAlignment="1">
      <alignment horizontal="center" vertical="top" wrapText="1"/>
    </xf>
    <xf numFmtId="0" fontId="1" fillId="0" borderId="29" xfId="0" applyFont="1" applyBorder="1" applyAlignment="1">
      <alignment horizontal="center" vertical="center"/>
    </xf>
    <xf numFmtId="0" fontId="1" fillId="0" borderId="30" xfId="0" applyFont="1" applyBorder="1" applyAlignment="1">
      <alignment vertical="center" wrapText="1"/>
    </xf>
    <xf numFmtId="0" fontId="1" fillId="0" borderId="31" xfId="0" applyFont="1" applyBorder="1" applyAlignment="1">
      <alignment horizontal="center" vertical="center"/>
    </xf>
    <xf numFmtId="0" fontId="1" fillId="0" borderId="18" xfId="0" applyFont="1" applyBorder="1" applyAlignment="1">
      <alignment vertical="center" wrapText="1"/>
    </xf>
    <xf numFmtId="0" fontId="1" fillId="0" borderId="22" xfId="0" applyFont="1" applyBorder="1" applyAlignment="1">
      <alignment horizontal="center" vertical="center"/>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0" xfId="0" applyFont="1" applyAlignment="1">
      <alignment horizontal="left" vertical="center"/>
    </xf>
    <xf numFmtId="0" fontId="8" fillId="0" borderId="0" xfId="0" applyFont="1"/>
    <xf numFmtId="0" fontId="1" fillId="0" borderId="10" xfId="0" applyFont="1" applyBorder="1" applyAlignment="1">
      <alignment horizontal="center" vertical="top" wrapText="1"/>
    </xf>
    <xf numFmtId="0" fontId="1" fillId="0" borderId="24" xfId="0" applyFont="1" applyBorder="1" applyAlignment="1">
      <alignment horizontal="center" vertical="top" wrapText="1"/>
    </xf>
    <xf numFmtId="0" fontId="1" fillId="0" borderId="13" xfId="0" applyFont="1" applyBorder="1" applyAlignment="1">
      <alignment horizontal="center" vertical="top" wrapText="1"/>
    </xf>
    <xf numFmtId="0" fontId="1" fillId="0" borderId="18" xfId="0" applyFont="1" applyBorder="1" applyAlignment="1">
      <alignment horizontal="center" vertical="top" wrapText="1"/>
    </xf>
    <xf numFmtId="0" fontId="1" fillId="0" borderId="34" xfId="0" applyFont="1" applyBorder="1" applyAlignment="1">
      <alignment vertical="top" wrapText="1"/>
    </xf>
    <xf numFmtId="0" fontId="1" fillId="0" borderId="35" xfId="0" applyFont="1" applyBorder="1" applyAlignment="1">
      <alignment vertical="top" wrapText="1"/>
    </xf>
    <xf numFmtId="0" fontId="1" fillId="0" borderId="34" xfId="0" applyFont="1" applyBorder="1" applyAlignment="1">
      <alignment vertical="center" wrapText="1"/>
    </xf>
    <xf numFmtId="0" fontId="1" fillId="0" borderId="35" xfId="0" applyFont="1" applyBorder="1" applyAlignment="1">
      <alignment horizontal="center" vertical="top" wrapText="1"/>
    </xf>
    <xf numFmtId="0" fontId="1" fillId="0" borderId="36" xfId="0" applyFont="1" applyBorder="1" applyAlignment="1">
      <alignment vertical="top" wrapText="1"/>
    </xf>
    <xf numFmtId="0" fontId="1" fillId="0" borderId="37" xfId="0" applyFont="1" applyBorder="1" applyAlignment="1">
      <alignment vertical="top" wrapText="1"/>
    </xf>
    <xf numFmtId="0" fontId="1" fillId="0" borderId="37" xfId="0" applyFont="1" applyBorder="1" applyAlignment="1">
      <alignment horizontal="center" vertical="top" wrapText="1"/>
    </xf>
    <xf numFmtId="0" fontId="1" fillId="0" borderId="38" xfId="0" applyFont="1" applyBorder="1" applyAlignment="1">
      <alignment vertical="top" wrapText="1"/>
    </xf>
    <xf numFmtId="0" fontId="1" fillId="0" borderId="39" xfId="0" applyFont="1" applyBorder="1" applyAlignment="1">
      <alignment vertical="top" wrapText="1"/>
    </xf>
    <xf numFmtId="0" fontId="1" fillId="0" borderId="39" xfId="0" applyFont="1" applyBorder="1" applyAlignment="1">
      <alignment horizontal="center" vertical="top" wrapText="1"/>
    </xf>
    <xf numFmtId="0" fontId="1" fillId="0" borderId="27" xfId="0" applyFont="1" applyBorder="1" applyAlignment="1">
      <alignment horizontal="center" vertical="top" wrapText="1"/>
    </xf>
    <xf numFmtId="0" fontId="1" fillId="0" borderId="4" xfId="0" applyFont="1" applyBorder="1" applyAlignment="1">
      <alignment vertical="top"/>
    </xf>
    <xf numFmtId="0" fontId="1" fillId="0" borderId="4" xfId="0" applyFont="1" applyBorder="1" applyAlignment="1">
      <alignment vertical="top" wrapText="1"/>
    </xf>
    <xf numFmtId="0" fontId="1" fillId="0" borderId="4" xfId="0" applyFont="1" applyBorder="1" applyAlignment="1">
      <alignment wrapText="1"/>
    </xf>
    <xf numFmtId="0" fontId="1" fillId="0" borderId="4" xfId="0" applyFont="1" applyBorder="1" applyAlignment="1">
      <alignment horizontal="center" vertical="top" wrapText="1"/>
    </xf>
    <xf numFmtId="0" fontId="1" fillId="0" borderId="23" xfId="0" applyFont="1" applyBorder="1" applyAlignment="1">
      <alignment horizontal="center" vertical="top" wrapText="1"/>
    </xf>
    <xf numFmtId="0" fontId="1" fillId="0" borderId="12" xfId="0" applyFont="1" applyBorder="1" applyAlignment="1">
      <alignment horizontal="left" vertical="center" wrapText="1"/>
    </xf>
    <xf numFmtId="0" fontId="1" fillId="0" borderId="5" xfId="0" applyFont="1" applyBorder="1" applyAlignment="1">
      <alignment wrapText="1"/>
    </xf>
    <xf numFmtId="0" fontId="1" fillId="0" borderId="40" xfId="0" applyFont="1" applyBorder="1" applyAlignment="1">
      <alignment vertical="top"/>
    </xf>
    <xf numFmtId="0" fontId="1" fillId="0" borderId="40" xfId="0" applyFont="1" applyBorder="1" applyAlignment="1">
      <alignment vertical="top" wrapText="1"/>
    </xf>
    <xf numFmtId="0" fontId="1" fillId="0" borderId="40" xfId="0" applyFont="1" applyBorder="1" applyAlignment="1">
      <alignment wrapText="1"/>
    </xf>
    <xf numFmtId="0" fontId="1" fillId="0" borderId="40" xfId="0" applyFont="1" applyBorder="1" applyAlignment="1">
      <alignment horizontal="center" vertical="top" wrapText="1"/>
    </xf>
    <xf numFmtId="0" fontId="1" fillId="0" borderId="6" xfId="0" applyFont="1" applyBorder="1" applyAlignment="1">
      <alignment vertical="top"/>
    </xf>
    <xf numFmtId="0" fontId="1" fillId="0" borderId="6" xfId="0" applyFont="1" applyBorder="1" applyAlignment="1">
      <alignment wrapText="1"/>
    </xf>
    <xf numFmtId="0" fontId="1" fillId="0" borderId="6" xfId="0" applyFont="1" applyBorder="1" applyAlignment="1">
      <alignment horizontal="center" vertical="top" wrapText="1"/>
    </xf>
    <xf numFmtId="0" fontId="1" fillId="0" borderId="9" xfId="0" applyFont="1" applyBorder="1" applyAlignment="1">
      <alignment wrapText="1"/>
    </xf>
    <xf numFmtId="0" fontId="1" fillId="0" borderId="23" xfId="0" applyFont="1" applyBorder="1" applyAlignment="1">
      <alignment wrapText="1"/>
    </xf>
    <xf numFmtId="0" fontId="1" fillId="0" borderId="26" xfId="0" applyFont="1" applyBorder="1" applyAlignment="1">
      <alignment horizontal="center" vertical="top" wrapText="1"/>
    </xf>
    <xf numFmtId="0" fontId="1" fillId="0" borderId="26" xfId="0" applyFont="1" applyBorder="1" applyAlignment="1">
      <alignment wrapText="1"/>
    </xf>
    <xf numFmtId="0" fontId="1" fillId="2" borderId="8" xfId="0" applyFont="1" applyFill="1" applyBorder="1"/>
    <xf numFmtId="0" fontId="9" fillId="0" borderId="0" xfId="0" applyFont="1" applyAlignment="1">
      <alignment vertical="top"/>
    </xf>
    <xf numFmtId="0" fontId="3" fillId="0" borderId="1" xfId="0" applyFont="1" applyBorder="1" applyAlignment="1">
      <alignment horizontal="center" vertical="top" wrapText="1"/>
    </xf>
    <xf numFmtId="0" fontId="1" fillId="0" borderId="30" xfId="0" applyFont="1" applyBorder="1" applyAlignment="1">
      <alignment vertical="top" wrapText="1"/>
    </xf>
    <xf numFmtId="0" fontId="1" fillId="0" borderId="41" xfId="0" applyFont="1" applyBorder="1" applyAlignment="1">
      <alignment wrapText="1"/>
    </xf>
    <xf numFmtId="0" fontId="7" fillId="0" borderId="4" xfId="0" applyFont="1" applyBorder="1" applyAlignment="1">
      <alignment horizontal="center" vertical="top" wrapText="1"/>
    </xf>
    <xf numFmtId="0" fontId="1" fillId="0" borderId="19" xfId="0" applyFont="1" applyBorder="1" applyAlignment="1">
      <alignment wrapText="1"/>
    </xf>
    <xf numFmtId="0" fontId="1" fillId="0" borderId="18" xfId="0" applyFont="1" applyBorder="1" applyAlignment="1">
      <alignment vertical="top"/>
    </xf>
    <xf numFmtId="0" fontId="1" fillId="0" borderId="16" xfId="0" applyFont="1" applyBorder="1" applyAlignment="1">
      <alignment vertical="top"/>
    </xf>
    <xf numFmtId="0" fontId="7" fillId="0" borderId="15" xfId="0" applyFont="1" applyBorder="1" applyAlignment="1">
      <alignment horizontal="center" vertical="top" wrapText="1"/>
    </xf>
    <xf numFmtId="0" fontId="7" fillId="0" borderId="12" xfId="0" applyFont="1" applyBorder="1" applyAlignment="1">
      <alignment horizontal="center" vertical="top" wrapText="1"/>
    </xf>
    <xf numFmtId="0" fontId="1" fillId="0" borderId="31" xfId="0" applyFont="1" applyBorder="1" applyAlignment="1">
      <alignment wrapText="1"/>
    </xf>
    <xf numFmtId="0" fontId="1" fillId="0" borderId="27" xfId="0" applyFont="1" applyBorder="1" applyAlignment="1">
      <alignment vertical="top"/>
    </xf>
    <xf numFmtId="0" fontId="7" fillId="0" borderId="26" xfId="0" applyFont="1" applyBorder="1" applyAlignment="1">
      <alignment horizontal="center" vertical="top" wrapText="1"/>
    </xf>
    <xf numFmtId="0" fontId="10" fillId="0" borderId="0" xfId="0" applyFont="1"/>
    <xf numFmtId="0" fontId="7" fillId="0" borderId="0" xfId="0" applyFont="1" applyAlignment="1">
      <alignment horizontal="center" vertical="top"/>
    </xf>
    <xf numFmtId="0" fontId="1" fillId="0" borderId="0" xfId="0" applyFont="1" applyAlignment="1">
      <alignment vertical="top"/>
    </xf>
    <xf numFmtId="0" fontId="2" fillId="0" borderId="1" xfId="0" applyFont="1" applyBorder="1" applyAlignment="1">
      <alignment horizontal="center" vertical="top" wrapText="1"/>
    </xf>
    <xf numFmtId="0" fontId="2" fillId="0" borderId="1" xfId="0" applyFont="1" applyBorder="1" applyAlignment="1">
      <alignment horizontal="center" wrapText="1"/>
    </xf>
    <xf numFmtId="0" fontId="1" fillId="2" borderId="43" xfId="0" applyFont="1" applyFill="1" applyBorder="1"/>
    <xf numFmtId="0" fontId="1" fillId="0" borderId="36" xfId="0" applyFont="1" applyBorder="1" applyAlignment="1">
      <alignment vertical="top"/>
    </xf>
    <xf numFmtId="0" fontId="6" fillId="0" borderId="36" xfId="0" applyFont="1" applyBorder="1" applyAlignment="1">
      <alignment horizontal="center" wrapText="1"/>
    </xf>
    <xf numFmtId="0" fontId="7" fillId="0" borderId="36" xfId="0" applyFont="1" applyBorder="1" applyAlignment="1">
      <alignment horizontal="center" vertical="top" wrapText="1"/>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7" fillId="0" borderId="9" xfId="0" applyFont="1" applyBorder="1" applyAlignment="1">
      <alignment horizontal="center" vertical="top"/>
    </xf>
    <xf numFmtId="0" fontId="7" fillId="0" borderId="23" xfId="0" applyFont="1" applyBorder="1" applyAlignment="1">
      <alignment horizontal="center" vertical="top"/>
    </xf>
    <xf numFmtId="0" fontId="7" fillId="0" borderId="26" xfId="0" applyFont="1" applyBorder="1" applyAlignment="1">
      <alignment horizontal="center" vertical="top"/>
    </xf>
    <xf numFmtId="0" fontId="1" fillId="0" borderId="9" xfId="0" applyFont="1" applyBorder="1" applyAlignment="1">
      <alignment horizontal="center" vertical="top"/>
    </xf>
    <xf numFmtId="0" fontId="7" fillId="0" borderId="9" xfId="0" applyFont="1" applyBorder="1" applyAlignment="1">
      <alignment horizontal="center" vertical="top" wrapText="1"/>
    </xf>
    <xf numFmtId="0" fontId="1" fillId="0" borderId="23" xfId="0" applyFont="1" applyBorder="1" applyAlignment="1">
      <alignment horizontal="center" vertical="top"/>
    </xf>
    <xf numFmtId="0" fontId="7" fillId="0" borderId="23" xfId="0" applyFont="1" applyBorder="1" applyAlignment="1">
      <alignment horizontal="center" vertical="top" wrapText="1"/>
    </xf>
    <xf numFmtId="0" fontId="1" fillId="0" borderId="26" xfId="0" applyFont="1" applyBorder="1" applyAlignment="1">
      <alignment horizontal="center" vertical="top"/>
    </xf>
    <xf numFmtId="0" fontId="1" fillId="0" borderId="29" xfId="0" applyFont="1" applyBorder="1" applyAlignment="1">
      <alignment vertical="top"/>
    </xf>
    <xf numFmtId="0" fontId="1" fillId="0" borderId="30" xfId="0" applyFont="1" applyBorder="1" applyAlignment="1">
      <alignment wrapText="1"/>
    </xf>
    <xf numFmtId="0" fontId="1" fillId="0" borderId="30" xfId="0" applyFont="1" applyBorder="1" applyAlignment="1">
      <alignment horizontal="center" vertical="top" wrapText="1"/>
    </xf>
    <xf numFmtId="0" fontId="1" fillId="0" borderId="31" xfId="0" applyFont="1" applyBorder="1" applyAlignment="1">
      <alignment vertical="top"/>
    </xf>
    <xf numFmtId="0" fontId="1" fillId="0" borderId="18" xfId="0" applyFont="1" applyBorder="1" applyAlignment="1">
      <alignment wrapText="1"/>
    </xf>
    <xf numFmtId="0" fontId="1" fillId="0" borderId="44" xfId="0" applyFont="1" applyBorder="1" applyAlignment="1">
      <alignment vertical="top"/>
    </xf>
    <xf numFmtId="0" fontId="1" fillId="0" borderId="45" xfId="0" applyFont="1" applyBorder="1" applyAlignment="1">
      <alignment vertical="top" wrapText="1"/>
    </xf>
    <xf numFmtId="0" fontId="1" fillId="0" borderId="45" xfId="0" applyFont="1" applyBorder="1" applyAlignment="1">
      <alignment wrapText="1"/>
    </xf>
    <xf numFmtId="0" fontId="1" fillId="0" borderId="45" xfId="0" applyFont="1" applyBorder="1" applyAlignment="1">
      <alignment horizontal="center" vertical="top" wrapText="1"/>
    </xf>
    <xf numFmtId="0" fontId="1" fillId="0" borderId="0" xfId="0" applyFont="1" applyAlignment="1">
      <alignment wrapText="1"/>
    </xf>
    <xf numFmtId="0" fontId="6" fillId="0" borderId="6" xfId="0" applyFont="1" applyBorder="1" applyAlignment="1">
      <alignment horizontal="center" vertical="center" wrapText="1"/>
    </xf>
    <xf numFmtId="0" fontId="6" fillId="0" borderId="6" xfId="0" applyFont="1" applyBorder="1" applyAlignment="1">
      <alignment horizontal="center" wrapText="1"/>
    </xf>
    <xf numFmtId="0" fontId="3" fillId="0" borderId="32" xfId="0" applyFont="1" applyBorder="1" applyAlignment="1">
      <alignment horizontal="center" vertical="top" wrapText="1"/>
    </xf>
    <xf numFmtId="0" fontId="7" fillId="0" borderId="4" xfId="0" applyFont="1" applyBorder="1" applyAlignment="1">
      <alignment horizontal="center" vertical="top"/>
    </xf>
    <xf numFmtId="0" fontId="7" fillId="0" borderId="5" xfId="0" applyFont="1" applyBorder="1" applyAlignment="1">
      <alignment horizontal="center" vertical="top"/>
    </xf>
    <xf numFmtId="0" fontId="1" fillId="0" borderId="46" xfId="0" applyFont="1" applyBorder="1" applyAlignment="1">
      <alignment vertical="top"/>
    </xf>
    <xf numFmtId="0" fontId="1" fillId="0" borderId="46" xfId="0" applyFont="1" applyBorder="1" applyAlignment="1">
      <alignment vertical="top" wrapText="1"/>
    </xf>
    <xf numFmtId="0" fontId="1" fillId="0" borderId="47" xfId="0" applyFont="1" applyBorder="1" applyAlignment="1">
      <alignment vertical="top" wrapText="1"/>
    </xf>
    <xf numFmtId="0" fontId="7" fillId="0" borderId="46" xfId="0" applyFont="1" applyBorder="1" applyAlignment="1">
      <alignment horizontal="center" vertical="top"/>
    </xf>
    <xf numFmtId="0" fontId="1" fillId="0" borderId="48" xfId="0" applyFont="1" applyBorder="1" applyAlignment="1">
      <alignment vertical="top"/>
    </xf>
    <xf numFmtId="0" fontId="1" fillId="0" borderId="49" xfId="0" applyFont="1" applyBorder="1" applyAlignment="1">
      <alignment vertical="top" wrapText="1"/>
    </xf>
    <xf numFmtId="0" fontId="1" fillId="0" borderId="50" xfId="0" applyFont="1" applyBorder="1" applyAlignment="1">
      <alignment wrapText="1"/>
    </xf>
    <xf numFmtId="0" fontId="7" fillId="0" borderId="48" xfId="0" applyFont="1" applyBorder="1" applyAlignment="1">
      <alignment horizontal="center" vertical="top"/>
    </xf>
    <xf numFmtId="0" fontId="1" fillId="0" borderId="51" xfId="0" applyFont="1" applyBorder="1" applyAlignment="1">
      <alignment vertical="top"/>
    </xf>
    <xf numFmtId="0" fontId="1" fillId="0" borderId="51" xfId="0" applyFont="1" applyBorder="1" applyAlignment="1">
      <alignment vertical="top" wrapText="1"/>
    </xf>
    <xf numFmtId="0" fontId="1" fillId="0" borderId="52" xfId="0" applyFont="1" applyBorder="1" applyAlignment="1">
      <alignment vertical="top" wrapText="1"/>
    </xf>
    <xf numFmtId="0" fontId="1" fillId="0" borderId="53" xfId="0" applyFont="1" applyBorder="1" applyAlignment="1">
      <alignment wrapText="1"/>
    </xf>
    <xf numFmtId="0" fontId="7" fillId="0" borderId="51" xfId="0" applyFont="1" applyBorder="1" applyAlignment="1">
      <alignment horizontal="center" vertical="top"/>
    </xf>
    <xf numFmtId="0" fontId="1" fillId="0" borderId="53" xfId="0" applyFont="1" applyBorder="1" applyAlignment="1">
      <alignment vertical="center" wrapText="1"/>
    </xf>
    <xf numFmtId="0" fontId="1" fillId="0" borderId="54" xfId="0" applyFont="1" applyBorder="1" applyAlignment="1">
      <alignment vertical="top"/>
    </xf>
    <xf numFmtId="0" fontId="1" fillId="0" borderId="54" xfId="0" applyFont="1" applyBorder="1" applyAlignment="1">
      <alignment vertical="top" wrapText="1"/>
    </xf>
    <xf numFmtId="0" fontId="1" fillId="0" borderId="55" xfId="0" applyFont="1" applyBorder="1" applyAlignment="1">
      <alignment vertical="top" wrapText="1"/>
    </xf>
    <xf numFmtId="0" fontId="6" fillId="0" borderId="54" xfId="0" applyFont="1" applyBorder="1" applyAlignment="1">
      <alignment horizontal="center" vertical="center" wrapText="1"/>
    </xf>
    <xf numFmtId="0" fontId="7" fillId="0" borderId="54" xfId="0" applyFont="1" applyBorder="1" applyAlignment="1">
      <alignment horizontal="center" vertical="top"/>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left" vertical="center" wrapText="1"/>
    </xf>
    <xf numFmtId="0" fontId="1" fillId="0" borderId="4" xfId="0" applyFont="1" applyBorder="1" applyAlignment="1">
      <alignment horizontal="center" vertical="center" wrapText="1"/>
    </xf>
    <xf numFmtId="0" fontId="4" fillId="2" borderId="56" xfId="0" applyFont="1" applyFill="1" applyBorder="1"/>
    <xf numFmtId="165" fontId="14" fillId="4" borderId="58" xfId="4" applyNumberFormat="1" applyFont="1" applyFill="1" applyBorder="1" applyAlignment="1" applyProtection="1">
      <alignment horizontal="center" vertical="top" wrapText="1"/>
    </xf>
    <xf numFmtId="43" fontId="17" fillId="0" borderId="59" xfId="2" applyFont="1" applyFill="1" applyBorder="1" applyAlignment="1">
      <alignment vertical="center"/>
    </xf>
    <xf numFmtId="43" fontId="17" fillId="0" borderId="60" xfId="2" applyFont="1" applyFill="1" applyBorder="1" applyAlignment="1">
      <alignment vertical="center"/>
    </xf>
    <xf numFmtId="0" fontId="17" fillId="0" borderId="61" xfId="0" applyFont="1" applyBorder="1" applyAlignment="1">
      <alignment horizontal="left" vertical="center" indent="3"/>
    </xf>
    <xf numFmtId="0" fontId="18" fillId="0" borderId="61" xfId="0" applyFont="1" applyBorder="1" applyAlignment="1">
      <alignment horizontal="left" vertical="center" indent="2"/>
    </xf>
    <xf numFmtId="43" fontId="18" fillId="0" borderId="60" xfId="2" applyFont="1" applyFill="1" applyBorder="1" applyAlignment="1">
      <alignment vertical="center"/>
    </xf>
    <xf numFmtId="0" fontId="17" fillId="0" borderId="61" xfId="0" applyFont="1" applyBorder="1" applyAlignment="1">
      <alignment vertical="center"/>
    </xf>
    <xf numFmtId="43" fontId="18" fillId="0" borderId="58" xfId="2" applyFont="1" applyFill="1" applyBorder="1" applyAlignment="1">
      <alignment vertical="center"/>
    </xf>
    <xf numFmtId="0" fontId="1" fillId="0" borderId="62" xfId="0" applyFont="1" applyBorder="1"/>
    <xf numFmtId="0" fontId="16" fillId="0" borderId="61" xfId="0" applyFont="1" applyBorder="1" applyAlignment="1">
      <alignment horizontal="left" vertical="center" indent="1"/>
    </xf>
    <xf numFmtId="0" fontId="17" fillId="0" borderId="61" xfId="0" applyFont="1" applyBorder="1" applyAlignment="1">
      <alignment horizontal="left" vertical="center" indent="1"/>
    </xf>
    <xf numFmtId="0" fontId="18" fillId="0" borderId="57" xfId="0" applyFont="1" applyBorder="1" applyAlignment="1">
      <alignment horizontal="center" vertical="center"/>
    </xf>
    <xf numFmtId="0" fontId="16" fillId="0" borderId="61" xfId="0" applyFont="1" applyBorder="1" applyAlignment="1">
      <alignment vertical="center"/>
    </xf>
    <xf numFmtId="0" fontId="1" fillId="0" borderId="63" xfId="0" applyFont="1" applyBorder="1"/>
    <xf numFmtId="0" fontId="19" fillId="0" borderId="0" xfId="0" applyFont="1"/>
    <xf numFmtId="0" fontId="1" fillId="0" borderId="59" xfId="0" applyFont="1" applyBorder="1"/>
    <xf numFmtId="0" fontId="1" fillId="0" borderId="60" xfId="0" applyFont="1" applyBorder="1"/>
    <xf numFmtId="0" fontId="1" fillId="0" borderId="58" xfId="0" applyFont="1" applyBorder="1"/>
    <xf numFmtId="0" fontId="11" fillId="0" borderId="60" xfId="1" applyBorder="1" applyAlignment="1" applyProtection="1"/>
    <xf numFmtId="0" fontId="18" fillId="0" borderId="0" xfId="0" applyFont="1" applyAlignment="1">
      <alignment vertical="center"/>
    </xf>
    <xf numFmtId="43" fontId="17" fillId="0" borderId="0" xfId="2" applyFont="1" applyFill="1" applyBorder="1" applyAlignment="1">
      <alignment vertical="center"/>
    </xf>
    <xf numFmtId="0" fontId="14" fillId="4" borderId="57" xfId="3" applyFont="1" applyFill="1" applyBorder="1" applyAlignment="1">
      <alignment horizontal="center" vertical="center"/>
    </xf>
    <xf numFmtId="43" fontId="17" fillId="0" borderId="64" xfId="2" applyFont="1" applyFill="1" applyBorder="1" applyAlignment="1">
      <alignment vertical="center"/>
    </xf>
    <xf numFmtId="0" fontId="17" fillId="0" borderId="65" xfId="0" applyFont="1" applyBorder="1" applyAlignment="1">
      <alignment vertical="center"/>
    </xf>
    <xf numFmtId="0" fontId="1" fillId="0" borderId="66" xfId="0" applyFont="1" applyBorder="1"/>
    <xf numFmtId="0" fontId="17" fillId="0" borderId="67" xfId="0" applyFont="1" applyBorder="1" applyAlignment="1">
      <alignment vertical="center"/>
    </xf>
    <xf numFmtId="0" fontId="1" fillId="0" borderId="68" xfId="0" applyFont="1" applyBorder="1"/>
    <xf numFmtId="0" fontId="1" fillId="4" borderId="63" xfId="0" applyFont="1" applyFill="1" applyBorder="1"/>
    <xf numFmtId="0" fontId="20" fillId="0" borderId="65" xfId="3" applyFont="1" applyBorder="1" applyAlignment="1">
      <alignment horizontal="left" vertical="top"/>
    </xf>
    <xf numFmtId="165" fontId="14" fillId="0" borderId="59" xfId="4" applyNumberFormat="1" applyFont="1" applyFill="1" applyBorder="1" applyAlignment="1" applyProtection="1">
      <alignment horizontal="center" vertical="top" wrapText="1"/>
    </xf>
    <xf numFmtId="0" fontId="17" fillId="0" borderId="67" xfId="0" applyFont="1" applyBorder="1" applyAlignment="1">
      <alignment horizontal="left" vertical="center" indent="1"/>
    </xf>
    <xf numFmtId="43" fontId="21" fillId="0" borderId="59" xfId="2" applyFont="1" applyFill="1" applyBorder="1" applyAlignment="1">
      <alignment vertical="center"/>
    </xf>
    <xf numFmtId="43" fontId="21" fillId="0" borderId="60" xfId="2" applyFont="1" applyFill="1" applyBorder="1" applyAlignment="1">
      <alignment vertical="center"/>
    </xf>
    <xf numFmtId="43" fontId="21" fillId="0" borderId="64" xfId="2" applyFont="1" applyFill="1" applyBorder="1" applyAlignment="1">
      <alignment vertical="center"/>
    </xf>
    <xf numFmtId="0" fontId="17" fillId="0" borderId="0" xfId="0" applyFont="1" applyAlignment="1">
      <alignment vertical="center"/>
    </xf>
    <xf numFmtId="0" fontId="11" fillId="0" borderId="59" xfId="1" applyBorder="1" applyAlignment="1" applyProtection="1"/>
    <xf numFmtId="0" fontId="0" fillId="0" borderId="58" xfId="0" applyBorder="1"/>
    <xf numFmtId="0" fontId="0" fillId="0" borderId="63" xfId="0" applyBorder="1"/>
    <xf numFmtId="43" fontId="3" fillId="0" borderId="58" xfId="0" applyNumberFormat="1" applyFont="1" applyBorder="1"/>
    <xf numFmtId="0" fontId="0" fillId="0" borderId="66" xfId="0" applyBorder="1"/>
    <xf numFmtId="0" fontId="0" fillId="0" borderId="62" xfId="0" applyBorder="1"/>
    <xf numFmtId="0" fontId="0" fillId="0" borderId="59" xfId="0" applyBorder="1"/>
    <xf numFmtId="43" fontId="0" fillId="0" borderId="0" xfId="0" applyNumberFormat="1"/>
    <xf numFmtId="0" fontId="11" fillId="0" borderId="4" xfId="1" applyBorder="1" applyAlignment="1" applyProtection="1">
      <alignment vertical="center" wrapText="1"/>
    </xf>
    <xf numFmtId="0" fontId="23" fillId="0" borderId="5" xfId="0" applyFont="1" applyBorder="1" applyAlignment="1">
      <alignment vertical="center" wrapText="1"/>
    </xf>
    <xf numFmtId="0" fontId="23" fillId="0" borderId="6" xfId="0" applyFont="1" applyBorder="1" applyAlignment="1">
      <alignment vertical="center" wrapText="1"/>
    </xf>
    <xf numFmtId="0" fontId="22" fillId="0" borderId="5" xfId="1" applyFont="1" applyBorder="1" applyAlignment="1" applyProtection="1">
      <alignment vertical="center" wrapText="1"/>
    </xf>
    <xf numFmtId="0" fontId="22" fillId="0" borderId="40" xfId="1" applyFont="1" applyBorder="1" applyAlignment="1" applyProtection="1">
      <alignment vertical="center" wrapText="1"/>
    </xf>
    <xf numFmtId="0" fontId="22" fillId="0" borderId="34" xfId="1" applyFont="1" applyBorder="1" applyAlignment="1" applyProtection="1">
      <alignment vertical="center" wrapText="1"/>
    </xf>
    <xf numFmtId="0" fontId="26" fillId="0" borderId="0" xfId="0" applyFont="1"/>
    <xf numFmtId="0" fontId="1" fillId="0" borderId="9" xfId="0" applyFont="1" applyBorder="1" applyAlignment="1">
      <alignment horizontal="left" vertical="top" wrapText="1"/>
    </xf>
    <xf numFmtId="0" fontId="1" fillId="0" borderId="12" xfId="0" applyFont="1" applyBorder="1" applyAlignment="1">
      <alignment horizontal="left" vertical="top" wrapText="1"/>
    </xf>
    <xf numFmtId="0" fontId="7" fillId="0" borderId="15" xfId="0" applyFont="1" applyBorder="1" applyAlignment="1">
      <alignment horizontal="left" vertical="top" wrapText="1"/>
    </xf>
    <xf numFmtId="0" fontId="7" fillId="0" borderId="12" xfId="0" applyFont="1" applyBorder="1" applyAlignment="1">
      <alignment horizontal="left" vertical="top" wrapText="1"/>
    </xf>
    <xf numFmtId="0" fontId="7" fillId="0" borderId="6" xfId="0" applyFont="1" applyBorder="1" applyAlignment="1">
      <alignment horizontal="left" vertical="top" wrapText="1"/>
    </xf>
    <xf numFmtId="0" fontId="2" fillId="0" borderId="6" xfId="0" applyFont="1" applyBorder="1" applyAlignment="1">
      <alignment vertical="center" wrapText="1"/>
    </xf>
    <xf numFmtId="0" fontId="2" fillId="0" borderId="40" xfId="0" applyFont="1" applyBorder="1" applyAlignment="1">
      <alignment vertical="center" wrapText="1"/>
    </xf>
    <xf numFmtId="0" fontId="1" fillId="5" borderId="31" xfId="0" applyFont="1" applyFill="1" applyBorder="1" applyAlignment="1">
      <alignment horizontal="center" vertical="center"/>
    </xf>
    <xf numFmtId="0" fontId="1" fillId="5" borderId="18" xfId="0" applyFont="1" applyFill="1" applyBorder="1" applyAlignment="1">
      <alignment vertical="center" wrapText="1"/>
    </xf>
    <xf numFmtId="0" fontId="1" fillId="5" borderId="5" xfId="0" applyFont="1" applyFill="1" applyBorder="1" applyAlignment="1">
      <alignment vertical="center" wrapText="1"/>
    </xf>
    <xf numFmtId="0" fontId="22" fillId="0" borderId="18" xfId="1" applyFont="1" applyBorder="1" applyAlignment="1" applyProtection="1">
      <alignment vertical="center" wrapText="1"/>
    </xf>
    <xf numFmtId="0" fontId="1" fillId="5" borderId="4" xfId="0" applyFont="1" applyFill="1" applyBorder="1" applyAlignment="1">
      <alignment vertical="center" wrapText="1"/>
    </xf>
    <xf numFmtId="0" fontId="1" fillId="0" borderId="10" xfId="0" applyFont="1" applyBorder="1" applyAlignment="1">
      <alignment horizontal="left" vertical="top" wrapText="1"/>
    </xf>
    <xf numFmtId="0" fontId="1" fillId="0" borderId="24" xfId="0" applyFont="1" applyBorder="1" applyAlignment="1">
      <alignment horizontal="left" vertical="top" wrapText="1"/>
    </xf>
    <xf numFmtId="0" fontId="1" fillId="0" borderId="13" xfId="0" applyFont="1" applyBorder="1" applyAlignment="1">
      <alignment horizontal="left" vertical="top" wrapText="1"/>
    </xf>
    <xf numFmtId="0" fontId="1" fillId="0" borderId="18" xfId="0" applyFont="1" applyBorder="1" applyAlignment="1">
      <alignment horizontal="left" vertical="top" wrapText="1"/>
    </xf>
    <xf numFmtId="0" fontId="1" fillId="0" borderId="35" xfId="0" applyFont="1" applyBorder="1" applyAlignment="1">
      <alignment horizontal="left" vertical="top" wrapText="1"/>
    </xf>
    <xf numFmtId="0" fontId="1" fillId="0" borderId="37" xfId="0" applyFont="1" applyBorder="1" applyAlignment="1">
      <alignment horizontal="left" vertical="top" wrapText="1"/>
    </xf>
    <xf numFmtId="0" fontId="1" fillId="0" borderId="39" xfId="0" applyFont="1" applyBorder="1" applyAlignment="1">
      <alignment horizontal="left" vertical="top" wrapText="1"/>
    </xf>
    <xf numFmtId="0" fontId="1" fillId="0" borderId="27" xfId="0" applyFont="1" applyBorder="1" applyAlignment="1">
      <alignment horizontal="left" vertical="top" wrapText="1"/>
    </xf>
    <xf numFmtId="0" fontId="22" fillId="0" borderId="6" xfId="1" applyFont="1" applyFill="1" applyBorder="1" applyAlignment="1" applyProtection="1">
      <alignment vertical="center" wrapText="1"/>
    </xf>
    <xf numFmtId="0" fontId="1" fillId="5" borderId="15" xfId="0" applyFont="1" applyFill="1" applyBorder="1" applyAlignment="1">
      <alignment vertical="top" wrapText="1"/>
    </xf>
    <xf numFmtId="0" fontId="1" fillId="5" borderId="23" xfId="0" applyFont="1" applyFill="1" applyBorder="1" applyAlignment="1">
      <alignment vertical="top" wrapText="1"/>
    </xf>
    <xf numFmtId="0" fontId="1" fillId="5" borderId="12" xfId="0" applyFont="1" applyFill="1" applyBorder="1" applyAlignment="1">
      <alignment vertical="top" wrapText="1"/>
    </xf>
    <xf numFmtId="0" fontId="1" fillId="5" borderId="5" xfId="0" applyFont="1" applyFill="1" applyBorder="1" applyAlignment="1">
      <alignment vertical="top" wrapText="1"/>
    </xf>
    <xf numFmtId="0" fontId="1" fillId="5" borderId="26" xfId="0" applyFont="1" applyFill="1" applyBorder="1" applyAlignment="1">
      <alignment vertical="top" wrapText="1"/>
    </xf>
    <xf numFmtId="0" fontId="1" fillId="5" borderId="5" xfId="0" applyFont="1" applyFill="1" applyBorder="1" applyAlignment="1">
      <alignment vertical="top"/>
    </xf>
    <xf numFmtId="0" fontId="1" fillId="5" borderId="5" xfId="0" applyFont="1" applyFill="1" applyBorder="1" applyAlignment="1">
      <alignment wrapText="1"/>
    </xf>
    <xf numFmtId="0" fontId="1" fillId="5" borderId="5" xfId="0" applyFont="1" applyFill="1" applyBorder="1" applyAlignment="1">
      <alignment horizontal="center" vertical="top" wrapText="1"/>
    </xf>
    <xf numFmtId="0" fontId="0" fillId="5" borderId="0" xfId="0" applyFill="1"/>
    <xf numFmtId="0" fontId="1" fillId="5" borderId="4" xfId="0" applyFont="1" applyFill="1" applyBorder="1" applyAlignment="1">
      <alignment vertical="top"/>
    </xf>
    <xf numFmtId="0" fontId="1" fillId="5" borderId="4" xfId="0" applyFont="1" applyFill="1" applyBorder="1" applyAlignment="1">
      <alignment vertical="top" wrapText="1"/>
    </xf>
    <xf numFmtId="0" fontId="1" fillId="5" borderId="4" xfId="0" applyFont="1" applyFill="1" applyBorder="1" applyAlignment="1">
      <alignment wrapText="1"/>
    </xf>
    <xf numFmtId="0" fontId="1" fillId="5" borderId="4" xfId="0" applyFont="1" applyFill="1" applyBorder="1" applyAlignment="1">
      <alignment horizontal="center" vertical="top" wrapText="1"/>
    </xf>
    <xf numFmtId="0" fontId="1" fillId="5" borderId="15" xfId="0" applyFont="1" applyFill="1" applyBorder="1" applyAlignment="1">
      <alignment vertical="top"/>
    </xf>
    <xf numFmtId="0" fontId="1" fillId="5" borderId="15" xfId="0" applyFont="1" applyFill="1" applyBorder="1" applyAlignment="1">
      <alignment horizontal="center" vertical="top" wrapText="1"/>
    </xf>
    <xf numFmtId="0" fontId="1" fillId="5" borderId="12" xfId="0" applyFont="1" applyFill="1" applyBorder="1" applyAlignment="1">
      <alignment vertical="top"/>
    </xf>
    <xf numFmtId="0" fontId="1" fillId="5" borderId="12" xfId="0" applyFont="1" applyFill="1" applyBorder="1" applyAlignment="1">
      <alignment horizontal="center" vertical="top" wrapText="1"/>
    </xf>
    <xf numFmtId="0" fontId="1" fillId="5" borderId="5" xfId="0" applyFont="1" applyFill="1" applyBorder="1" applyAlignment="1">
      <alignment vertical="center"/>
    </xf>
    <xf numFmtId="0" fontId="1" fillId="5" borderId="48" xfId="0" applyFont="1" applyFill="1" applyBorder="1" applyAlignment="1">
      <alignment vertical="top" wrapText="1"/>
    </xf>
    <xf numFmtId="0" fontId="1" fillId="5" borderId="51" xfId="0" applyFont="1" applyFill="1" applyBorder="1" applyAlignment="1">
      <alignment vertical="top" wrapText="1"/>
    </xf>
    <xf numFmtId="0" fontId="29" fillId="0" borderId="0" xfId="0" applyFont="1" applyAlignment="1">
      <alignment vertical="top"/>
    </xf>
    <xf numFmtId="0" fontId="29" fillId="0" borderId="60" xfId="0" applyFont="1" applyBorder="1" applyAlignment="1">
      <alignment vertical="top" wrapText="1"/>
    </xf>
    <xf numFmtId="0" fontId="32" fillId="0" borderId="0" xfId="0" applyFont="1" applyAlignment="1">
      <alignment vertical="top"/>
    </xf>
    <xf numFmtId="0" fontId="0" fillId="0" borderId="0" xfId="0" applyAlignment="1">
      <alignment vertical="top"/>
    </xf>
    <xf numFmtId="0" fontId="33" fillId="0" borderId="58" xfId="0" applyFont="1" applyBorder="1" applyAlignment="1">
      <alignment vertical="top" wrapText="1"/>
    </xf>
    <xf numFmtId="0" fontId="34" fillId="5" borderId="58" xfId="0" applyFont="1" applyFill="1" applyBorder="1" applyAlignment="1">
      <alignment horizontal="center" vertical="top" wrapText="1"/>
    </xf>
    <xf numFmtId="0" fontId="0" fillId="8" borderId="58" xfId="0" applyFill="1" applyBorder="1" applyAlignment="1">
      <alignment vertical="top"/>
    </xf>
    <xf numFmtId="0" fontId="33" fillId="8" borderId="58" xfId="0" applyFont="1" applyFill="1" applyBorder="1" applyAlignment="1">
      <alignment vertical="top" wrapText="1"/>
    </xf>
    <xf numFmtId="0" fontId="29" fillId="0" borderId="0" xfId="0" applyFont="1" applyAlignment="1">
      <alignment horizontal="right" vertical="top"/>
    </xf>
    <xf numFmtId="0" fontId="29" fillId="0" borderId="58" xfId="0" applyFont="1" applyBorder="1" applyAlignment="1">
      <alignment horizontal="left" vertical="top"/>
    </xf>
    <xf numFmtId="0" fontId="35" fillId="0" borderId="0" xfId="0" applyFont="1" applyAlignment="1">
      <alignment horizontal="center" vertical="top" wrapText="1"/>
    </xf>
    <xf numFmtId="0" fontId="29" fillId="0" borderId="58" xfId="0" applyFont="1" applyBorder="1" applyAlignment="1">
      <alignment vertical="top"/>
    </xf>
    <xf numFmtId="0" fontId="29" fillId="0" borderId="0" xfId="0" applyFont="1" applyAlignment="1">
      <alignment horizontal="left" vertical="top"/>
    </xf>
    <xf numFmtId="0" fontId="34" fillId="2" borderId="58" xfId="0" applyFont="1" applyFill="1" applyBorder="1" applyAlignment="1">
      <alignment vertical="top" wrapText="1"/>
    </xf>
    <xf numFmtId="0" fontId="0" fillId="8" borderId="58" xfId="0" applyFill="1" applyBorder="1" applyAlignment="1">
      <alignment vertical="top" wrapText="1"/>
    </xf>
    <xf numFmtId="0" fontId="33" fillId="6" borderId="58" xfId="0" applyFont="1" applyFill="1" applyBorder="1" applyAlignment="1">
      <alignment vertical="top" wrapText="1"/>
    </xf>
    <xf numFmtId="0" fontId="34" fillId="0" borderId="58" xfId="0" applyFont="1" applyBorder="1" applyAlignment="1">
      <alignment vertical="top" wrapText="1"/>
    </xf>
    <xf numFmtId="0" fontId="34" fillId="3" borderId="58" xfId="0" applyFont="1" applyFill="1" applyBorder="1" applyAlignment="1">
      <alignment horizontal="center" vertical="top" wrapText="1"/>
    </xf>
    <xf numFmtId="0" fontId="33" fillId="0" borderId="58" xfId="0" applyFont="1" applyBorder="1" applyAlignment="1">
      <alignment vertical="top"/>
    </xf>
    <xf numFmtId="0" fontId="33" fillId="0" borderId="58" xfId="0" applyFont="1" applyBorder="1" applyAlignment="1">
      <alignment wrapText="1"/>
    </xf>
    <xf numFmtId="0" fontId="34" fillId="3" borderId="57" xfId="0" applyFont="1" applyFill="1" applyBorder="1" applyAlignment="1">
      <alignment horizontal="center" vertical="top" wrapText="1"/>
    </xf>
    <xf numFmtId="0" fontId="33" fillId="8" borderId="57" xfId="0" applyFont="1" applyFill="1" applyBorder="1" applyAlignment="1">
      <alignment vertical="top" wrapText="1"/>
    </xf>
    <xf numFmtId="0" fontId="33" fillId="0" borderId="0" xfId="0" applyFont="1"/>
    <xf numFmtId="0" fontId="33" fillId="0" borderId="0" xfId="0" applyFont="1" applyAlignment="1">
      <alignment vertical="top"/>
    </xf>
    <xf numFmtId="0" fontId="33" fillId="0" borderId="58" xfId="0" applyFont="1" applyBorder="1"/>
    <xf numFmtId="0" fontId="33" fillId="0" borderId="72" xfId="0" applyFont="1" applyBorder="1"/>
    <xf numFmtId="0" fontId="33" fillId="0" borderId="50" xfId="0" applyFont="1" applyBorder="1"/>
    <xf numFmtId="0" fontId="33" fillId="0" borderId="57" xfId="0" applyFont="1" applyBorder="1" applyAlignment="1">
      <alignment vertical="top" wrapText="1"/>
    </xf>
    <xf numFmtId="0" fontId="33" fillId="8" borderId="58" xfId="0" applyFont="1" applyFill="1" applyBorder="1" applyAlignment="1">
      <alignment horizontal="center" vertical="top" wrapText="1"/>
    </xf>
    <xf numFmtId="43" fontId="33" fillId="0" borderId="58" xfId="2" applyFont="1" applyBorder="1" applyAlignment="1">
      <alignment horizontal="center" vertical="top" wrapText="1"/>
    </xf>
    <xf numFmtId="0" fontId="0" fillId="0" borderId="0" xfId="0" applyAlignment="1">
      <alignment wrapText="1"/>
    </xf>
    <xf numFmtId="0" fontId="25" fillId="0" borderId="0" xfId="0" applyFont="1"/>
    <xf numFmtId="0" fontId="23" fillId="0" borderId="0" xfId="0" applyFont="1" applyAlignment="1">
      <alignment wrapText="1"/>
    </xf>
    <xf numFmtId="0" fontId="36" fillId="0" borderId="0" xfId="0" applyFont="1" applyAlignment="1">
      <alignment wrapText="1"/>
    </xf>
    <xf numFmtId="0" fontId="23" fillId="0" borderId="0" xfId="0" applyFont="1"/>
    <xf numFmtId="0" fontId="25" fillId="0" borderId="0" xfId="0" applyFont="1" applyAlignment="1">
      <alignment wrapText="1"/>
    </xf>
    <xf numFmtId="0" fontId="25" fillId="0" borderId="58" xfId="0" applyFont="1" applyBorder="1"/>
    <xf numFmtId="0" fontId="36" fillId="0" borderId="0" xfId="0" applyFont="1"/>
    <xf numFmtId="0" fontId="30" fillId="0" borderId="8" xfId="0" applyFont="1" applyBorder="1" applyAlignment="1">
      <alignment horizontal="right" vertical="top"/>
    </xf>
    <xf numFmtId="0" fontId="30" fillId="0" borderId="7" xfId="0" applyFont="1" applyBorder="1" applyAlignment="1">
      <alignment vertical="top"/>
    </xf>
    <xf numFmtId="0" fontId="29" fillId="0" borderId="0" xfId="0" applyFont="1"/>
    <xf numFmtId="0" fontId="29" fillId="0" borderId="7" xfId="0" applyFont="1" applyBorder="1"/>
    <xf numFmtId="0" fontId="30" fillId="0" borderId="0" xfId="0" applyFont="1"/>
    <xf numFmtId="0" fontId="32" fillId="0" borderId="0" xfId="0" applyFont="1"/>
    <xf numFmtId="0" fontId="29" fillId="0" borderId="80" xfId="0" applyFont="1" applyBorder="1" applyAlignment="1">
      <alignment vertical="top"/>
    </xf>
    <xf numFmtId="0" fontId="31" fillId="0" borderId="80" xfId="0" applyFont="1" applyBorder="1" applyAlignment="1">
      <alignment horizontal="center"/>
    </xf>
    <xf numFmtId="0" fontId="31" fillId="0" borderId="81" xfId="0" applyFont="1" applyBorder="1" applyAlignment="1">
      <alignment horizontal="center"/>
    </xf>
    <xf numFmtId="0" fontId="31" fillId="0" borderId="82" xfId="0" applyFont="1" applyBorder="1" applyAlignment="1">
      <alignment horizontal="center"/>
    </xf>
    <xf numFmtId="0" fontId="29" fillId="0" borderId="56" xfId="0" applyFont="1" applyBorder="1" applyAlignment="1">
      <alignment horizontal="center"/>
    </xf>
    <xf numFmtId="0" fontId="29" fillId="0" borderId="80" xfId="0" applyFont="1" applyBorder="1"/>
    <xf numFmtId="0" fontId="31" fillId="0" borderId="83" xfId="0" applyFont="1" applyBorder="1" applyAlignment="1">
      <alignment horizontal="center"/>
    </xf>
    <xf numFmtId="0" fontId="29" fillId="0" borderId="77" xfId="0" applyFont="1" applyBorder="1"/>
    <xf numFmtId="0" fontId="29" fillId="0" borderId="78" xfId="0" applyFont="1" applyBorder="1"/>
    <xf numFmtId="0" fontId="29" fillId="0" borderId="79" xfId="0" applyFont="1" applyBorder="1"/>
    <xf numFmtId="0" fontId="29" fillId="0" borderId="43" xfId="0" applyFont="1" applyBorder="1"/>
    <xf numFmtId="0" fontId="29" fillId="0" borderId="8" xfId="0" applyFont="1" applyBorder="1"/>
    <xf numFmtId="0" fontId="30" fillId="7" borderId="80" xfId="0" applyFont="1" applyFill="1" applyBorder="1" applyAlignment="1">
      <alignment horizontal="center" vertical="top" wrapText="1"/>
    </xf>
    <xf numFmtId="0" fontId="30" fillId="7" borderId="81" xfId="0" applyFont="1" applyFill="1" applyBorder="1" applyAlignment="1">
      <alignment horizontal="center" vertical="top" wrapText="1"/>
    </xf>
    <xf numFmtId="0" fontId="30" fillId="7" borderId="82" xfId="0" applyFont="1" applyFill="1" applyBorder="1" applyAlignment="1">
      <alignment horizontal="center" vertical="top" wrapText="1"/>
    </xf>
    <xf numFmtId="0" fontId="30" fillId="7" borderId="83" xfId="0" applyFont="1" applyFill="1" applyBorder="1" applyAlignment="1">
      <alignment horizontal="center" vertical="top" wrapText="1"/>
    </xf>
    <xf numFmtId="0" fontId="30" fillId="7" borderId="81" xfId="0" applyFont="1" applyFill="1" applyBorder="1" applyAlignment="1">
      <alignment horizontal="center" vertical="top"/>
    </xf>
    <xf numFmtId="0" fontId="30" fillId="7" borderId="82" xfId="0" applyFont="1" applyFill="1" applyBorder="1" applyAlignment="1">
      <alignment horizontal="center" vertical="top"/>
    </xf>
    <xf numFmtId="0" fontId="30" fillId="7" borderId="56" xfId="0" applyFont="1" applyFill="1" applyBorder="1" applyAlignment="1">
      <alignment horizontal="left" vertical="top" wrapText="1"/>
    </xf>
    <xf numFmtId="0" fontId="30" fillId="7" borderId="56" xfId="0" applyFont="1" applyFill="1" applyBorder="1" applyAlignment="1">
      <alignment horizontal="left"/>
    </xf>
    <xf numFmtId="0" fontId="30" fillId="7" borderId="56" xfId="0" applyFont="1" applyFill="1" applyBorder="1" applyAlignment="1">
      <alignment horizontal="left" wrapText="1"/>
    </xf>
    <xf numFmtId="43" fontId="30" fillId="0" borderId="8" xfId="2" applyFont="1" applyFill="1" applyBorder="1" applyAlignment="1">
      <alignment horizontal="left" vertical="top"/>
    </xf>
    <xf numFmtId="0" fontId="33" fillId="0" borderId="59" xfId="0" applyFont="1" applyBorder="1" applyAlignment="1">
      <alignment vertical="top"/>
    </xf>
    <xf numFmtId="0" fontId="33" fillId="0" borderId="60" xfId="0" applyFont="1" applyBorder="1" applyAlignment="1">
      <alignment vertical="top"/>
    </xf>
    <xf numFmtId="0" fontId="33" fillId="0" borderId="0" xfId="0" applyFont="1" applyAlignment="1">
      <alignment horizontal="center" vertical="center"/>
    </xf>
    <xf numFmtId="0" fontId="34" fillId="3" borderId="58" xfId="0" applyFont="1" applyFill="1" applyBorder="1" applyAlignment="1">
      <alignment horizontal="center" vertical="center" wrapText="1"/>
    </xf>
    <xf numFmtId="43" fontId="34" fillId="3" borderId="58" xfId="2" applyFont="1" applyFill="1" applyBorder="1" applyAlignment="1">
      <alignment horizontal="center" vertical="center" wrapText="1"/>
    </xf>
    <xf numFmtId="0" fontId="33" fillId="0" borderId="60" xfId="0" applyFont="1" applyBorder="1" applyAlignment="1">
      <alignment horizontal="left" vertical="top"/>
    </xf>
    <xf numFmtId="43" fontId="33" fillId="0" borderId="60" xfId="2" applyFont="1" applyBorder="1"/>
    <xf numFmtId="43" fontId="33" fillId="0" borderId="59" xfId="2" applyFont="1" applyBorder="1"/>
    <xf numFmtId="0" fontId="33" fillId="0" borderId="60" xfId="0" applyFont="1" applyBorder="1" applyAlignment="1">
      <alignment vertical="center"/>
    </xf>
    <xf numFmtId="43" fontId="34" fillId="0" borderId="58" xfId="2" applyFont="1" applyBorder="1"/>
    <xf numFmtId="0" fontId="34" fillId="0" borderId="58" xfId="0" applyFont="1" applyBorder="1" applyAlignment="1">
      <alignment vertical="center"/>
    </xf>
    <xf numFmtId="43" fontId="0" fillId="0" borderId="58" xfId="0" applyNumberFormat="1" applyBorder="1"/>
    <xf numFmtId="0" fontId="34" fillId="3" borderId="61" xfId="0" applyFont="1" applyFill="1" applyBorder="1" applyAlignment="1">
      <alignment horizontal="center" vertical="center" wrapText="1"/>
    </xf>
    <xf numFmtId="0" fontId="33" fillId="0" borderId="0" xfId="0" applyFont="1" applyAlignment="1">
      <alignment vertical="center"/>
    </xf>
    <xf numFmtId="0" fontId="33" fillId="5" borderId="60" xfId="0" applyFont="1" applyFill="1" applyBorder="1" applyAlignment="1">
      <alignment horizontal="left" vertical="top"/>
    </xf>
    <xf numFmtId="43" fontId="33" fillId="5" borderId="60" xfId="2" applyFont="1" applyFill="1" applyBorder="1"/>
    <xf numFmtId="43" fontId="0" fillId="5" borderId="0" xfId="0" applyNumberFormat="1" applyFill="1"/>
    <xf numFmtId="0" fontId="33" fillId="5" borderId="60" xfId="0" applyFont="1" applyFill="1" applyBorder="1" applyAlignment="1">
      <alignment vertical="center"/>
    </xf>
    <xf numFmtId="43" fontId="33" fillId="0" borderId="60" xfId="2" applyFont="1" applyFill="1" applyBorder="1"/>
    <xf numFmtId="0" fontId="33" fillId="0" borderId="0" xfId="0" applyFont="1" applyAlignment="1">
      <alignment horizontal="right" vertical="top"/>
    </xf>
    <xf numFmtId="0" fontId="37" fillId="0" borderId="0" xfId="0" applyFont="1" applyAlignment="1">
      <alignment vertical="top"/>
    </xf>
    <xf numFmtId="0" fontId="33" fillId="0" borderId="7" xfId="0" applyFont="1" applyBorder="1" applyAlignment="1">
      <alignment vertical="top"/>
    </xf>
    <xf numFmtId="0" fontId="34" fillId="0" borderId="8" xfId="0" applyFont="1" applyBorder="1" applyAlignment="1">
      <alignment horizontal="right" vertical="top"/>
    </xf>
    <xf numFmtId="0" fontId="34" fillId="0" borderId="7" xfId="0" applyFont="1" applyBorder="1" applyAlignment="1">
      <alignment vertical="top"/>
    </xf>
    <xf numFmtId="43" fontId="34" fillId="0" borderId="8" xfId="2" applyFont="1" applyFill="1" applyBorder="1" applyAlignment="1">
      <alignment horizontal="left" vertical="top"/>
    </xf>
    <xf numFmtId="0" fontId="34" fillId="0" borderId="0" xfId="0" applyFont="1" applyAlignment="1">
      <alignment horizontal="right" vertical="top"/>
    </xf>
    <xf numFmtId="0" fontId="34" fillId="0" borderId="0" xfId="0" applyFont="1" applyAlignment="1">
      <alignment vertical="top"/>
    </xf>
    <xf numFmtId="0" fontId="33" fillId="0" borderId="80" xfId="0" applyFont="1" applyBorder="1" applyAlignment="1">
      <alignment vertical="top"/>
    </xf>
    <xf numFmtId="0" fontId="33" fillId="0" borderId="87" xfId="0" applyFont="1" applyBorder="1" applyAlignment="1">
      <alignment vertical="top"/>
    </xf>
    <xf numFmtId="0" fontId="33" fillId="0" borderId="89" xfId="0" applyFont="1" applyBorder="1" applyAlignment="1">
      <alignment horizontal="center" vertical="top" wrapText="1"/>
    </xf>
    <xf numFmtId="0" fontId="33" fillId="0" borderId="110" xfId="0" applyFont="1" applyBorder="1" applyAlignment="1">
      <alignment vertical="top"/>
    </xf>
    <xf numFmtId="0" fontId="33" fillId="0" borderId="111" xfId="0" applyFont="1" applyBorder="1" applyAlignment="1">
      <alignment horizontal="center" vertical="top" wrapText="1"/>
    </xf>
    <xf numFmtId="0" fontId="33" fillId="0" borderId="90" xfId="0" applyFont="1" applyBorder="1" applyAlignment="1">
      <alignment vertical="top"/>
    </xf>
    <xf numFmtId="0" fontId="33" fillId="0" borderId="96" xfId="0" applyFont="1" applyBorder="1" applyAlignment="1">
      <alignment horizontal="center" vertical="top" wrapText="1"/>
    </xf>
    <xf numFmtId="0" fontId="33" fillId="0" borderId="92" xfId="0" applyFont="1" applyBorder="1" applyAlignment="1">
      <alignment vertical="top"/>
    </xf>
    <xf numFmtId="0" fontId="33" fillId="0" borderId="98" xfId="0" applyFont="1" applyBorder="1" applyAlignment="1">
      <alignment horizontal="center" vertical="top" wrapText="1"/>
    </xf>
    <xf numFmtId="0" fontId="34" fillId="10" borderId="80" xfId="0" applyFont="1" applyFill="1" applyBorder="1" applyAlignment="1">
      <alignment vertical="top"/>
    </xf>
    <xf numFmtId="0" fontId="34" fillId="10" borderId="99" xfId="0" applyFont="1" applyFill="1" applyBorder="1" applyAlignment="1">
      <alignment horizontal="center" vertical="center" wrapText="1"/>
    </xf>
    <xf numFmtId="0" fontId="34" fillId="7" borderId="80" xfId="0" applyFont="1" applyFill="1" applyBorder="1" applyAlignment="1">
      <alignment horizontal="center" vertical="top" wrapText="1"/>
    </xf>
    <xf numFmtId="0" fontId="34" fillId="7" borderId="81" xfId="0" applyFont="1" applyFill="1" applyBorder="1" applyAlignment="1">
      <alignment horizontal="center" vertical="top" wrapText="1"/>
    </xf>
    <xf numFmtId="0" fontId="34" fillId="7" borderId="82" xfId="0" applyFont="1" applyFill="1" applyBorder="1" applyAlignment="1">
      <alignment horizontal="center" vertical="top" wrapText="1"/>
    </xf>
    <xf numFmtId="0" fontId="34" fillId="7" borderId="83" xfId="0" applyFont="1" applyFill="1" applyBorder="1" applyAlignment="1">
      <alignment horizontal="center" vertical="top" wrapText="1"/>
    </xf>
    <xf numFmtId="0" fontId="34" fillId="7" borderId="81" xfId="0" applyFont="1" applyFill="1" applyBorder="1" applyAlignment="1">
      <alignment horizontal="center" vertical="top"/>
    </xf>
    <xf numFmtId="0" fontId="34" fillId="7" borderId="82" xfId="0" applyFont="1" applyFill="1" applyBorder="1" applyAlignment="1">
      <alignment horizontal="center" vertical="top"/>
    </xf>
    <xf numFmtId="0" fontId="33" fillId="0" borderId="80" xfId="0" applyFont="1" applyBorder="1" applyAlignment="1">
      <alignment horizontal="center" vertical="top"/>
    </xf>
    <xf numFmtId="0" fontId="33" fillId="0" borderId="81" xfId="0" applyFont="1" applyBorder="1" applyAlignment="1">
      <alignment horizontal="center" vertical="top"/>
    </xf>
    <xf numFmtId="0" fontId="33" fillId="0" borderId="82" xfId="0" applyFont="1" applyBorder="1" applyAlignment="1">
      <alignment horizontal="center" vertical="top"/>
    </xf>
    <xf numFmtId="0" fontId="33" fillId="0" borderId="83" xfId="0" applyFont="1" applyBorder="1" applyAlignment="1">
      <alignment horizontal="center" vertical="top"/>
    </xf>
    <xf numFmtId="0" fontId="34" fillId="10" borderId="81" xfId="0" applyFont="1" applyFill="1" applyBorder="1" applyAlignment="1">
      <alignment horizontal="left" vertical="top" wrapText="1"/>
    </xf>
    <xf numFmtId="0" fontId="33" fillId="0" borderId="100" xfId="0" applyFont="1" applyBorder="1" applyAlignment="1">
      <alignment vertical="top"/>
    </xf>
    <xf numFmtId="0" fontId="34" fillId="7" borderId="56" xfId="0" applyFont="1" applyFill="1" applyBorder="1" applyAlignment="1">
      <alignment horizontal="left" vertical="top" wrapText="1"/>
    </xf>
    <xf numFmtId="0" fontId="33" fillId="0" borderId="7" xfId="0" applyFont="1" applyBorder="1" applyAlignment="1">
      <alignment horizontal="center" vertical="top" wrapText="1"/>
    </xf>
    <xf numFmtId="0" fontId="33" fillId="0" borderId="88" xfId="0" applyFont="1" applyBorder="1" applyAlignment="1">
      <alignment horizontal="left" vertical="top"/>
    </xf>
    <xf numFmtId="0" fontId="33" fillId="0" borderId="97" xfId="0" applyFont="1" applyBorder="1" applyAlignment="1">
      <alignment horizontal="left" vertical="top"/>
    </xf>
    <xf numFmtId="0" fontId="34" fillId="10" borderId="99" xfId="0" applyFont="1" applyFill="1" applyBorder="1" applyAlignment="1">
      <alignment horizontal="center" vertical="top" wrapText="1"/>
    </xf>
    <xf numFmtId="0" fontId="33" fillId="0" borderId="106" xfId="0" applyFont="1" applyBorder="1" applyAlignment="1">
      <alignment vertical="top"/>
    </xf>
    <xf numFmtId="0" fontId="33" fillId="5" borderId="0" xfId="0" applyFont="1" applyFill="1" applyAlignment="1">
      <alignment vertical="top"/>
    </xf>
    <xf numFmtId="0" fontId="34" fillId="0" borderId="0" xfId="0" applyFont="1"/>
    <xf numFmtId="0" fontId="34" fillId="10" borderId="56" xfId="0" applyFont="1" applyFill="1" applyBorder="1" applyAlignment="1">
      <alignment vertical="center" wrapText="1"/>
    </xf>
    <xf numFmtId="0" fontId="34" fillId="10" borderId="70" xfId="0" applyFont="1" applyFill="1" applyBorder="1" applyAlignment="1">
      <alignment horizontal="center" vertical="center" wrapText="1"/>
    </xf>
    <xf numFmtId="9" fontId="34" fillId="7" borderId="83" xfId="6" applyFont="1" applyFill="1" applyBorder="1" applyAlignment="1">
      <alignment horizontal="center" vertical="top" wrapText="1"/>
    </xf>
    <xf numFmtId="9" fontId="34" fillId="7" borderId="81" xfId="6" applyFont="1" applyFill="1" applyBorder="1" applyAlignment="1">
      <alignment horizontal="center" vertical="top" wrapText="1"/>
    </xf>
    <xf numFmtId="9" fontId="34" fillId="7" borderId="81" xfId="6" applyFont="1" applyFill="1" applyBorder="1" applyAlignment="1">
      <alignment horizontal="center" vertical="top"/>
    </xf>
    <xf numFmtId="9" fontId="34" fillId="7" borderId="82" xfId="6" applyFont="1" applyFill="1" applyBorder="1" applyAlignment="1">
      <alignment horizontal="center" vertical="top"/>
    </xf>
    <xf numFmtId="0" fontId="33" fillId="0" borderId="80" xfId="0" applyFont="1" applyBorder="1" applyAlignment="1">
      <alignment horizontal="center"/>
    </xf>
    <xf numFmtId="0" fontId="33" fillId="0" borderId="81" xfId="0" applyFont="1" applyBorder="1" applyAlignment="1">
      <alignment horizontal="center"/>
    </xf>
    <xf numFmtId="0" fontId="33" fillId="0" borderId="82" xfId="0" applyFont="1" applyBorder="1" applyAlignment="1">
      <alignment horizontal="center"/>
    </xf>
    <xf numFmtId="0" fontId="33" fillId="0" borderId="83" xfId="0" applyFont="1" applyBorder="1" applyAlignment="1">
      <alignment horizontal="center"/>
    </xf>
    <xf numFmtId="0" fontId="34" fillId="10" borderId="81" xfId="0" applyFont="1" applyFill="1" applyBorder="1" applyAlignment="1">
      <alignment vertical="top" wrapText="1"/>
    </xf>
    <xf numFmtId="0" fontId="33" fillId="0" borderId="7" xfId="0" applyFont="1" applyBorder="1" applyAlignment="1">
      <alignment horizontal="center" vertical="center" wrapText="1"/>
    </xf>
    <xf numFmtId="0" fontId="33" fillId="0" borderId="80" xfId="0" applyFont="1" applyBorder="1"/>
    <xf numFmtId="0" fontId="34" fillId="7" borderId="56" xfId="0" applyFont="1" applyFill="1" applyBorder="1" applyAlignment="1">
      <alignment horizontal="left" wrapText="1"/>
    </xf>
    <xf numFmtId="0" fontId="33" fillId="0" borderId="7" xfId="0" applyFont="1" applyBorder="1"/>
    <xf numFmtId="0" fontId="37" fillId="0" borderId="0" xfId="0" applyFont="1"/>
    <xf numFmtId="0" fontId="34" fillId="0" borderId="0" xfId="0" applyFont="1" applyAlignment="1">
      <alignment horizontal="right"/>
    </xf>
    <xf numFmtId="9" fontId="34" fillId="7" borderId="80" xfId="6" applyFont="1" applyFill="1" applyBorder="1" applyAlignment="1">
      <alignment horizontal="center" vertical="top" wrapText="1"/>
    </xf>
    <xf numFmtId="9" fontId="34" fillId="7" borderId="82" xfId="6" applyFont="1" applyFill="1" applyBorder="1" applyAlignment="1">
      <alignment horizontal="center" vertical="top" wrapText="1"/>
    </xf>
    <xf numFmtId="0" fontId="33" fillId="0" borderId="64" xfId="0" applyFont="1" applyBorder="1" applyAlignment="1">
      <alignment horizontal="center" vertical="top"/>
    </xf>
    <xf numFmtId="0" fontId="34" fillId="0" borderId="0" xfId="0" applyFont="1" applyAlignment="1">
      <alignment horizontal="left" wrapText="1"/>
    </xf>
    <xf numFmtId="0" fontId="34" fillId="0" borderId="0" xfId="0" applyFont="1" applyAlignment="1">
      <alignment horizontal="right" vertical="top" wrapText="1"/>
    </xf>
    <xf numFmtId="0" fontId="38" fillId="0" borderId="0" xfId="0" applyFont="1" applyAlignment="1">
      <alignment vertical="top"/>
    </xf>
    <xf numFmtId="0" fontId="38" fillId="0" borderId="0" xfId="0" applyFont="1" applyAlignment="1">
      <alignment vertical="top" wrapText="1"/>
    </xf>
    <xf numFmtId="43" fontId="33" fillId="0" borderId="0" xfId="2" applyFont="1"/>
    <xf numFmtId="0" fontId="39" fillId="0" borderId="0" xfId="0" applyFont="1" applyAlignment="1">
      <alignment vertical="top"/>
    </xf>
    <xf numFmtId="0" fontId="34" fillId="10" borderId="80" xfId="0" applyFont="1" applyFill="1" applyBorder="1" applyAlignment="1">
      <alignment vertical="center"/>
    </xf>
    <xf numFmtId="0" fontId="33" fillId="0" borderId="104" xfId="0" applyFont="1" applyBorder="1" applyAlignment="1">
      <alignment vertical="top"/>
    </xf>
    <xf numFmtId="0" fontId="33" fillId="0" borderId="105" xfId="0" applyFont="1" applyBorder="1" applyAlignment="1">
      <alignment horizontal="center" vertical="top"/>
    </xf>
    <xf numFmtId="0" fontId="33" fillId="0" borderId="101" xfId="0" applyFont="1" applyBorder="1" applyAlignment="1">
      <alignment horizontal="center" vertical="top"/>
    </xf>
    <xf numFmtId="0" fontId="33" fillId="0" borderId="77" xfId="0" applyFont="1" applyBorder="1" applyAlignment="1">
      <alignment horizontal="center" vertical="top" wrapText="1"/>
    </xf>
    <xf numFmtId="0" fontId="33" fillId="0" borderId="58" xfId="0" applyFont="1" applyBorder="1" applyAlignment="1">
      <alignment horizontal="left" vertical="top"/>
    </xf>
    <xf numFmtId="0" fontId="33" fillId="0" borderId="107" xfId="0" applyFont="1" applyBorder="1" applyAlignment="1">
      <alignment vertical="top"/>
    </xf>
    <xf numFmtId="0" fontId="33" fillId="0" borderId="97" xfId="0" applyFont="1" applyBorder="1" applyAlignment="1">
      <alignment horizontal="center" vertical="top"/>
    </xf>
    <xf numFmtId="164" fontId="33" fillId="0" borderId="0" xfId="4" applyFont="1" applyAlignment="1">
      <alignment vertical="top"/>
    </xf>
    <xf numFmtId="0" fontId="38" fillId="0" borderId="0" xfId="0" applyFont="1" applyAlignment="1">
      <alignment horizontal="left" vertical="top"/>
    </xf>
    <xf numFmtId="0" fontId="34" fillId="0" borderId="0" xfId="0" applyFont="1" applyAlignment="1">
      <alignment horizontal="left" vertical="top" wrapText="1"/>
    </xf>
    <xf numFmtId="0" fontId="33" fillId="0" borderId="101" xfId="0" applyFont="1" applyBorder="1" applyAlignment="1">
      <alignment horizontal="left" vertical="top"/>
    </xf>
    <xf numFmtId="0" fontId="33" fillId="0" borderId="64" xfId="0" applyFont="1" applyBorder="1" applyAlignment="1">
      <alignment horizontal="left" vertical="top"/>
    </xf>
    <xf numFmtId="0" fontId="33" fillId="0" borderId="90" xfId="0" applyFont="1" applyBorder="1" applyAlignment="1">
      <alignment horizontal="left" vertical="top"/>
    </xf>
    <xf numFmtId="0" fontId="33" fillId="0" borderId="92" xfId="0" applyFont="1" applyBorder="1" applyAlignment="1">
      <alignment horizontal="left" vertical="top"/>
    </xf>
    <xf numFmtId="0" fontId="33" fillId="0" borderId="107" xfId="0" applyFont="1" applyBorder="1" applyAlignment="1">
      <alignment horizontal="left" vertical="top"/>
    </xf>
    <xf numFmtId="0" fontId="41" fillId="0" borderId="80" xfId="0" applyFont="1" applyBorder="1" applyAlignment="1">
      <alignment horizontal="center" vertical="top"/>
    </xf>
    <xf numFmtId="0" fontId="41" fillId="0" borderId="81" xfId="0" applyFont="1" applyBorder="1" applyAlignment="1">
      <alignment horizontal="center" vertical="top"/>
    </xf>
    <xf numFmtId="0" fontId="41" fillId="0" borderId="82" xfId="0" applyFont="1" applyBorder="1" applyAlignment="1">
      <alignment horizontal="center" vertical="top"/>
    </xf>
    <xf numFmtId="0" fontId="41" fillId="0" borderId="83" xfId="0" applyFont="1" applyBorder="1" applyAlignment="1">
      <alignment horizontal="center" vertical="top"/>
    </xf>
    <xf numFmtId="0" fontId="34" fillId="10" borderId="106" xfId="0" applyFont="1" applyFill="1" applyBorder="1" applyAlignment="1">
      <alignment vertical="top"/>
    </xf>
    <xf numFmtId="0" fontId="34" fillId="10" borderId="101" xfId="0" applyFont="1" applyFill="1" applyBorder="1" applyAlignment="1">
      <alignment horizontal="left" vertical="top" wrapText="1"/>
    </xf>
    <xf numFmtId="0" fontId="34" fillId="7" borderId="70" xfId="0" applyFont="1" applyFill="1" applyBorder="1" applyAlignment="1">
      <alignment horizontal="left" vertical="top" wrapText="1"/>
    </xf>
    <xf numFmtId="9" fontId="34" fillId="0" borderId="0" xfId="6" applyFont="1"/>
    <xf numFmtId="9" fontId="33" fillId="0" borderId="0" xfId="6" applyFont="1"/>
    <xf numFmtId="9" fontId="37" fillId="0" borderId="0" xfId="6" applyFont="1" applyAlignment="1">
      <alignment vertical="top"/>
    </xf>
    <xf numFmtId="9" fontId="33" fillId="0" borderId="7" xfId="6" applyFont="1" applyBorder="1"/>
    <xf numFmtId="9" fontId="34" fillId="0" borderId="8" xfId="6" applyFont="1" applyBorder="1" applyAlignment="1">
      <alignment horizontal="right" vertical="top"/>
    </xf>
    <xf numFmtId="9" fontId="33" fillId="0" borderId="0" xfId="6" applyFont="1" applyAlignment="1">
      <alignment vertical="top"/>
    </xf>
    <xf numFmtId="9" fontId="34" fillId="0" borderId="7" xfId="6" applyFont="1" applyBorder="1" applyAlignment="1">
      <alignment vertical="top"/>
    </xf>
    <xf numFmtId="9" fontId="37" fillId="0" borderId="0" xfId="6" applyFont="1"/>
    <xf numFmtId="9" fontId="33" fillId="0" borderId="80" xfId="6" applyFont="1" applyBorder="1" applyAlignment="1">
      <alignment vertical="top"/>
    </xf>
    <xf numFmtId="9" fontId="33" fillId="0" borderId="87" xfId="6" applyFont="1" applyBorder="1" applyAlignment="1">
      <alignment vertical="top"/>
    </xf>
    <xf numFmtId="9" fontId="33" fillId="0" borderId="89" xfId="6" applyFont="1" applyBorder="1" applyAlignment="1">
      <alignment horizontal="center" vertical="top" wrapText="1"/>
    </xf>
    <xf numFmtId="9" fontId="33" fillId="0" borderId="90" xfId="6" applyFont="1" applyBorder="1" applyAlignment="1">
      <alignment vertical="top"/>
    </xf>
    <xf numFmtId="9" fontId="33" fillId="0" borderId="96" xfId="6" applyFont="1" applyBorder="1" applyAlignment="1">
      <alignment horizontal="center" vertical="top" wrapText="1"/>
    </xf>
    <xf numFmtId="9" fontId="33" fillId="0" borderId="92" xfId="6" applyFont="1" applyBorder="1" applyAlignment="1">
      <alignment vertical="top"/>
    </xf>
    <xf numFmtId="9" fontId="33" fillId="0" borderId="98" xfId="6" applyFont="1" applyBorder="1" applyAlignment="1">
      <alignment horizontal="center" vertical="top" wrapText="1"/>
    </xf>
    <xf numFmtId="9" fontId="34" fillId="10" borderId="56" xfId="6" applyFont="1" applyFill="1" applyBorder="1" applyAlignment="1">
      <alignment vertical="center" wrapText="1"/>
    </xf>
    <xf numFmtId="9" fontId="34" fillId="10" borderId="70" xfId="6" applyFont="1" applyFill="1" applyBorder="1" applyAlignment="1">
      <alignment horizontal="center" vertical="center" wrapText="1"/>
    </xf>
    <xf numFmtId="9" fontId="34" fillId="10" borderId="80" xfId="6" applyFont="1" applyFill="1" applyBorder="1" applyAlignment="1">
      <alignment vertical="top"/>
    </xf>
    <xf numFmtId="9" fontId="34" fillId="10" borderId="81" xfId="6" applyFont="1" applyFill="1" applyBorder="1" applyAlignment="1">
      <alignment vertical="top" wrapText="1"/>
    </xf>
    <xf numFmtId="9" fontId="33" fillId="0" borderId="110" xfId="6" applyFont="1" applyBorder="1" applyAlignment="1">
      <alignment vertical="top"/>
    </xf>
    <xf numFmtId="9" fontId="33" fillId="0" borderId="107" xfId="6" applyFont="1" applyBorder="1" applyAlignment="1">
      <alignment vertical="top"/>
    </xf>
    <xf numFmtId="9" fontId="33" fillId="0" borderId="97" xfId="6" applyFont="1" applyBorder="1" applyAlignment="1">
      <alignment horizontal="center" vertical="top"/>
    </xf>
    <xf numFmtId="9" fontId="34" fillId="7" borderId="56" xfId="6" applyFont="1" applyFill="1" applyBorder="1" applyAlignment="1">
      <alignment horizontal="left" vertical="top" wrapText="1"/>
    </xf>
    <xf numFmtId="9" fontId="33" fillId="0" borderId="7" xfId="6" applyFont="1" applyBorder="1" applyAlignment="1">
      <alignment horizontal="center" vertical="center" wrapText="1"/>
    </xf>
    <xf numFmtId="9" fontId="33" fillId="0" borderId="80" xfId="6" applyFont="1" applyBorder="1"/>
    <xf numFmtId="9" fontId="33" fillId="0" borderId="0" xfId="6" applyFont="1" applyAlignment="1">
      <alignment horizontal="right" vertical="top"/>
    </xf>
    <xf numFmtId="9" fontId="33" fillId="0" borderId="111" xfId="6" applyFont="1" applyBorder="1" applyAlignment="1">
      <alignment horizontal="center" vertical="top" wrapText="1"/>
    </xf>
    <xf numFmtId="9" fontId="34" fillId="10" borderId="106" xfId="6" applyFont="1" applyFill="1" applyBorder="1" applyAlignment="1">
      <alignment vertical="top"/>
    </xf>
    <xf numFmtId="9" fontId="34" fillId="10" borderId="101" xfId="6" applyFont="1" applyFill="1" applyBorder="1" applyAlignment="1">
      <alignment vertical="top" wrapText="1"/>
    </xf>
    <xf numFmtId="9" fontId="34" fillId="7" borderId="70" xfId="6" applyFont="1" applyFill="1" applyBorder="1" applyAlignment="1">
      <alignment horizontal="left" vertical="top" wrapText="1"/>
    </xf>
    <xf numFmtId="9" fontId="33" fillId="0" borderId="77" xfId="6" applyFont="1" applyBorder="1" applyAlignment="1">
      <alignment horizontal="center" vertical="center" wrapText="1"/>
    </xf>
    <xf numFmtId="9" fontId="33" fillId="0" borderId="58" xfId="6" applyFont="1" applyBorder="1" applyAlignment="1">
      <alignment horizontal="center" vertical="top"/>
    </xf>
    <xf numFmtId="9" fontId="33" fillId="0" borderId="88" xfId="6" applyFont="1" applyBorder="1" applyAlignment="1">
      <alignment horizontal="center" vertical="top"/>
    </xf>
    <xf numFmtId="9" fontId="33" fillId="0" borderId="87" xfId="6" applyFont="1" applyBorder="1"/>
    <xf numFmtId="9" fontId="33" fillId="0" borderId="92" xfId="6" applyFont="1" applyBorder="1"/>
    <xf numFmtId="9" fontId="33" fillId="0" borderId="0" xfId="6" applyFont="1" applyFill="1" applyAlignment="1">
      <alignment vertical="top"/>
    </xf>
    <xf numFmtId="9" fontId="41" fillId="0" borderId="80" xfId="6" applyFont="1" applyBorder="1" applyAlignment="1">
      <alignment horizontal="center"/>
    </xf>
    <xf numFmtId="9" fontId="41" fillId="0" borderId="81" xfId="6" applyFont="1" applyBorder="1" applyAlignment="1">
      <alignment horizontal="center"/>
    </xf>
    <xf numFmtId="9" fontId="41" fillId="0" borderId="82" xfId="6" applyFont="1" applyBorder="1" applyAlignment="1">
      <alignment horizontal="center"/>
    </xf>
    <xf numFmtId="9" fontId="41" fillId="0" borderId="83" xfId="6" applyFont="1" applyBorder="1" applyAlignment="1">
      <alignment horizontal="center"/>
    </xf>
    <xf numFmtId="0" fontId="34" fillId="10" borderId="101" xfId="0" applyFont="1" applyFill="1" applyBorder="1" applyAlignment="1">
      <alignment vertical="top" wrapText="1"/>
    </xf>
    <xf numFmtId="0" fontId="33" fillId="0" borderId="77" xfId="0" applyFont="1" applyBorder="1" applyAlignment="1">
      <alignment horizontal="center" vertical="center" wrapText="1"/>
    </xf>
    <xf numFmtId="0" fontId="33" fillId="0" borderId="58" xfId="0" applyFont="1" applyBorder="1" applyAlignment="1">
      <alignment horizontal="center" vertical="top"/>
    </xf>
    <xf numFmtId="0" fontId="33" fillId="0" borderId="88" xfId="0" applyFont="1" applyBorder="1" applyAlignment="1">
      <alignment horizontal="center" vertical="top"/>
    </xf>
    <xf numFmtId="0" fontId="34" fillId="10" borderId="115" xfId="0" applyFont="1" applyFill="1" applyBorder="1" applyAlignment="1">
      <alignment vertical="top"/>
    </xf>
    <xf numFmtId="0" fontId="34" fillId="10" borderId="115" xfId="0" applyFont="1" applyFill="1" applyBorder="1" applyAlignment="1">
      <alignment vertical="top" wrapText="1"/>
    </xf>
    <xf numFmtId="0" fontId="33" fillId="0" borderId="80" xfId="0" applyFont="1" applyBorder="1" applyAlignment="1">
      <alignment vertical="center"/>
    </xf>
    <xf numFmtId="0" fontId="33" fillId="0" borderId="87" xfId="0" applyFont="1" applyBorder="1"/>
    <xf numFmtId="0" fontId="33" fillId="0" borderId="90" xfId="0" applyFont="1" applyBorder="1"/>
    <xf numFmtId="0" fontId="33" fillId="0" borderId="92" xfId="0" applyFont="1" applyBorder="1"/>
    <xf numFmtId="0" fontId="41" fillId="0" borderId="80" xfId="0" applyFont="1" applyBorder="1" applyAlignment="1">
      <alignment horizontal="center"/>
    </xf>
    <xf numFmtId="0" fontId="41" fillId="0" borderId="81" xfId="0" applyFont="1" applyBorder="1" applyAlignment="1">
      <alignment horizontal="center"/>
    </xf>
    <xf numFmtId="0" fontId="41" fillId="0" borderId="82" xfId="0" applyFont="1" applyBorder="1" applyAlignment="1">
      <alignment horizontal="center"/>
    </xf>
    <xf numFmtId="0" fontId="41" fillId="0" borderId="83" xfId="0" applyFont="1" applyBorder="1" applyAlignment="1">
      <alignment horizontal="center"/>
    </xf>
    <xf numFmtId="0" fontId="33" fillId="0" borderId="80" xfId="0" applyFont="1" applyBorder="1" applyAlignment="1">
      <alignment horizontal="left" vertical="center"/>
    </xf>
    <xf numFmtId="0" fontId="33" fillId="0" borderId="110" xfId="0" applyFont="1" applyBorder="1" applyAlignment="1">
      <alignment horizontal="left" vertical="center"/>
    </xf>
    <xf numFmtId="0" fontId="33" fillId="0" borderId="92" xfId="0" applyFont="1" applyBorder="1" applyAlignment="1">
      <alignment horizontal="left" vertical="center"/>
    </xf>
    <xf numFmtId="0" fontId="33" fillId="0" borderId="87" xfId="0" applyFont="1" applyBorder="1" applyAlignment="1">
      <alignment horizontal="left" vertical="center"/>
    </xf>
    <xf numFmtId="0" fontId="33" fillId="0" borderId="90" xfId="0" applyFont="1" applyBorder="1" applyAlignment="1">
      <alignment horizontal="left" vertical="center"/>
    </xf>
    <xf numFmtId="0" fontId="33" fillId="0" borderId="64" xfId="0" applyFont="1" applyBorder="1" applyAlignment="1">
      <alignment horizontal="center" vertical="center"/>
    </xf>
    <xf numFmtId="0" fontId="41" fillId="0" borderId="84" xfId="0" applyFont="1" applyBorder="1" applyAlignment="1">
      <alignment horizontal="center"/>
    </xf>
    <xf numFmtId="9" fontId="34" fillId="7" borderId="116" xfId="6" applyFont="1" applyFill="1" applyBorder="1" applyAlignment="1">
      <alignment horizontal="center" vertical="top" wrapText="1"/>
    </xf>
    <xf numFmtId="9" fontId="34" fillId="7" borderId="101" xfId="6" applyFont="1" applyFill="1" applyBorder="1" applyAlignment="1">
      <alignment horizontal="center" vertical="top" wrapText="1"/>
    </xf>
    <xf numFmtId="9" fontId="34" fillId="7" borderId="101" xfId="6" applyFont="1" applyFill="1" applyBorder="1" applyAlignment="1">
      <alignment horizontal="center" vertical="top"/>
    </xf>
    <xf numFmtId="9" fontId="34" fillId="7" borderId="102" xfId="6" applyFont="1" applyFill="1" applyBorder="1" applyAlignment="1">
      <alignment horizontal="center" vertical="top"/>
    </xf>
    <xf numFmtId="9" fontId="34" fillId="7" borderId="106" xfId="6" applyFont="1" applyFill="1" applyBorder="1" applyAlignment="1">
      <alignment horizontal="center" vertical="top" wrapText="1"/>
    </xf>
    <xf numFmtId="9" fontId="34" fillId="7" borderId="102" xfId="6" applyFont="1" applyFill="1" applyBorder="1" applyAlignment="1">
      <alignment horizontal="center" vertical="top" wrapText="1"/>
    </xf>
    <xf numFmtId="0" fontId="33" fillId="0" borderId="92" xfId="0" applyFont="1" applyBorder="1" applyAlignment="1">
      <alignment vertical="center"/>
    </xf>
    <xf numFmtId="0" fontId="33" fillId="0" borderId="117" xfId="0" applyFont="1" applyBorder="1" applyAlignment="1">
      <alignment vertical="top"/>
    </xf>
    <xf numFmtId="0" fontId="33" fillId="0" borderId="118" xfId="0" applyFont="1" applyBorder="1" applyAlignment="1">
      <alignment vertical="top"/>
    </xf>
    <xf numFmtId="0" fontId="33" fillId="0" borderId="119" xfId="0" applyFont="1" applyBorder="1" applyAlignment="1">
      <alignment vertical="top"/>
    </xf>
    <xf numFmtId="9" fontId="34" fillId="0" borderId="0" xfId="6" applyFont="1" applyFill="1"/>
    <xf numFmtId="9" fontId="33" fillId="0" borderId="80" xfId="6" applyFont="1" applyFill="1" applyBorder="1" applyAlignment="1">
      <alignment vertical="top"/>
    </xf>
    <xf numFmtId="9" fontId="33" fillId="0" borderId="0" xfId="6" applyFont="1" applyFill="1"/>
    <xf numFmtId="0" fontId="42" fillId="0" borderId="80" xfId="0" applyFont="1" applyBorder="1" applyAlignment="1">
      <alignment horizontal="center" vertical="top"/>
    </xf>
    <xf numFmtId="0" fontId="42" fillId="0" borderId="81" xfId="0" applyFont="1" applyBorder="1" applyAlignment="1">
      <alignment horizontal="center" vertical="top"/>
    </xf>
    <xf numFmtId="0" fontId="42" fillId="0" borderId="82" xfId="0" applyFont="1" applyBorder="1" applyAlignment="1">
      <alignment horizontal="center" vertical="top"/>
    </xf>
    <xf numFmtId="0" fontId="42" fillId="0" borderId="83" xfId="0" applyFont="1" applyBorder="1" applyAlignment="1">
      <alignment horizontal="center" vertical="top"/>
    </xf>
    <xf numFmtId="0" fontId="42" fillId="0" borderId="80" xfId="0" applyFont="1" applyBorder="1" applyAlignment="1">
      <alignment horizontal="center"/>
    </xf>
    <xf numFmtId="0" fontId="42" fillId="0" borderId="81" xfId="0" applyFont="1" applyBorder="1" applyAlignment="1">
      <alignment horizontal="center"/>
    </xf>
    <xf numFmtId="0" fontId="42" fillId="0" borderId="82" xfId="0" applyFont="1" applyBorder="1" applyAlignment="1">
      <alignment horizontal="center"/>
    </xf>
    <xf numFmtId="0" fontId="42" fillId="0" borderId="83" xfId="0" applyFont="1" applyBorder="1" applyAlignment="1">
      <alignment horizontal="center"/>
    </xf>
    <xf numFmtId="0" fontId="33" fillId="0" borderId="0" xfId="0" applyFont="1" applyAlignment="1">
      <alignment horizontal="left" vertical="top"/>
    </xf>
    <xf numFmtId="0" fontId="33" fillId="0" borderId="106" xfId="0" applyFont="1" applyBorder="1" applyAlignment="1">
      <alignment horizontal="left" vertical="center"/>
    </xf>
    <xf numFmtId="0" fontId="34" fillId="4" borderId="80" xfId="0" applyFont="1" applyFill="1" applyBorder="1" applyAlignment="1">
      <alignment horizontal="center" vertical="center" wrapText="1"/>
    </xf>
    <xf numFmtId="0" fontId="34" fillId="4" borderId="81" xfId="0" applyFont="1" applyFill="1" applyBorder="1" applyAlignment="1">
      <alignment horizontal="center" vertical="center" wrapText="1"/>
    </xf>
    <xf numFmtId="0" fontId="34" fillId="4" borderId="82" xfId="0" applyFont="1" applyFill="1" applyBorder="1" applyAlignment="1">
      <alignment horizontal="center" vertical="center" wrapText="1"/>
    </xf>
    <xf numFmtId="0" fontId="43" fillId="0" borderId="106" xfId="1" applyFont="1" applyBorder="1" applyAlignment="1" applyProtection="1">
      <alignment horizontal="center" vertical="center" wrapText="1"/>
    </xf>
    <xf numFmtId="0" fontId="29" fillId="0" borderId="101" xfId="0" applyFont="1" applyBorder="1" applyAlignment="1">
      <alignment horizontal="left" vertical="top" wrapText="1"/>
    </xf>
    <xf numFmtId="0" fontId="29" fillId="0" borderId="101" xfId="0" applyFont="1" applyBorder="1" applyAlignment="1">
      <alignment horizontal="center" vertical="top" wrapText="1"/>
    </xf>
    <xf numFmtId="0" fontId="29" fillId="0" borderId="102" xfId="0" applyFont="1" applyBorder="1" applyAlignment="1">
      <alignment horizontal="left" vertical="top" wrapText="1"/>
    </xf>
    <xf numFmtId="0" fontId="43" fillId="0" borderId="100" xfId="1" applyFont="1" applyBorder="1" applyAlignment="1" applyProtection="1">
      <alignment horizontal="center" vertical="center" wrapText="1"/>
    </xf>
    <xf numFmtId="0" fontId="29" fillId="0" borderId="60" xfId="0" applyFont="1" applyBorder="1" applyAlignment="1">
      <alignment horizontal="left" vertical="top" wrapText="1"/>
    </xf>
    <xf numFmtId="0" fontId="29" fillId="0" borderId="0" xfId="0" applyFont="1" applyAlignment="1">
      <alignment horizontal="center" vertical="center" wrapText="1"/>
    </xf>
    <xf numFmtId="0" fontId="29" fillId="0" borderId="103" xfId="0" applyFont="1" applyBorder="1"/>
    <xf numFmtId="0" fontId="29" fillId="0" borderId="60" xfId="0" applyFont="1" applyBorder="1" applyAlignment="1">
      <alignment horizontal="center" vertical="top" wrapText="1"/>
    </xf>
    <xf numFmtId="0" fontId="29" fillId="0" borderId="0" xfId="0" applyFont="1" applyAlignment="1">
      <alignment horizontal="center" vertical="top" wrapText="1"/>
    </xf>
    <xf numFmtId="0" fontId="29" fillId="0" borderId="103" xfId="0" applyFont="1" applyBorder="1" applyAlignment="1">
      <alignment vertical="top" wrapText="1"/>
    </xf>
    <xf numFmtId="0" fontId="43" fillId="0" borderId="104" xfId="1" applyFont="1" applyBorder="1" applyAlignment="1" applyProtection="1">
      <alignment horizontal="center" vertical="center" wrapText="1"/>
    </xf>
    <xf numFmtId="0" fontId="29" fillId="0" borderId="105" xfId="0" applyFont="1" applyBorder="1" applyAlignment="1">
      <alignment horizontal="left" vertical="top" wrapText="1"/>
    </xf>
    <xf numFmtId="0" fontId="29" fillId="0" borderId="78" xfId="0" applyFont="1" applyBorder="1" applyAlignment="1">
      <alignment horizontal="center" vertical="top" wrapText="1"/>
    </xf>
    <xf numFmtId="0" fontId="29" fillId="0" borderId="99" xfId="0" applyFont="1" applyBorder="1" applyAlignment="1">
      <alignment vertical="top" wrapText="1"/>
    </xf>
    <xf numFmtId="0" fontId="29" fillId="0" borderId="0" xfId="0" applyFont="1" applyAlignment="1">
      <alignment wrapText="1"/>
    </xf>
    <xf numFmtId="0" fontId="34" fillId="4" borderId="99" xfId="0" applyFont="1" applyFill="1" applyBorder="1" applyAlignment="1">
      <alignment horizontal="center" vertical="center" wrapText="1"/>
    </xf>
    <xf numFmtId="0" fontId="29" fillId="0" borderId="50" xfId="0" applyFont="1" applyBorder="1"/>
    <xf numFmtId="0" fontId="44" fillId="0" borderId="100" xfId="0" applyFont="1" applyBorder="1" applyAlignment="1">
      <alignment horizontal="center" vertical="center"/>
    </xf>
    <xf numFmtId="0" fontId="44" fillId="0" borderId="60" xfId="0" applyFont="1" applyBorder="1" applyAlignment="1">
      <alignment wrapText="1"/>
    </xf>
    <xf numFmtId="0" fontId="44" fillId="0" borderId="60" xfId="0" applyFont="1" applyBorder="1" applyAlignment="1">
      <alignment horizontal="center" vertical="center"/>
    </xf>
    <xf numFmtId="0" fontId="44" fillId="0" borderId="61" xfId="0" applyFont="1" applyBorder="1" applyAlignment="1">
      <alignment horizontal="center" vertical="center"/>
    </xf>
    <xf numFmtId="0" fontId="44" fillId="0" borderId="60" xfId="0" applyFont="1" applyBorder="1" applyAlignment="1">
      <alignment vertical="center"/>
    </xf>
    <xf numFmtId="0" fontId="44" fillId="0" borderId="103" xfId="0" applyFont="1" applyBorder="1" applyAlignment="1">
      <alignment vertical="center" wrapText="1"/>
    </xf>
    <xf numFmtId="0" fontId="44" fillId="0" borderId="59" xfId="0" applyFont="1" applyBorder="1" applyAlignment="1">
      <alignment horizontal="center" vertical="center"/>
    </xf>
    <xf numFmtId="0" fontId="44" fillId="0" borderId="65" xfId="0" applyFont="1" applyBorder="1" applyAlignment="1">
      <alignment horizontal="center" vertical="center"/>
    </xf>
    <xf numFmtId="0" fontId="44" fillId="0" borderId="59" xfId="0" applyFont="1" applyBorder="1" applyAlignment="1">
      <alignment vertical="center"/>
    </xf>
    <xf numFmtId="0" fontId="44" fillId="0" borderId="108" xfId="0" applyFont="1" applyBorder="1" applyAlignment="1">
      <alignment vertical="center" wrapText="1"/>
    </xf>
    <xf numFmtId="0" fontId="44" fillId="0" borderId="64" xfId="0" applyFont="1" applyBorder="1" applyAlignment="1">
      <alignment horizontal="center" vertical="center"/>
    </xf>
    <xf numFmtId="0" fontId="44" fillId="0" borderId="67" xfId="0" applyFont="1" applyBorder="1" applyAlignment="1">
      <alignment horizontal="center" vertical="center"/>
    </xf>
    <xf numFmtId="0" fontId="44" fillId="0" borderId="64" xfId="0" applyFont="1" applyBorder="1" applyAlignment="1">
      <alignment vertical="center"/>
    </xf>
    <xf numFmtId="0" fontId="44" fillId="0" borderId="111" xfId="0" applyFont="1" applyBorder="1" applyAlignment="1">
      <alignment vertical="center" wrapText="1"/>
    </xf>
    <xf numFmtId="0" fontId="44" fillId="0" borderId="105" xfId="0" applyFont="1" applyBorder="1" applyAlignment="1">
      <alignment horizontal="center" vertical="center"/>
    </xf>
    <xf numFmtId="0" fontId="44" fillId="0" borderId="86" xfId="0" applyFont="1" applyBorder="1" applyAlignment="1">
      <alignment horizontal="center" vertical="center"/>
    </xf>
    <xf numFmtId="0" fontId="44" fillId="0" borderId="105" xfId="0" applyFont="1" applyBorder="1" applyAlignment="1">
      <alignment vertical="center"/>
    </xf>
    <xf numFmtId="0" fontId="44" fillId="0" borderId="99" xfId="0" applyFont="1" applyBorder="1" applyAlignment="1">
      <alignment vertical="center" wrapText="1"/>
    </xf>
    <xf numFmtId="0" fontId="43" fillId="0" borderId="58" xfId="1" applyFont="1" applyBorder="1" applyAlignment="1" applyProtection="1">
      <alignment horizontal="center" vertical="center" wrapText="1"/>
    </xf>
    <xf numFmtId="0" fontId="43" fillId="0" borderId="58" xfId="1" applyFont="1" applyFill="1" applyBorder="1" applyAlignment="1" applyProtection="1">
      <alignment horizontal="center" vertical="center" wrapText="1"/>
    </xf>
    <xf numFmtId="0" fontId="34" fillId="0" borderId="58" xfId="0" applyFont="1" applyBorder="1" applyAlignment="1">
      <alignment horizontal="center" vertical="center" wrapText="1"/>
    </xf>
    <xf numFmtId="0" fontId="34" fillId="9" borderId="59" xfId="0" applyFont="1" applyFill="1" applyBorder="1" applyAlignment="1">
      <alignment horizontal="center" vertical="top" wrapText="1"/>
    </xf>
    <xf numFmtId="0" fontId="43" fillId="0" borderId="0" xfId="1" applyFont="1" applyBorder="1" applyAlignment="1" applyProtection="1">
      <alignment horizontal="center" vertical="center" wrapText="1"/>
    </xf>
    <xf numFmtId="0" fontId="29" fillId="0" borderId="0" xfId="0" applyFont="1" applyAlignment="1">
      <alignment horizontal="left" vertical="top" wrapText="1"/>
    </xf>
    <xf numFmtId="0" fontId="29" fillId="0" borderId="0" xfId="0" applyFont="1" applyAlignment="1">
      <alignment vertical="top" wrapText="1"/>
    </xf>
    <xf numFmtId="0" fontId="0" fillId="5" borderId="58" xfId="0" applyFill="1" applyBorder="1"/>
    <xf numFmtId="0" fontId="29" fillId="0" borderId="105" xfId="0" applyFont="1" applyBorder="1" applyAlignment="1">
      <alignment horizontal="center" vertical="top" wrapText="1"/>
    </xf>
    <xf numFmtId="0" fontId="45" fillId="0" borderId="103" xfId="0" applyFont="1" applyBorder="1" applyAlignment="1">
      <alignment vertical="top"/>
    </xf>
    <xf numFmtId="0" fontId="43" fillId="0" borderId="58" xfId="1" applyFont="1" applyFill="1" applyBorder="1" applyAlignment="1" applyProtection="1">
      <alignment horizontal="center" vertical="top"/>
    </xf>
    <xf numFmtId="9" fontId="33" fillId="0" borderId="106" xfId="6" applyFont="1" applyBorder="1" applyAlignment="1">
      <alignment vertical="top"/>
    </xf>
    <xf numFmtId="0" fontId="33" fillId="0" borderId="88" xfId="0" applyFont="1" applyBorder="1" applyAlignment="1">
      <alignment horizontal="centerContinuous" vertical="top" wrapText="1"/>
    </xf>
    <xf numFmtId="0" fontId="33" fillId="0" borderId="89" xfId="0" applyFont="1" applyBorder="1" applyAlignment="1">
      <alignment horizontal="centerContinuous" vertical="top" wrapText="1"/>
    </xf>
    <xf numFmtId="9" fontId="33" fillId="0" borderId="80" xfId="6" applyFont="1" applyFill="1" applyBorder="1"/>
    <xf numFmtId="9" fontId="33" fillId="0" borderId="107" xfId="6" applyFont="1" applyFill="1" applyBorder="1" applyAlignment="1">
      <alignment vertical="top"/>
    </xf>
    <xf numFmtId="9" fontId="33" fillId="0" borderId="64" xfId="6" applyFont="1" applyFill="1" applyBorder="1" applyAlignment="1">
      <alignment horizontal="center" vertical="top"/>
    </xf>
    <xf numFmtId="0" fontId="29" fillId="0" borderId="58" xfId="0" applyFont="1" applyBorder="1" applyAlignment="1">
      <alignment horizontal="left" vertical="top" wrapText="1"/>
    </xf>
    <xf numFmtId="0" fontId="29" fillId="0" borderId="101" xfId="0" applyFont="1" applyBorder="1" applyAlignment="1">
      <alignment horizontal="center" vertical="center"/>
    </xf>
    <xf numFmtId="0" fontId="45" fillId="0" borderId="101" xfId="0" applyFont="1" applyBorder="1" applyAlignment="1">
      <alignment vertical="center" wrapText="1"/>
    </xf>
    <xf numFmtId="0" fontId="29" fillId="0" borderId="102" xfId="0" applyFont="1" applyBorder="1" applyAlignment="1">
      <alignment vertical="center" wrapText="1"/>
    </xf>
    <xf numFmtId="0" fontId="29" fillId="0" borderId="60" xfId="0" applyFont="1" applyBorder="1" applyAlignment="1">
      <alignment horizontal="center" vertical="center"/>
    </xf>
    <xf numFmtId="0" fontId="29" fillId="0" borderId="103" xfId="0" applyFont="1" applyBorder="1" applyAlignment="1">
      <alignment vertical="center" wrapText="1"/>
    </xf>
    <xf numFmtId="0" fontId="29" fillId="0" borderId="60" xfId="0" applyFont="1" applyBorder="1" applyAlignment="1">
      <alignment vertical="center" wrapText="1"/>
    </xf>
    <xf numFmtId="0" fontId="29" fillId="0" borderId="107" xfId="0" applyFont="1" applyBorder="1" applyAlignment="1">
      <alignment horizontal="center" vertical="center"/>
    </xf>
    <xf numFmtId="0" fontId="29" fillId="0" borderId="59" xfId="0" applyFont="1" applyBorder="1" applyAlignment="1">
      <alignment horizontal="center" vertical="center"/>
    </xf>
    <xf numFmtId="0" fontId="29" fillId="0" borderId="59" xfId="0" applyFont="1" applyBorder="1" applyAlignment="1">
      <alignment vertical="center" wrapText="1"/>
    </xf>
    <xf numFmtId="0" fontId="29" fillId="0" borderId="108" xfId="0" applyFont="1" applyBorder="1" applyAlignment="1">
      <alignment vertical="center" wrapText="1"/>
    </xf>
    <xf numFmtId="0" fontId="29" fillId="0" borderId="110" xfId="0" applyFont="1" applyBorder="1" applyAlignment="1">
      <alignment horizontal="center" vertical="center"/>
    </xf>
    <xf numFmtId="0" fontId="29" fillId="0" borderId="64" xfId="0" applyFont="1" applyBorder="1" applyAlignment="1">
      <alignment horizontal="left" vertical="top" wrapText="1"/>
    </xf>
    <xf numFmtId="0" fontId="29" fillId="0" borderId="64" xfId="0" applyFont="1" applyBorder="1" applyAlignment="1">
      <alignment horizontal="center" vertical="center"/>
    </xf>
    <xf numFmtId="0" fontId="29" fillId="0" borderId="64" xfId="0" applyFont="1" applyBorder="1" applyAlignment="1">
      <alignment vertical="center" wrapText="1"/>
    </xf>
    <xf numFmtId="0" fontId="29" fillId="0" borderId="111" xfId="0" applyFont="1" applyBorder="1" applyAlignment="1">
      <alignment vertical="center" wrapText="1"/>
    </xf>
    <xf numFmtId="0" fontId="29" fillId="0" borderId="65" xfId="0" applyFont="1" applyBorder="1" applyAlignment="1">
      <alignment horizontal="center" vertical="center"/>
    </xf>
    <xf numFmtId="0" fontId="29" fillId="0" borderId="61" xfId="0" applyFont="1" applyBorder="1" applyAlignment="1">
      <alignment horizontal="center" vertical="center"/>
    </xf>
    <xf numFmtId="0" fontId="29" fillId="0" borderId="67" xfId="0" applyFont="1" applyBorder="1" applyAlignment="1">
      <alignment horizontal="center" vertical="center"/>
    </xf>
    <xf numFmtId="0" fontId="29" fillId="0" borderId="111" xfId="0" applyFont="1" applyBorder="1" applyAlignment="1">
      <alignment vertical="center"/>
    </xf>
    <xf numFmtId="0" fontId="29" fillId="0" borderId="104" xfId="0" applyFont="1" applyBorder="1" applyAlignment="1">
      <alignment horizontal="center" vertical="center"/>
    </xf>
    <xf numFmtId="0" fontId="29" fillId="0" borderId="105" xfId="0" applyFont="1" applyBorder="1" applyAlignment="1">
      <alignment vertical="center" wrapText="1"/>
    </xf>
    <xf numFmtId="0" fontId="29" fillId="0" borderId="99" xfId="0" applyFont="1" applyBorder="1" applyAlignment="1">
      <alignment vertical="center" wrapText="1"/>
    </xf>
    <xf numFmtId="0" fontId="29" fillId="0" borderId="85" xfId="0" applyFont="1" applyBorder="1" applyAlignment="1">
      <alignment horizontal="center" vertical="center"/>
    </xf>
    <xf numFmtId="0" fontId="29" fillId="0" borderId="101" xfId="0" applyFont="1" applyBorder="1" applyAlignment="1">
      <alignment vertical="center" wrapText="1"/>
    </xf>
    <xf numFmtId="0" fontId="29" fillId="0" borderId="105" xfId="0" applyFont="1" applyBorder="1" applyAlignment="1">
      <alignment horizontal="center" vertical="center"/>
    </xf>
    <xf numFmtId="0" fontId="29" fillId="0" borderId="86" xfId="0" applyFont="1" applyBorder="1" applyAlignment="1">
      <alignment horizontal="center" vertical="center"/>
    </xf>
    <xf numFmtId="0" fontId="29" fillId="0" borderId="101" xfId="0" applyFont="1" applyBorder="1" applyAlignment="1">
      <alignment horizontal="center" vertical="center" wrapText="1"/>
    </xf>
    <xf numFmtId="0" fontId="29" fillId="0" borderId="101" xfId="0" applyFont="1" applyBorder="1" applyAlignment="1">
      <alignment vertical="center"/>
    </xf>
    <xf numFmtId="0" fontId="29" fillId="0" borderId="60" xfId="0" applyFont="1" applyBorder="1" applyAlignment="1">
      <alignment horizontal="center" vertical="center" wrapText="1"/>
    </xf>
    <xf numFmtId="0" fontId="29" fillId="0" borderId="60" xfId="0" applyFont="1" applyBorder="1" applyAlignment="1">
      <alignment vertical="center"/>
    </xf>
    <xf numFmtId="0" fontId="29" fillId="0" borderId="64" xfId="0" applyFont="1" applyBorder="1" applyAlignment="1">
      <alignment horizontal="center" vertical="center" wrapText="1"/>
    </xf>
    <xf numFmtId="0" fontId="29" fillId="0" borderId="64" xfId="0" applyFont="1" applyBorder="1" applyAlignment="1">
      <alignment vertical="center"/>
    </xf>
    <xf numFmtId="0" fontId="29" fillId="0" borderId="90" xfId="0" applyFont="1" applyBorder="1" applyAlignment="1">
      <alignment horizontal="center" vertical="center"/>
    </xf>
    <xf numFmtId="0" fontId="29" fillId="0" borderId="58" xfId="0" applyFont="1" applyBorder="1" applyAlignment="1">
      <alignment wrapText="1"/>
    </xf>
    <xf numFmtId="0" fontId="29" fillId="0" borderId="58" xfId="0" applyFont="1" applyBorder="1" applyAlignment="1">
      <alignment horizontal="center" vertical="center"/>
    </xf>
    <xf numFmtId="0" fontId="29" fillId="0" borderId="57" xfId="0" applyFont="1" applyBorder="1" applyAlignment="1">
      <alignment horizontal="center" vertical="center"/>
    </xf>
    <xf numFmtId="0" fontId="29" fillId="0" borderId="58" xfId="0" applyFont="1" applyBorder="1" applyAlignment="1">
      <alignment vertical="center"/>
    </xf>
    <xf numFmtId="0" fontId="29" fillId="0" borderId="96" xfId="0" applyFont="1" applyBorder="1" applyAlignment="1">
      <alignment vertical="center" wrapText="1"/>
    </xf>
    <xf numFmtId="0" fontId="29" fillId="0" borderId="59" xfId="0" applyFont="1" applyBorder="1" applyAlignment="1">
      <alignment wrapText="1"/>
    </xf>
    <xf numFmtId="0" fontId="29" fillId="0" borderId="59" xfId="0" applyFont="1" applyBorder="1" applyAlignment="1">
      <alignment vertical="center"/>
    </xf>
    <xf numFmtId="0" fontId="29" fillId="0" borderId="105" xfId="0" applyFont="1" applyBorder="1" applyAlignment="1">
      <alignment wrapText="1"/>
    </xf>
    <xf numFmtId="0" fontId="29" fillId="0" borderId="105" xfId="0" applyFont="1" applyBorder="1" applyAlignment="1">
      <alignment vertical="center"/>
    </xf>
    <xf numFmtId="0" fontId="29" fillId="0" borderId="60" xfId="0" applyFont="1" applyBorder="1" applyAlignment="1">
      <alignment wrapText="1"/>
    </xf>
    <xf numFmtId="0" fontId="29" fillId="0" borderId="103" xfId="0" applyFont="1" applyBorder="1" applyAlignment="1">
      <alignment vertical="center"/>
    </xf>
    <xf numFmtId="0" fontId="29" fillId="0" borderId="58" xfId="0" applyFont="1" applyBorder="1" applyAlignment="1">
      <alignment vertical="center" wrapText="1"/>
    </xf>
    <xf numFmtId="0" fontId="29" fillId="0" borderId="64" xfId="0" applyFont="1" applyBorder="1" applyAlignment="1">
      <alignment wrapText="1"/>
    </xf>
    <xf numFmtId="0" fontId="29" fillId="0" borderId="102" xfId="0" applyFont="1" applyBorder="1" applyAlignment="1">
      <alignment vertical="center"/>
    </xf>
    <xf numFmtId="0" fontId="29" fillId="0" borderId="106" xfId="0" applyFont="1" applyBorder="1" applyAlignment="1">
      <alignment horizontal="center" vertical="center" wrapText="1"/>
    </xf>
    <xf numFmtId="0" fontId="29" fillId="0" borderId="100" xfId="0" applyFont="1" applyBorder="1" applyAlignment="1">
      <alignment horizontal="center" vertical="center" wrapText="1"/>
    </xf>
    <xf numFmtId="0" fontId="29" fillId="0" borderId="90" xfId="0" applyFont="1" applyBorder="1" applyAlignment="1">
      <alignment horizontal="center" vertical="center" wrapText="1"/>
    </xf>
    <xf numFmtId="0" fontId="29" fillId="0" borderId="104" xfId="0" applyFont="1" applyBorder="1" applyAlignment="1">
      <alignment horizontal="center" vertical="center" wrapText="1"/>
    </xf>
    <xf numFmtId="0" fontId="29" fillId="0" borderId="101" xfId="0" applyFont="1" applyBorder="1" applyAlignment="1">
      <alignment wrapText="1"/>
    </xf>
    <xf numFmtId="9" fontId="33" fillId="0" borderId="0" xfId="6" applyFont="1" applyFill="1" applyAlignment="1">
      <alignment vertical="top" wrapText="1"/>
    </xf>
    <xf numFmtId="0" fontId="44" fillId="0" borderId="102" xfId="0" applyFont="1" applyBorder="1" applyAlignment="1">
      <alignment horizontal="left" vertical="top" wrapText="1"/>
    </xf>
    <xf numFmtId="0" fontId="49" fillId="0" borderId="103" xfId="1" applyFont="1" applyFill="1" applyBorder="1" applyAlignment="1" applyProtection="1">
      <alignment vertical="top" wrapText="1"/>
    </xf>
    <xf numFmtId="0" fontId="29" fillId="5" borderId="60" xfId="0" applyFont="1" applyFill="1" applyBorder="1" applyAlignment="1">
      <alignment horizontal="left" vertical="top" wrapText="1"/>
    </xf>
    <xf numFmtId="0" fontId="49" fillId="0" borderId="58" xfId="1" applyFont="1" applyBorder="1" applyAlignment="1" applyProtection="1">
      <alignment horizontal="center" vertical="center" wrapText="1"/>
    </xf>
    <xf numFmtId="0" fontId="33" fillId="0" borderId="59" xfId="0" applyFont="1" applyBorder="1" applyAlignment="1">
      <alignment horizontal="left" vertical="top"/>
    </xf>
    <xf numFmtId="0" fontId="0" fillId="0" borderId="60" xfId="0" applyBorder="1"/>
    <xf numFmtId="0" fontId="0" fillId="0" borderId="64" xfId="0" applyBorder="1"/>
    <xf numFmtId="0" fontId="50" fillId="0" borderId="58" xfId="0" applyFont="1" applyBorder="1" applyAlignment="1">
      <alignment horizontal="center" vertical="top" wrapText="1"/>
    </xf>
    <xf numFmtId="0" fontId="50" fillId="0" borderId="59" xfId="0" applyFont="1" applyBorder="1" applyAlignment="1">
      <alignment horizontal="center" vertical="top" wrapText="1"/>
    </xf>
    <xf numFmtId="0" fontId="33" fillId="0" borderId="0" xfId="0" applyFont="1" applyAlignment="1">
      <alignment vertical="top" wrapText="1"/>
    </xf>
    <xf numFmtId="0" fontId="33" fillId="0" borderId="59" xfId="0" applyFont="1" applyBorder="1" applyAlignment="1">
      <alignment vertical="top" wrapText="1"/>
    </xf>
    <xf numFmtId="0" fontId="33" fillId="0" borderId="60" xfId="0" applyFont="1" applyBorder="1" applyAlignment="1">
      <alignment vertical="top" wrapText="1"/>
    </xf>
    <xf numFmtId="0" fontId="0" fillId="0" borderId="60" xfId="0" applyBorder="1" applyAlignment="1">
      <alignment vertical="top"/>
    </xf>
    <xf numFmtId="0" fontId="0" fillId="0" borderId="64" xfId="0" applyBorder="1" applyAlignment="1">
      <alignment vertical="top"/>
    </xf>
    <xf numFmtId="0" fontId="33" fillId="0" borderId="64" xfId="0" applyFont="1" applyBorder="1" applyAlignment="1">
      <alignment vertical="top"/>
    </xf>
    <xf numFmtId="0" fontId="33" fillId="0" borderId="64" xfId="0" applyFont="1" applyBorder="1" applyAlignment="1">
      <alignment vertical="top" wrapText="1"/>
    </xf>
    <xf numFmtId="0" fontId="34" fillId="11" borderId="58" xfId="0" applyFont="1" applyFill="1" applyBorder="1" applyAlignment="1">
      <alignment horizontal="center" vertical="top"/>
    </xf>
    <xf numFmtId="0" fontId="25" fillId="2" borderId="58" xfId="0" applyFont="1" applyFill="1" applyBorder="1" applyAlignment="1">
      <alignment horizontal="left" vertical="center"/>
    </xf>
    <xf numFmtId="0" fontId="25" fillId="2" borderId="58" xfId="0" applyFont="1" applyFill="1" applyBorder="1" applyAlignment="1">
      <alignment horizontal="center" vertical="center"/>
    </xf>
    <xf numFmtId="0" fontId="25" fillId="2" borderId="58" xfId="0" applyFont="1" applyFill="1" applyBorder="1" applyAlignment="1">
      <alignment horizontal="center" vertical="center" wrapText="1"/>
    </xf>
    <xf numFmtId="0" fontId="23" fillId="0" borderId="60" xfId="0" applyFont="1" applyBorder="1" applyAlignment="1">
      <alignment horizontal="left" vertical="top" wrapText="1"/>
    </xf>
    <xf numFmtId="0" fontId="23" fillId="0" borderId="60" xfId="0" applyFont="1" applyBorder="1" applyAlignment="1">
      <alignment horizontal="left" vertical="center" wrapText="1"/>
    </xf>
    <xf numFmtId="0" fontId="23" fillId="0" borderId="60" xfId="0" applyFont="1" applyBorder="1" applyAlignment="1">
      <alignment horizontal="center" vertical="center" wrapText="1"/>
    </xf>
    <xf numFmtId="0" fontId="23" fillId="0" borderId="60" xfId="0" applyFont="1" applyBorder="1" applyAlignment="1">
      <alignment vertical="top" wrapText="1"/>
    </xf>
    <xf numFmtId="0" fontId="23" fillId="0" borderId="60" xfId="0" applyFont="1" applyBorder="1" applyAlignment="1">
      <alignment horizontal="center" vertical="top" wrapText="1"/>
    </xf>
    <xf numFmtId="9" fontId="23" fillId="0" borderId="60" xfId="6" applyFont="1" applyBorder="1" applyAlignment="1">
      <alignment horizontal="left" vertical="top" wrapText="1"/>
    </xf>
    <xf numFmtId="9" fontId="23" fillId="0" borderId="60" xfId="6" applyFont="1" applyBorder="1" applyAlignment="1">
      <alignment vertical="top" wrapText="1"/>
    </xf>
    <xf numFmtId="9" fontId="23" fillId="0" borderId="60" xfId="6" applyFont="1" applyBorder="1" applyAlignment="1">
      <alignment horizontal="center" vertical="top" wrapText="1"/>
    </xf>
    <xf numFmtId="9" fontId="23" fillId="0" borderId="60" xfId="6" applyFont="1" applyFill="1" applyBorder="1" applyAlignment="1">
      <alignment vertical="top" wrapText="1"/>
    </xf>
    <xf numFmtId="9" fontId="23" fillId="0" borderId="60" xfId="6" applyFont="1" applyFill="1" applyBorder="1" applyAlignment="1">
      <alignment horizontal="left" vertical="top" wrapText="1"/>
    </xf>
    <xf numFmtId="9" fontId="23" fillId="0" borderId="60" xfId="6" applyFont="1" applyFill="1" applyBorder="1" applyAlignment="1">
      <alignment horizontal="center" vertical="top" wrapText="1"/>
    </xf>
    <xf numFmtId="0" fontId="23" fillId="0" borderId="60" xfId="0" applyFont="1" applyBorder="1" applyAlignment="1">
      <alignment horizontal="left" vertical="top"/>
    </xf>
    <xf numFmtId="0" fontId="23" fillId="0" borderId="60" xfId="0" applyFont="1" applyBorder="1" applyAlignment="1">
      <alignment vertical="top"/>
    </xf>
    <xf numFmtId="0" fontId="5" fillId="0" borderId="60" xfId="0" applyFont="1" applyBorder="1" applyAlignment="1">
      <alignment wrapText="1"/>
    </xf>
    <xf numFmtId="0" fontId="23" fillId="0" borderId="64" xfId="0" applyFont="1" applyBorder="1" applyAlignment="1">
      <alignment horizontal="left" vertical="top"/>
    </xf>
    <xf numFmtId="0" fontId="5" fillId="0" borderId="64" xfId="0" applyFont="1" applyBorder="1" applyAlignment="1">
      <alignment vertical="top" wrapText="1"/>
    </xf>
    <xf numFmtId="0" fontId="23" fillId="0" borderId="64" xfId="0" applyFont="1" applyBorder="1" applyAlignment="1">
      <alignment vertical="top"/>
    </xf>
    <xf numFmtId="0" fontId="23" fillId="0" borderId="64" xfId="0" applyFont="1" applyBorder="1" applyAlignment="1">
      <alignment horizontal="left" vertical="top" wrapText="1"/>
    </xf>
    <xf numFmtId="0" fontId="0" fillId="0" borderId="0" xfId="0" applyAlignment="1">
      <alignment horizontal="left"/>
    </xf>
    <xf numFmtId="0" fontId="51" fillId="0" borderId="0" xfId="0" applyFont="1" applyAlignment="1">
      <alignment vertical="top"/>
    </xf>
    <xf numFmtId="0" fontId="51" fillId="0" borderId="0" xfId="0" applyFont="1" applyAlignment="1">
      <alignment horizontal="center" vertical="top"/>
    </xf>
    <xf numFmtId="0" fontId="34" fillId="11" borderId="58" xfId="0" applyFont="1" applyFill="1" applyBorder="1" applyAlignment="1">
      <alignment horizontal="center" vertical="top" wrapText="1"/>
    </xf>
    <xf numFmtId="0" fontId="29" fillId="6" borderId="101" xfId="0" applyFont="1" applyFill="1" applyBorder="1" applyAlignment="1">
      <alignment horizontal="center" vertical="center"/>
    </xf>
    <xf numFmtId="0" fontId="45" fillId="6" borderId="101" xfId="0" applyFont="1" applyFill="1" applyBorder="1" applyAlignment="1">
      <alignment vertical="center" wrapText="1"/>
    </xf>
    <xf numFmtId="0" fontId="29" fillId="6" borderId="102" xfId="0" applyFont="1" applyFill="1" applyBorder="1" applyAlignment="1">
      <alignment vertical="center" wrapText="1"/>
    </xf>
    <xf numFmtId="0" fontId="29" fillId="6" borderId="60" xfId="0" applyFont="1" applyFill="1" applyBorder="1" applyAlignment="1">
      <alignment horizontal="center" vertical="center"/>
    </xf>
    <xf numFmtId="0" fontId="45" fillId="6" borderId="60" xfId="0" applyFont="1" applyFill="1" applyBorder="1" applyAlignment="1">
      <alignment vertical="center" wrapText="1"/>
    </xf>
    <xf numFmtId="0" fontId="29" fillId="6" borderId="103" xfId="0" applyFont="1" applyFill="1" applyBorder="1" applyAlignment="1">
      <alignment vertical="center" wrapText="1"/>
    </xf>
    <xf numFmtId="0" fontId="29" fillId="6" borderId="60" xfId="0" applyFont="1" applyFill="1" applyBorder="1" applyAlignment="1">
      <alignment vertical="center" wrapText="1"/>
    </xf>
    <xf numFmtId="0" fontId="29" fillId="6" borderId="59" xfId="0" applyFont="1" applyFill="1" applyBorder="1" applyAlignment="1">
      <alignment horizontal="center" vertical="center"/>
    </xf>
    <xf numFmtId="0" fontId="29" fillId="6" borderId="59" xfId="0" applyFont="1" applyFill="1" applyBorder="1" applyAlignment="1">
      <alignment vertical="center" wrapText="1"/>
    </xf>
    <xf numFmtId="0" fontId="29" fillId="6" borderId="108" xfId="0" applyFont="1" applyFill="1" applyBorder="1" applyAlignment="1">
      <alignment vertical="center" wrapText="1"/>
    </xf>
    <xf numFmtId="0" fontId="29" fillId="6" borderId="64" xfId="0" applyFont="1" applyFill="1" applyBorder="1" applyAlignment="1">
      <alignment horizontal="center" vertical="center"/>
    </xf>
    <xf numFmtId="0" fontId="29" fillId="6" borderId="64" xfId="0" applyFont="1" applyFill="1" applyBorder="1" applyAlignment="1">
      <alignment vertical="center" wrapText="1"/>
    </xf>
    <xf numFmtId="0" fontId="29" fillId="6" borderId="111" xfId="0" applyFont="1" applyFill="1" applyBorder="1" applyAlignment="1">
      <alignment vertical="center" wrapText="1"/>
    </xf>
    <xf numFmtId="0" fontId="29" fillId="6" borderId="65" xfId="0" applyFont="1" applyFill="1" applyBorder="1" applyAlignment="1">
      <alignment horizontal="center" vertical="center"/>
    </xf>
    <xf numFmtId="0" fontId="29" fillId="6" borderId="61" xfId="0" applyFont="1" applyFill="1" applyBorder="1" applyAlignment="1">
      <alignment horizontal="center" vertical="center"/>
    </xf>
    <xf numFmtId="0" fontId="29" fillId="6" borderId="67" xfId="0" applyFont="1" applyFill="1" applyBorder="1" applyAlignment="1">
      <alignment horizontal="center" vertical="center"/>
    </xf>
    <xf numFmtId="0" fontId="29" fillId="6" borderId="111" xfId="0" applyFont="1" applyFill="1" applyBorder="1" applyAlignment="1">
      <alignment vertical="center"/>
    </xf>
    <xf numFmtId="0" fontId="29" fillId="6" borderId="105" xfId="0" applyFont="1" applyFill="1" applyBorder="1" applyAlignment="1">
      <alignment vertical="center" wrapText="1"/>
    </xf>
    <xf numFmtId="0" fontId="29" fillId="6" borderId="99" xfId="0" applyFont="1" applyFill="1" applyBorder="1" applyAlignment="1">
      <alignment vertical="center" wrapText="1"/>
    </xf>
    <xf numFmtId="0" fontId="29" fillId="6" borderId="85" xfId="0" applyFont="1" applyFill="1" applyBorder="1" applyAlignment="1">
      <alignment horizontal="center" vertical="center"/>
    </xf>
    <xf numFmtId="0" fontId="29" fillId="6" borderId="101" xfId="0" applyFont="1" applyFill="1" applyBorder="1" applyAlignment="1">
      <alignment vertical="center" wrapText="1"/>
    </xf>
    <xf numFmtId="0" fontId="29" fillId="6" borderId="60" xfId="0" applyFont="1" applyFill="1" applyBorder="1" applyAlignment="1">
      <alignment vertical="top" wrapText="1"/>
    </xf>
    <xf numFmtId="0" fontId="29" fillId="6" borderId="105" xfId="0" applyFont="1" applyFill="1" applyBorder="1" applyAlignment="1">
      <alignment horizontal="center" vertical="center"/>
    </xf>
    <xf numFmtId="0" fontId="29" fillId="6" borderId="86" xfId="0" applyFont="1" applyFill="1" applyBorder="1" applyAlignment="1">
      <alignment horizontal="center" vertical="center"/>
    </xf>
    <xf numFmtId="0" fontId="29" fillId="0" borderId="107" xfId="0" applyFont="1" applyBorder="1" applyAlignment="1">
      <alignment horizontal="center" vertical="center" wrapText="1"/>
    </xf>
    <xf numFmtId="0" fontId="29" fillId="0" borderId="100" xfId="0" applyFont="1" applyBorder="1" applyAlignment="1">
      <alignment horizontal="center" vertical="center" wrapText="1"/>
    </xf>
    <xf numFmtId="0" fontId="29" fillId="0" borderId="110" xfId="0" applyFont="1" applyBorder="1" applyAlignment="1">
      <alignment horizontal="center" vertical="center" wrapText="1"/>
    </xf>
    <xf numFmtId="0" fontId="29" fillId="0" borderId="59" xfId="0" applyFont="1" applyBorder="1" applyAlignment="1">
      <alignment horizontal="left" vertical="top" wrapText="1"/>
    </xf>
    <xf numFmtId="0" fontId="29" fillId="0" borderId="60" xfId="0" applyFont="1" applyBorder="1" applyAlignment="1">
      <alignment horizontal="left" vertical="top" wrapText="1"/>
    </xf>
    <xf numFmtId="0" fontId="29" fillId="0" borderId="64" xfId="0" applyFont="1" applyBorder="1" applyAlignment="1">
      <alignment horizontal="left" vertical="top" wrapText="1"/>
    </xf>
    <xf numFmtId="0" fontId="29" fillId="0" borderId="106" xfId="0" applyFont="1" applyBorder="1" applyAlignment="1">
      <alignment horizontal="center" vertical="center" wrapText="1"/>
    </xf>
    <xf numFmtId="0" fontId="29" fillId="0" borderId="101" xfId="0" applyFont="1" applyBorder="1" applyAlignment="1">
      <alignment horizontal="left" vertical="top" wrapText="1"/>
    </xf>
    <xf numFmtId="0" fontId="29" fillId="0" borderId="104" xfId="0" applyFont="1" applyBorder="1" applyAlignment="1">
      <alignment horizontal="center" vertical="center" wrapText="1"/>
    </xf>
    <xf numFmtId="0" fontId="29" fillId="0" borderId="105" xfId="0" applyFont="1" applyBorder="1" applyAlignment="1">
      <alignment horizontal="left" vertical="top" wrapText="1"/>
    </xf>
    <xf numFmtId="0" fontId="29" fillId="0" borderId="59" xfId="0" applyFont="1" applyBorder="1" applyAlignment="1">
      <alignment horizontal="left" wrapText="1"/>
    </xf>
    <xf numFmtId="0" fontId="29" fillId="0" borderId="105" xfId="0" applyFont="1" applyBorder="1" applyAlignment="1">
      <alignment horizontal="left" wrapText="1"/>
    </xf>
    <xf numFmtId="0" fontId="29" fillId="0" borderId="60" xfId="0" applyFont="1" applyBorder="1" applyAlignment="1">
      <alignment horizontal="center" vertical="center" wrapText="1"/>
    </xf>
    <xf numFmtId="0" fontId="29" fillId="0" borderId="107" xfId="0" applyFont="1" applyBorder="1" applyAlignment="1">
      <alignment horizontal="center" vertical="center"/>
    </xf>
    <xf numFmtId="0" fontId="29" fillId="0" borderId="110" xfId="0" applyFont="1" applyBorder="1" applyAlignment="1">
      <alignment horizontal="center" vertical="center"/>
    </xf>
    <xf numFmtId="0" fontId="29" fillId="0" borderId="100" xfId="0" applyFont="1" applyBorder="1" applyAlignment="1">
      <alignment horizontal="center" vertical="center"/>
    </xf>
    <xf numFmtId="0" fontId="44" fillId="0" borderId="107" xfId="0" applyFont="1" applyBorder="1" applyAlignment="1">
      <alignment horizontal="center" vertical="center"/>
    </xf>
    <xf numFmtId="0" fontId="44" fillId="0" borderId="110" xfId="0" applyFont="1" applyBorder="1" applyAlignment="1">
      <alignment horizontal="center" vertical="center"/>
    </xf>
    <xf numFmtId="0" fontId="44" fillId="0" borderId="59" xfId="0" applyFont="1" applyBorder="1" applyAlignment="1">
      <alignment horizontal="left" vertical="top" wrapText="1"/>
    </xf>
    <xf numFmtId="0" fontId="44" fillId="0" borderId="64" xfId="0" applyFont="1" applyBorder="1" applyAlignment="1">
      <alignment horizontal="left" vertical="top" wrapText="1"/>
    </xf>
    <xf numFmtId="0" fontId="44" fillId="0" borderId="100" xfId="0" applyFont="1" applyBorder="1" applyAlignment="1">
      <alignment horizontal="center" vertical="center"/>
    </xf>
    <xf numFmtId="0" fontId="44" fillId="0" borderId="104" xfId="0" applyFont="1" applyBorder="1" applyAlignment="1">
      <alignment horizontal="center" vertical="center"/>
    </xf>
    <xf numFmtId="0" fontId="44" fillId="0" borderId="60" xfId="0" applyFont="1" applyBorder="1" applyAlignment="1">
      <alignment horizontal="left" vertical="top" wrapText="1"/>
    </xf>
    <xf numFmtId="0" fontId="44" fillId="0" borderId="105" xfId="0" applyFont="1" applyBorder="1" applyAlignment="1">
      <alignment horizontal="left" vertical="top" wrapText="1"/>
    </xf>
    <xf numFmtId="0" fontId="29" fillId="0" borderId="106" xfId="0" applyFont="1" applyBorder="1" applyAlignment="1">
      <alignment horizontal="center" vertical="center"/>
    </xf>
    <xf numFmtId="0" fontId="29" fillId="6" borderId="107" xfId="0" applyFont="1" applyFill="1" applyBorder="1" applyAlignment="1">
      <alignment horizontal="center" vertical="center"/>
    </xf>
    <xf numFmtId="0" fontId="29" fillId="6" borderId="100" xfId="0" applyFont="1" applyFill="1" applyBorder="1" applyAlignment="1">
      <alignment horizontal="center" vertical="center"/>
    </xf>
    <xf numFmtId="0" fontId="29" fillId="6" borderId="110" xfId="0" applyFont="1" applyFill="1" applyBorder="1" applyAlignment="1">
      <alignment horizontal="center" vertical="center"/>
    </xf>
    <xf numFmtId="0" fontId="29" fillId="6" borderId="59" xfId="0" applyFont="1" applyFill="1" applyBorder="1" applyAlignment="1">
      <alignment horizontal="left" vertical="top" wrapText="1"/>
    </xf>
    <xf numFmtId="0" fontId="29" fillId="6" borderId="60" xfId="0" applyFont="1" applyFill="1" applyBorder="1" applyAlignment="1">
      <alignment horizontal="left" vertical="top" wrapText="1"/>
    </xf>
    <xf numFmtId="0" fontId="29" fillId="6" borderId="64" xfId="0" applyFont="1" applyFill="1" applyBorder="1" applyAlignment="1">
      <alignment horizontal="left" vertical="top" wrapText="1"/>
    </xf>
    <xf numFmtId="0" fontId="29" fillId="6" borderId="104" xfId="0" applyFont="1" applyFill="1" applyBorder="1" applyAlignment="1">
      <alignment horizontal="center" vertical="center"/>
    </xf>
    <xf numFmtId="0" fontId="29" fillId="6" borderId="105" xfId="0" applyFont="1" applyFill="1" applyBorder="1" applyAlignment="1">
      <alignment horizontal="left" vertical="top" wrapText="1"/>
    </xf>
    <xf numFmtId="0" fontId="29" fillId="6" borderId="60" xfId="0" applyFont="1" applyFill="1" applyBorder="1" applyAlignment="1">
      <alignment horizontal="left" wrapText="1"/>
    </xf>
    <xf numFmtId="0" fontId="29" fillId="6" borderId="105" xfId="0" applyFont="1" applyFill="1" applyBorder="1" applyAlignment="1">
      <alignment horizontal="left" wrapText="1"/>
    </xf>
    <xf numFmtId="0" fontId="29" fillId="6" borderId="106" xfId="0" applyFont="1" applyFill="1" applyBorder="1" applyAlignment="1">
      <alignment horizontal="center" vertical="center"/>
    </xf>
    <xf numFmtId="0" fontId="29" fillId="6" borderId="101" xfId="0" applyFont="1" applyFill="1" applyBorder="1" applyAlignment="1">
      <alignment horizontal="left" wrapText="1"/>
    </xf>
    <xf numFmtId="0" fontId="29" fillId="6" borderId="59" xfId="0" applyFont="1" applyFill="1" applyBorder="1" applyAlignment="1">
      <alignment horizontal="center" vertical="center"/>
    </xf>
    <xf numFmtId="0" fontId="29" fillId="6" borderId="60" xfId="0" applyFont="1" applyFill="1" applyBorder="1" applyAlignment="1">
      <alignment horizontal="center" vertical="center"/>
    </xf>
    <xf numFmtId="0" fontId="29" fillId="6" borderId="64" xfId="0" applyFont="1" applyFill="1" applyBorder="1" applyAlignment="1">
      <alignment horizontal="center" vertical="center"/>
    </xf>
    <xf numFmtId="0" fontId="29" fillId="6" borderId="59" xfId="0" applyFont="1" applyFill="1" applyBorder="1" applyAlignment="1">
      <alignment horizontal="left" wrapText="1"/>
    </xf>
    <xf numFmtId="0" fontId="29" fillId="6" borderId="64" xfId="0" applyFont="1" applyFill="1" applyBorder="1" applyAlignment="1">
      <alignment horizontal="left" wrapText="1"/>
    </xf>
    <xf numFmtId="0" fontId="34" fillId="4" borderId="7" xfId="0" applyFont="1" applyFill="1" applyBorder="1" applyAlignment="1">
      <alignment horizontal="center" vertical="center" wrapText="1"/>
    </xf>
    <xf numFmtId="0" fontId="34" fillId="4" borderId="8" xfId="0" applyFont="1" applyFill="1" applyBorder="1" applyAlignment="1">
      <alignment horizontal="center" vertical="center" wrapText="1"/>
    </xf>
    <xf numFmtId="0" fontId="29" fillId="6" borderId="101" xfId="0" applyFont="1" applyFill="1" applyBorder="1" applyAlignment="1">
      <alignment horizontal="left" vertical="top" wrapText="1"/>
    </xf>
    <xf numFmtId="0" fontId="29" fillId="6" borderId="101" xfId="0" applyFont="1" applyFill="1" applyBorder="1" applyAlignment="1">
      <alignment horizontal="center" vertical="center"/>
    </xf>
    <xf numFmtId="0" fontId="29" fillId="0" borderId="59" xfId="0" applyFont="1" applyBorder="1" applyAlignment="1">
      <alignment horizontal="center" vertical="center" wrapText="1"/>
    </xf>
    <xf numFmtId="0" fontId="29" fillId="0" borderId="64" xfId="0" applyFont="1" applyBorder="1" applyAlignment="1">
      <alignment horizontal="center" vertical="center" wrapText="1"/>
    </xf>
    <xf numFmtId="0" fontId="29" fillId="0" borderId="59" xfId="0" applyFont="1" applyBorder="1" applyAlignment="1">
      <alignment horizontal="center" vertical="center"/>
    </xf>
    <xf numFmtId="0" fontId="29" fillId="0" borderId="64" xfId="0" applyFont="1" applyBorder="1" applyAlignment="1">
      <alignment horizontal="center" vertical="center"/>
    </xf>
    <xf numFmtId="0" fontId="29" fillId="0" borderId="59" xfId="0" applyFont="1" applyBorder="1" applyAlignment="1">
      <alignment horizontal="left" vertical="center" wrapText="1"/>
    </xf>
    <xf numFmtId="0" fontId="29" fillId="0" borderId="64" xfId="0" applyFont="1" applyBorder="1" applyAlignment="1">
      <alignment horizontal="left" vertical="center" wrapText="1"/>
    </xf>
    <xf numFmtId="0" fontId="29" fillId="0" borderId="60" xfId="0" applyFont="1" applyBorder="1" applyAlignment="1">
      <alignment horizontal="center" vertical="center"/>
    </xf>
    <xf numFmtId="0" fontId="29" fillId="0" borderId="60" xfId="0" applyFont="1" applyBorder="1" applyAlignment="1">
      <alignment horizontal="left" vertical="center" wrapText="1"/>
    </xf>
    <xf numFmtId="0" fontId="29" fillId="0" borderId="107" xfId="0" applyFont="1" applyBorder="1" applyAlignment="1">
      <alignment horizontal="center" vertical="top" wrapText="1"/>
    </xf>
    <xf numFmtId="0" fontId="29" fillId="0" borderId="100" xfId="0" applyFont="1" applyBorder="1" applyAlignment="1">
      <alignment horizontal="center" vertical="top" wrapText="1"/>
    </xf>
    <xf numFmtId="0" fontId="29" fillId="0" borderId="110" xfId="0" applyFont="1" applyBorder="1" applyAlignment="1">
      <alignment horizontal="center" vertical="top" wrapText="1"/>
    </xf>
    <xf numFmtId="0" fontId="0" fillId="0" borderId="0" xfId="0" applyAlignment="1">
      <alignment horizontal="right" vertical="center"/>
    </xf>
    <xf numFmtId="43" fontId="33" fillId="0" borderId="59" xfId="2" applyFont="1" applyBorder="1" applyAlignment="1">
      <alignment horizontal="center" vertical="top" wrapText="1"/>
    </xf>
    <xf numFmtId="43" fontId="33" fillId="0" borderId="64" xfId="2" applyFont="1" applyBorder="1" applyAlignment="1">
      <alignment horizontal="center" vertical="top" wrapText="1"/>
    </xf>
    <xf numFmtId="0" fontId="33" fillId="0" borderId="59" xfId="0" applyFont="1" applyBorder="1" applyAlignment="1">
      <alignment horizontal="center" vertical="top" wrapText="1"/>
    </xf>
    <xf numFmtId="0" fontId="33" fillId="0" borderId="64" xfId="0" applyFont="1" applyBorder="1" applyAlignment="1">
      <alignment horizontal="center" vertical="top" wrapText="1"/>
    </xf>
    <xf numFmtId="0" fontId="34" fillId="2" borderId="59" xfId="0" applyFont="1" applyFill="1" applyBorder="1" applyAlignment="1">
      <alignment horizontal="left" vertical="top" wrapText="1"/>
    </xf>
    <xf numFmtId="0" fontId="34" fillId="2" borderId="64" xfId="0" applyFont="1" applyFill="1" applyBorder="1" applyAlignment="1">
      <alignment horizontal="left" vertical="top" wrapText="1"/>
    </xf>
    <xf numFmtId="0" fontId="34" fillId="3" borderId="58" xfId="0" applyFont="1" applyFill="1" applyBorder="1" applyAlignment="1">
      <alignment horizontal="center" vertical="top"/>
    </xf>
    <xf numFmtId="0" fontId="33" fillId="0" borderId="58" xfId="0" applyFont="1" applyBorder="1" applyAlignment="1">
      <alignment horizontal="left" vertical="center" wrapText="1"/>
    </xf>
    <xf numFmtId="0" fontId="33" fillId="0" borderId="58" xfId="0" applyFont="1" applyBorder="1" applyAlignment="1">
      <alignment horizontal="left" vertical="center"/>
    </xf>
    <xf numFmtId="0" fontId="33" fillId="0" borderId="59" xfId="0" applyFont="1" applyBorder="1" applyAlignment="1">
      <alignment horizontal="left" vertical="top" wrapText="1"/>
    </xf>
    <xf numFmtId="0" fontId="33" fillId="0" borderId="64" xfId="0" applyFont="1" applyBorder="1" applyAlignment="1">
      <alignment horizontal="left" vertical="top" wrapText="1"/>
    </xf>
    <xf numFmtId="0" fontId="33" fillId="0" borderId="60" xfId="0" applyFont="1" applyBorder="1" applyAlignment="1">
      <alignment horizontal="center" vertical="top" wrapText="1"/>
    </xf>
    <xf numFmtId="0" fontId="1" fillId="0" borderId="40" xfId="0" applyFont="1" applyBorder="1" applyAlignment="1">
      <alignment horizontal="center" vertical="center"/>
    </xf>
    <xf numFmtId="0" fontId="1" fillId="0" borderId="34" xfId="0" applyFont="1" applyBorder="1" applyAlignment="1">
      <alignment horizontal="center" vertical="center"/>
    </xf>
    <xf numFmtId="0" fontId="1" fillId="0" borderId="40"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5" xfId="0" applyFont="1" applyBorder="1" applyAlignment="1">
      <alignment horizontal="left" vertical="center" wrapText="1"/>
    </xf>
    <xf numFmtId="0" fontId="1" fillId="0" borderId="22" xfId="0" applyFont="1" applyBorder="1" applyAlignment="1">
      <alignment horizontal="left" vertical="top" wrapText="1"/>
    </xf>
    <xf numFmtId="0" fontId="1" fillId="0" borderId="21" xfId="0" applyFont="1" applyBorder="1" applyAlignment="1">
      <alignment horizontal="left" vertical="top" wrapText="1"/>
    </xf>
    <xf numFmtId="0" fontId="1" fillId="0" borderId="44" xfId="0" applyFont="1" applyBorder="1" applyAlignment="1">
      <alignment horizontal="left" vertical="center" wrapText="1"/>
    </xf>
    <xf numFmtId="0" fontId="1" fillId="0" borderId="45" xfId="0" applyFont="1" applyBorder="1" applyAlignment="1">
      <alignment horizontal="left" vertical="center" wrapText="1"/>
    </xf>
    <xf numFmtId="0" fontId="1" fillId="0" borderId="69" xfId="0" applyFont="1" applyBorder="1" applyAlignment="1">
      <alignment horizontal="left" vertical="center" wrapText="1"/>
    </xf>
    <xf numFmtId="0" fontId="1" fillId="0" borderId="35" xfId="0" applyFont="1" applyBorder="1" applyAlignment="1">
      <alignment horizontal="left" vertical="center"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1" fillId="0" borderId="4" xfId="0" applyFont="1" applyBorder="1" applyAlignment="1">
      <alignment horizontal="left" vertical="center" wrapText="1"/>
    </xf>
    <xf numFmtId="0" fontId="34" fillId="3" borderId="58" xfId="0" applyFont="1" applyFill="1" applyBorder="1" applyAlignment="1">
      <alignment horizontal="center" vertical="center"/>
    </xf>
    <xf numFmtId="0" fontId="43" fillId="0" borderId="59" xfId="1" applyFont="1" applyBorder="1" applyAlignment="1" applyProtection="1">
      <alignment horizontal="center" vertical="center"/>
    </xf>
    <xf numFmtId="0" fontId="43" fillId="0" borderId="64" xfId="1" applyFont="1" applyBorder="1" applyAlignment="1" applyProtection="1">
      <alignment horizontal="center" vertical="center"/>
    </xf>
    <xf numFmtId="0" fontId="29" fillId="0" borderId="58" xfId="0" applyFont="1" applyBorder="1" applyAlignment="1">
      <alignment horizontal="left" vertical="top" wrapText="1"/>
    </xf>
    <xf numFmtId="0" fontId="29" fillId="0" borderId="58" xfId="0" applyFont="1" applyBorder="1" applyAlignment="1">
      <alignment horizontal="left" vertical="top"/>
    </xf>
    <xf numFmtId="0" fontId="29" fillId="0" borderId="59" xfId="0" applyFont="1" applyBorder="1" applyAlignment="1">
      <alignment horizontal="left" vertical="top"/>
    </xf>
    <xf numFmtId="0" fontId="29" fillId="0" borderId="64" xfId="0" applyFont="1" applyBorder="1" applyAlignment="1">
      <alignment horizontal="left" vertical="top"/>
    </xf>
    <xf numFmtId="0" fontId="29" fillId="0" borderId="65" xfId="0" applyFont="1" applyBorder="1" applyAlignment="1">
      <alignment horizontal="left" vertical="top" wrapText="1"/>
    </xf>
    <xf numFmtId="0" fontId="29" fillId="0" borderId="72" xfId="0" applyFont="1" applyBorder="1" applyAlignment="1">
      <alignment horizontal="left" vertical="top" wrapText="1"/>
    </xf>
    <xf numFmtId="0" fontId="29" fillId="0" borderId="66" xfId="0" applyFont="1" applyBorder="1" applyAlignment="1">
      <alignment horizontal="left" vertical="top" wrapText="1"/>
    </xf>
    <xf numFmtId="0" fontId="29" fillId="0" borderId="67" xfId="0" applyFont="1" applyBorder="1" applyAlignment="1">
      <alignment horizontal="left" vertical="top" wrapText="1"/>
    </xf>
    <xf numFmtId="0" fontId="29" fillId="0" borderId="50" xfId="0" applyFont="1" applyBorder="1" applyAlignment="1">
      <alignment horizontal="left" vertical="top" wrapText="1"/>
    </xf>
    <xf numFmtId="0" fontId="29" fillId="0" borderId="68" xfId="0" applyFont="1" applyBorder="1" applyAlignment="1">
      <alignment horizontal="left" vertical="top" wrapText="1"/>
    </xf>
    <xf numFmtId="0" fontId="29" fillId="0" borderId="57" xfId="0" applyFont="1" applyBorder="1" applyAlignment="1">
      <alignment horizontal="left" vertical="top" wrapText="1"/>
    </xf>
    <xf numFmtId="0" fontId="29" fillId="0" borderId="53" xfId="0" applyFont="1" applyBorder="1" applyAlignment="1">
      <alignment horizontal="left" vertical="top" wrapText="1"/>
    </xf>
    <xf numFmtId="0" fontId="29" fillId="0" borderId="63" xfId="0" applyFont="1" applyBorder="1" applyAlignment="1">
      <alignment horizontal="left" vertical="top" wrapText="1"/>
    </xf>
    <xf numFmtId="0" fontId="34" fillId="9" borderId="58" xfId="0" applyFont="1" applyFill="1" applyBorder="1" applyAlignment="1">
      <alignment horizontal="center" vertical="top" wrapText="1"/>
    </xf>
    <xf numFmtId="0" fontId="50" fillId="0" borderId="59" xfId="0" applyFont="1" applyBorder="1" applyAlignment="1">
      <alignment horizontal="center" vertical="top" wrapText="1"/>
    </xf>
    <xf numFmtId="0" fontId="50" fillId="0" borderId="58" xfId="0" applyFont="1" applyBorder="1" applyAlignment="1">
      <alignment horizontal="center" vertical="top" wrapText="1"/>
    </xf>
    <xf numFmtId="0" fontId="34" fillId="11" borderId="58" xfId="0" applyFont="1" applyFill="1" applyBorder="1" applyAlignment="1">
      <alignment horizontal="center" vertical="top"/>
    </xf>
    <xf numFmtId="0" fontId="33" fillId="0" borderId="57" xfId="0" applyFont="1" applyBorder="1" applyAlignment="1">
      <alignment horizontal="left" vertical="top" wrapText="1"/>
    </xf>
    <xf numFmtId="0" fontId="33" fillId="0" borderId="53" xfId="0" applyFont="1" applyBorder="1" applyAlignment="1">
      <alignment horizontal="left" vertical="top" wrapText="1"/>
    </xf>
    <xf numFmtId="0" fontId="33" fillId="0" borderId="63" xfId="0" applyFont="1" applyBorder="1" applyAlignment="1">
      <alignment horizontal="left" vertical="top" wrapText="1"/>
    </xf>
    <xf numFmtId="0" fontId="34" fillId="9" borderId="80" xfId="0" applyFont="1" applyFill="1" applyBorder="1" applyAlignment="1">
      <alignment horizontal="center" vertical="top"/>
    </xf>
    <xf numFmtId="0" fontId="34" fillId="9" borderId="81" xfId="0" applyFont="1" applyFill="1" applyBorder="1" applyAlignment="1">
      <alignment horizontal="center" vertical="top"/>
    </xf>
    <xf numFmtId="0" fontId="34" fillId="9" borderId="82" xfId="0" applyFont="1" applyFill="1" applyBorder="1" applyAlignment="1">
      <alignment horizontal="center" vertical="top"/>
    </xf>
    <xf numFmtId="0" fontId="33" fillId="0" borderId="81" xfId="0" applyFont="1" applyBorder="1" applyAlignment="1">
      <alignment horizontal="left" vertical="top" wrapText="1"/>
    </xf>
    <xf numFmtId="0" fontId="33" fillId="0" borderId="82" xfId="0" applyFont="1" applyBorder="1" applyAlignment="1">
      <alignment horizontal="left" vertical="top" wrapText="1"/>
    </xf>
    <xf numFmtId="0" fontId="33" fillId="0" borderId="88" xfId="0" applyFont="1" applyBorder="1" applyAlignment="1">
      <alignment horizontal="left" vertical="top" wrapText="1"/>
    </xf>
    <xf numFmtId="0" fontId="33" fillId="0" borderId="58" xfId="0" applyFont="1" applyBorder="1" applyAlignment="1">
      <alignment horizontal="left" vertical="top" wrapText="1"/>
    </xf>
    <xf numFmtId="0" fontId="33" fillId="0" borderId="7" xfId="0" applyFont="1" applyBorder="1" applyAlignment="1">
      <alignment horizontal="center" vertical="top"/>
    </xf>
    <xf numFmtId="0" fontId="33" fillId="0" borderId="8" xfId="0" applyFont="1" applyBorder="1" applyAlignment="1">
      <alignment horizontal="center" vertical="top"/>
    </xf>
    <xf numFmtId="0" fontId="33" fillId="0" borderId="43" xfId="0" applyFont="1" applyBorder="1" applyAlignment="1">
      <alignment horizontal="left" vertical="top" wrapText="1"/>
    </xf>
    <xf numFmtId="0" fontId="33" fillId="0" borderId="8" xfId="0" applyFont="1" applyBorder="1" applyAlignment="1">
      <alignment horizontal="left" vertical="top" wrapText="1"/>
    </xf>
    <xf numFmtId="0" fontId="33" fillId="0" borderId="57" xfId="0" applyFont="1" applyBorder="1" applyAlignment="1">
      <alignment vertical="top" wrapText="1"/>
    </xf>
    <xf numFmtId="0" fontId="33" fillId="0" borderId="53" xfId="0" applyFont="1" applyBorder="1" applyAlignment="1">
      <alignment vertical="top" wrapText="1"/>
    </xf>
    <xf numFmtId="0" fontId="33" fillId="0" borderId="91" xfId="0" applyFont="1" applyBorder="1" applyAlignment="1">
      <alignment vertical="top" wrapText="1"/>
    </xf>
    <xf numFmtId="0" fontId="33" fillId="0" borderId="93" xfId="0" applyFont="1" applyBorder="1" applyAlignment="1">
      <alignment vertical="top" wrapText="1"/>
    </xf>
    <xf numFmtId="0" fontId="33" fillId="0" borderId="94" xfId="0" applyFont="1" applyBorder="1" applyAlignment="1">
      <alignment vertical="top" wrapText="1"/>
    </xf>
    <xf numFmtId="0" fontId="33" fillId="0" borderId="95" xfId="0" applyFont="1" applyBorder="1" applyAlignment="1">
      <alignment vertical="top" wrapText="1"/>
    </xf>
    <xf numFmtId="0" fontId="34" fillId="9" borderId="7" xfId="0" applyFont="1" applyFill="1" applyBorder="1" applyAlignment="1">
      <alignment horizontal="center" vertical="top"/>
    </xf>
    <xf numFmtId="0" fontId="34" fillId="9" borderId="43" xfId="0" applyFont="1" applyFill="1" applyBorder="1" applyAlignment="1">
      <alignment horizontal="center" vertical="top"/>
    </xf>
    <xf numFmtId="0" fontId="34" fillId="9" borderId="8" xfId="0" applyFont="1" applyFill="1" applyBorder="1" applyAlignment="1">
      <alignment horizontal="center" vertical="top"/>
    </xf>
    <xf numFmtId="0" fontId="34" fillId="10" borderId="81" xfId="0" applyFont="1" applyFill="1" applyBorder="1" applyAlignment="1">
      <alignment horizontal="left" vertical="top"/>
    </xf>
    <xf numFmtId="0" fontId="34" fillId="10" borderId="81" xfId="0" applyFont="1" applyFill="1" applyBorder="1" applyAlignment="1">
      <alignment horizontal="left" vertical="top" wrapText="1"/>
    </xf>
    <xf numFmtId="0" fontId="34" fillId="10" borderId="82" xfId="0" applyFont="1" applyFill="1" applyBorder="1" applyAlignment="1">
      <alignment horizontal="left" vertical="top" wrapText="1"/>
    </xf>
    <xf numFmtId="0" fontId="33" fillId="0" borderId="84" xfId="0" applyFont="1" applyBorder="1" applyAlignment="1">
      <alignment horizontal="left" vertical="top" wrapText="1"/>
    </xf>
    <xf numFmtId="0" fontId="33" fillId="0" borderId="97" xfId="0" applyFont="1" applyBorder="1" applyAlignment="1">
      <alignment horizontal="left" vertical="top" wrapText="1"/>
    </xf>
    <xf numFmtId="0" fontId="33" fillId="0" borderId="98" xfId="0" applyFont="1" applyBorder="1" applyAlignment="1">
      <alignment horizontal="left" vertical="top" wrapText="1"/>
    </xf>
    <xf numFmtId="0" fontId="34" fillId="10" borderId="81" xfId="0" applyFont="1" applyFill="1" applyBorder="1" applyAlignment="1">
      <alignment horizontal="right" vertical="center"/>
    </xf>
    <xf numFmtId="0" fontId="34" fillId="9" borderId="56" xfId="0" applyFont="1" applyFill="1" applyBorder="1" applyAlignment="1">
      <alignment horizontal="center" vertical="top"/>
    </xf>
    <xf numFmtId="0" fontId="33" fillId="0" borderId="81" xfId="0" applyFont="1" applyBorder="1" applyAlignment="1">
      <alignment horizontal="left" vertical="top"/>
    </xf>
    <xf numFmtId="0" fontId="33" fillId="0" borderId="82" xfId="0" applyFont="1" applyBorder="1" applyAlignment="1">
      <alignment horizontal="left" vertical="top"/>
    </xf>
    <xf numFmtId="0" fontId="34" fillId="2" borderId="7" xfId="0" applyFont="1" applyFill="1" applyBorder="1" applyAlignment="1">
      <alignment horizontal="left" vertical="top"/>
    </xf>
    <xf numFmtId="0" fontId="34" fillId="2" borderId="43" xfId="0" applyFont="1" applyFill="1" applyBorder="1" applyAlignment="1">
      <alignment horizontal="left" vertical="top"/>
    </xf>
    <xf numFmtId="0" fontId="34" fillId="2" borderId="8" xfId="0" applyFont="1" applyFill="1" applyBorder="1" applyAlignment="1">
      <alignment horizontal="left" vertical="top"/>
    </xf>
    <xf numFmtId="0" fontId="34" fillId="2" borderId="73" xfId="0" applyFont="1" applyFill="1" applyBorder="1" applyAlignment="1">
      <alignment horizontal="left" vertical="top"/>
    </xf>
    <xf numFmtId="0" fontId="34" fillId="2" borderId="74" xfId="0" applyFont="1" applyFill="1" applyBorder="1" applyAlignment="1">
      <alignment horizontal="left" vertical="top"/>
    </xf>
    <xf numFmtId="0" fontId="34" fillId="2" borderId="80" xfId="0" applyFont="1" applyFill="1" applyBorder="1" applyAlignment="1">
      <alignment horizontal="left" vertical="top"/>
    </xf>
    <xf numFmtId="0" fontId="34" fillId="2" borderId="81" xfId="0" applyFont="1" applyFill="1" applyBorder="1" applyAlignment="1">
      <alignment horizontal="left" vertical="top"/>
    </xf>
    <xf numFmtId="0" fontId="34" fillId="2" borderId="82" xfId="0" applyFont="1" applyFill="1" applyBorder="1" applyAlignment="1">
      <alignment horizontal="left" vertical="top"/>
    </xf>
    <xf numFmtId="0" fontId="33" fillId="0" borderId="96" xfId="0" applyFont="1" applyBorder="1" applyAlignment="1">
      <alignment horizontal="left" vertical="top" wrapText="1"/>
    </xf>
    <xf numFmtId="0" fontId="46" fillId="0" borderId="57" xfId="0" applyFont="1" applyBorder="1" applyAlignment="1">
      <alignment horizontal="left" vertical="top" wrapText="1"/>
    </xf>
    <xf numFmtId="0" fontId="46" fillId="0" borderId="52" xfId="0" applyFont="1" applyBorder="1" applyAlignment="1">
      <alignment horizontal="left" vertical="top" wrapText="1"/>
    </xf>
    <xf numFmtId="0" fontId="46" fillId="0" borderId="65" xfId="0" applyFont="1" applyBorder="1" applyAlignment="1">
      <alignment horizontal="left" vertical="top" wrapText="1"/>
    </xf>
    <xf numFmtId="0" fontId="46" fillId="0" borderId="121" xfId="0" applyFont="1" applyBorder="1" applyAlignment="1">
      <alignment horizontal="left" vertical="top" wrapText="1"/>
    </xf>
    <xf numFmtId="0" fontId="34" fillId="9" borderId="73" xfId="0" applyFont="1" applyFill="1" applyBorder="1" applyAlignment="1">
      <alignment horizontal="center" vertical="top"/>
    </xf>
    <xf numFmtId="0" fontId="34" fillId="9" borderId="74" xfId="0" applyFont="1" applyFill="1" applyBorder="1" applyAlignment="1">
      <alignment horizontal="center" vertical="top"/>
    </xf>
    <xf numFmtId="0" fontId="34" fillId="9" borderId="75" xfId="0" applyFont="1" applyFill="1" applyBorder="1" applyAlignment="1">
      <alignment horizontal="center" vertical="top"/>
    </xf>
    <xf numFmtId="0" fontId="33" fillId="0" borderId="89" xfId="0" applyFont="1" applyBorder="1" applyAlignment="1">
      <alignment horizontal="left" vertical="top" wrapText="1"/>
    </xf>
    <xf numFmtId="0" fontId="33" fillId="0" borderId="58" xfId="0" applyFont="1" applyBorder="1" applyAlignment="1">
      <alignment vertical="top" wrapText="1"/>
    </xf>
    <xf numFmtId="0" fontId="33" fillId="0" borderId="96" xfId="0" applyFont="1" applyBorder="1" applyAlignment="1">
      <alignment vertical="top" wrapText="1"/>
    </xf>
    <xf numFmtId="0" fontId="33" fillId="0" borderId="101" xfId="0" applyFont="1" applyBorder="1" applyAlignment="1">
      <alignment horizontal="left" vertical="top" wrapText="1"/>
    </xf>
    <xf numFmtId="0" fontId="33" fillId="0" borderId="102" xfId="0" applyFont="1" applyBorder="1" applyAlignment="1">
      <alignment horizontal="left" vertical="top" wrapText="1"/>
    </xf>
    <xf numFmtId="0" fontId="33" fillId="0" borderId="84" xfId="0" applyFont="1" applyBorder="1" applyAlignment="1">
      <alignment horizontal="left" vertical="top"/>
    </xf>
    <xf numFmtId="0" fontId="33" fillId="0" borderId="43" xfId="0" applyFont="1" applyBorder="1" applyAlignment="1">
      <alignment horizontal="left" vertical="top"/>
    </xf>
    <xf numFmtId="0" fontId="33" fillId="0" borderId="8" xfId="0" applyFont="1" applyBorder="1" applyAlignment="1">
      <alignment horizontal="left" vertical="top"/>
    </xf>
    <xf numFmtId="0" fontId="33" fillId="0" borderId="7" xfId="0" applyFont="1" applyBorder="1" applyAlignment="1">
      <alignment horizontal="center" vertical="top" wrapText="1"/>
    </xf>
    <xf numFmtId="0" fontId="33" fillId="0" borderId="8" xfId="0" applyFont="1" applyBorder="1" applyAlignment="1">
      <alignment horizontal="center" vertical="top" wrapText="1"/>
    </xf>
    <xf numFmtId="0" fontId="33" fillId="0" borderId="112" xfId="0" applyFont="1" applyBorder="1" applyAlignment="1">
      <alignment horizontal="left" vertical="top" wrapText="1"/>
    </xf>
    <xf numFmtId="0" fontId="33" fillId="0" borderId="113" xfId="0" applyFont="1" applyBorder="1" applyAlignment="1">
      <alignment horizontal="left" vertical="top" wrapText="1"/>
    </xf>
    <xf numFmtId="0" fontId="33" fillId="0" borderId="114" xfId="0" applyFont="1" applyBorder="1" applyAlignment="1">
      <alignment horizontal="left" vertical="top" wrapText="1"/>
    </xf>
    <xf numFmtId="0" fontId="34" fillId="10" borderId="81" xfId="0" applyFont="1" applyFill="1" applyBorder="1" applyAlignment="1">
      <alignment horizontal="right" vertical="top"/>
    </xf>
    <xf numFmtId="0" fontId="34" fillId="10" borderId="101" xfId="0" applyFont="1" applyFill="1" applyBorder="1" applyAlignment="1">
      <alignment horizontal="left" vertical="top"/>
    </xf>
    <xf numFmtId="0" fontId="34" fillId="10" borderId="101" xfId="0" applyFont="1" applyFill="1" applyBorder="1" applyAlignment="1">
      <alignment horizontal="left" vertical="top" wrapText="1"/>
    </xf>
    <xf numFmtId="0" fontId="34" fillId="10" borderId="102" xfId="0" applyFont="1" applyFill="1" applyBorder="1" applyAlignment="1">
      <alignment horizontal="left" vertical="top" wrapText="1"/>
    </xf>
    <xf numFmtId="0" fontId="33" fillId="0" borderId="77" xfId="0" applyFont="1" applyBorder="1" applyAlignment="1">
      <alignment horizontal="center" vertical="top"/>
    </xf>
    <xf numFmtId="0" fontId="33" fillId="0" borderId="79" xfId="0" applyFont="1" applyBorder="1" applyAlignment="1">
      <alignment horizontal="center" vertical="top"/>
    </xf>
    <xf numFmtId="0" fontId="34" fillId="9" borderId="77" xfId="0" applyFont="1" applyFill="1" applyBorder="1" applyAlignment="1">
      <alignment horizontal="center" vertical="top"/>
    </xf>
    <xf numFmtId="0" fontId="34" fillId="9" borderId="78" xfId="0" applyFont="1" applyFill="1" applyBorder="1" applyAlignment="1">
      <alignment horizontal="center" vertical="top"/>
    </xf>
    <xf numFmtId="0" fontId="34" fillId="9" borderId="79" xfId="0" applyFont="1" applyFill="1" applyBorder="1" applyAlignment="1">
      <alignment horizontal="center" vertical="top"/>
    </xf>
    <xf numFmtId="0" fontId="33" fillId="0" borderId="108" xfId="0" applyFont="1" applyBorder="1" applyAlignment="1">
      <alignment horizontal="left" vertical="top" wrapText="1"/>
    </xf>
    <xf numFmtId="0" fontId="46" fillId="0" borderId="93" xfId="0" applyFont="1" applyBorder="1" applyAlignment="1">
      <alignment horizontal="left" vertical="top" wrapText="1"/>
    </xf>
    <xf numFmtId="0" fontId="46" fillId="0" borderId="123" xfId="0" applyFont="1" applyBorder="1" applyAlignment="1">
      <alignment horizontal="left" vertical="top" wrapText="1"/>
    </xf>
    <xf numFmtId="0" fontId="33" fillId="0" borderId="65" xfId="0" applyFont="1" applyBorder="1" applyAlignment="1">
      <alignment vertical="top" wrapText="1"/>
    </xf>
    <xf numFmtId="0" fontId="33" fillId="0" borderId="72" xfId="0" applyFont="1" applyBorder="1" applyAlignment="1">
      <alignment vertical="top" wrapText="1"/>
    </xf>
    <xf numFmtId="0" fontId="33" fillId="0" borderId="109" xfId="0" applyFont="1" applyBorder="1" applyAlignment="1">
      <alignment vertical="top" wrapText="1"/>
    </xf>
    <xf numFmtId="0" fontId="46" fillId="0" borderId="112" xfId="0" applyFont="1" applyBorder="1" applyAlignment="1">
      <alignment horizontal="left" vertical="top" wrapText="1"/>
    </xf>
    <xf numFmtId="0" fontId="46" fillId="0" borderId="122" xfId="0" applyFont="1" applyBorder="1" applyAlignment="1">
      <alignment horizontal="left" vertical="top" wrapText="1"/>
    </xf>
    <xf numFmtId="0" fontId="33" fillId="0" borderId="93" xfId="0" applyFont="1" applyBorder="1" applyAlignment="1">
      <alignment horizontal="left" vertical="top" wrapText="1"/>
    </xf>
    <xf numFmtId="0" fontId="33" fillId="0" borderId="94" xfId="0" applyFont="1" applyBorder="1" applyAlignment="1">
      <alignment horizontal="left" vertical="top" wrapText="1"/>
    </xf>
    <xf numFmtId="0" fontId="33" fillId="0" borderId="95" xfId="0" applyFont="1" applyBorder="1" applyAlignment="1">
      <alignment horizontal="left" vertical="top" wrapText="1"/>
    </xf>
    <xf numFmtId="0" fontId="33" fillId="0" borderId="91" xfId="0" applyFont="1" applyBorder="1" applyAlignment="1">
      <alignment horizontal="left" vertical="top" wrapText="1"/>
    </xf>
    <xf numFmtId="0" fontId="33" fillId="0" borderId="78" xfId="0" applyFont="1" applyBorder="1" applyAlignment="1">
      <alignment horizontal="left" vertical="top" wrapText="1"/>
    </xf>
    <xf numFmtId="0" fontId="33" fillId="0" borderId="79" xfId="0" applyFont="1" applyBorder="1" applyAlignment="1">
      <alignment horizontal="left" vertical="top" wrapText="1"/>
    </xf>
    <xf numFmtId="0" fontId="33" fillId="0" borderId="65" xfId="0" applyFont="1" applyBorder="1" applyAlignment="1">
      <alignment horizontal="left" vertical="top" wrapText="1"/>
    </xf>
    <xf numFmtId="0" fontId="33" fillId="0" borderId="72" xfId="0" applyFont="1" applyBorder="1" applyAlignment="1">
      <alignment horizontal="left" vertical="top" wrapText="1"/>
    </xf>
    <xf numFmtId="0" fontId="33" fillId="0" borderId="109" xfId="0" applyFont="1" applyBorder="1" applyAlignment="1">
      <alignment horizontal="left" vertical="top" wrapText="1"/>
    </xf>
    <xf numFmtId="0" fontId="46" fillId="0" borderId="84" xfId="0" applyFont="1" applyBorder="1" applyAlignment="1">
      <alignment horizontal="left" vertical="top" wrapText="1"/>
    </xf>
    <xf numFmtId="0" fontId="46" fillId="0" borderId="43" xfId="0" applyFont="1" applyBorder="1" applyAlignment="1">
      <alignment horizontal="left" vertical="top" wrapText="1"/>
    </xf>
    <xf numFmtId="0" fontId="46" fillId="0" borderId="120" xfId="0" applyFont="1" applyBorder="1" applyAlignment="1">
      <alignment horizontal="left" vertical="top" wrapText="1"/>
    </xf>
    <xf numFmtId="0" fontId="34" fillId="9" borderId="71" xfId="0" applyFont="1" applyFill="1" applyBorder="1" applyAlignment="1">
      <alignment horizontal="center" vertical="top"/>
    </xf>
    <xf numFmtId="0" fontId="34" fillId="9" borderId="0" xfId="0" applyFont="1" applyFill="1" applyAlignment="1">
      <alignment horizontal="center" vertical="top"/>
    </xf>
    <xf numFmtId="0" fontId="34" fillId="9" borderId="76" xfId="0" applyFont="1" applyFill="1" applyBorder="1" applyAlignment="1">
      <alignment horizontal="center" vertical="top"/>
    </xf>
    <xf numFmtId="0" fontId="33" fillId="0" borderId="124" xfId="0" applyFont="1" applyBorder="1" applyAlignment="1">
      <alignment horizontal="left" vertical="top" wrapText="1"/>
    </xf>
    <xf numFmtId="0" fontId="33" fillId="0" borderId="60" xfId="0" applyFont="1" applyBorder="1" applyAlignment="1">
      <alignment horizontal="left" vertical="top" wrapText="1"/>
    </xf>
    <xf numFmtId="0" fontId="33" fillId="0" borderId="103" xfId="0" applyFont="1" applyBorder="1" applyAlignment="1">
      <alignment horizontal="left" vertical="top" wrapText="1"/>
    </xf>
    <xf numFmtId="0" fontId="33" fillId="0" borderId="101" xfId="0" applyFont="1" applyBorder="1" applyAlignment="1">
      <alignment horizontal="left" vertical="top"/>
    </xf>
    <xf numFmtId="0" fontId="33" fillId="0" borderId="102" xfId="0" applyFont="1" applyBorder="1" applyAlignment="1">
      <alignment horizontal="left" vertical="top"/>
    </xf>
    <xf numFmtId="0" fontId="33" fillId="0" borderId="84" xfId="0" applyFont="1" applyBorder="1" applyAlignment="1">
      <alignment horizontal="left" vertical="center" wrapText="1"/>
    </xf>
    <xf numFmtId="0" fontId="33" fillId="0" borderId="43" xfId="0" applyFont="1" applyBorder="1" applyAlignment="1">
      <alignment horizontal="left" vertical="center" wrapText="1"/>
    </xf>
    <xf numFmtId="0" fontId="33" fillId="0" borderId="8" xfId="0" applyFont="1" applyBorder="1" applyAlignment="1">
      <alignment horizontal="left" vertical="center" wrapText="1"/>
    </xf>
    <xf numFmtId="0" fontId="34" fillId="10" borderId="81" xfId="0" applyFont="1" applyFill="1" applyBorder="1" applyAlignment="1">
      <alignment horizontal="center" vertical="top" wrapText="1"/>
    </xf>
    <xf numFmtId="0" fontId="34" fillId="10" borderId="82" xfId="0" applyFont="1" applyFill="1" applyBorder="1" applyAlignment="1">
      <alignment horizontal="center" vertical="top" wrapText="1"/>
    </xf>
    <xf numFmtId="0" fontId="33" fillId="0" borderId="112" xfId="0" applyFont="1" applyBorder="1" applyAlignment="1">
      <alignment horizontal="center" vertical="center" wrapText="1"/>
    </xf>
    <xf numFmtId="0" fontId="33" fillId="0" borderId="114" xfId="0" applyFont="1" applyBorder="1" applyAlignment="1">
      <alignment horizontal="center" vertical="center" wrapText="1"/>
    </xf>
    <xf numFmtId="9" fontId="46" fillId="0" borderId="84" xfId="0" applyNumberFormat="1" applyFont="1" applyBorder="1" applyAlignment="1">
      <alignment horizontal="center" vertical="top" wrapText="1"/>
    </xf>
    <xf numFmtId="9" fontId="46" fillId="0" borderId="120" xfId="0" applyNumberFormat="1" applyFont="1" applyBorder="1" applyAlignment="1">
      <alignment horizontal="center" vertical="top" wrapText="1"/>
    </xf>
    <xf numFmtId="0" fontId="34" fillId="9" borderId="73" xfId="0" applyFont="1" applyFill="1" applyBorder="1" applyAlignment="1">
      <alignment horizontal="center"/>
    </xf>
    <xf numFmtId="0" fontId="34" fillId="9" borderId="74" xfId="0" applyFont="1" applyFill="1" applyBorder="1" applyAlignment="1">
      <alignment horizontal="center"/>
    </xf>
    <xf numFmtId="0" fontId="34" fillId="9" borderId="75" xfId="0" applyFont="1" applyFill="1" applyBorder="1" applyAlignment="1">
      <alignment horizontal="center"/>
    </xf>
    <xf numFmtId="0" fontId="34" fillId="10" borderId="7" xfId="0" applyFont="1" applyFill="1" applyBorder="1" applyAlignment="1">
      <alignment horizontal="right" vertical="center" wrapText="1"/>
    </xf>
    <xf numFmtId="0" fontId="34" fillId="10" borderId="43" xfId="0" applyFont="1" applyFill="1" applyBorder="1" applyAlignment="1">
      <alignment horizontal="right" vertical="center" wrapText="1"/>
    </xf>
    <xf numFmtId="0" fontId="34" fillId="10" borderId="8" xfId="0" applyFont="1" applyFill="1" applyBorder="1" applyAlignment="1">
      <alignment horizontal="right" vertical="center" wrapText="1"/>
    </xf>
    <xf numFmtId="0" fontId="34" fillId="10" borderId="81" xfId="0" applyFont="1" applyFill="1" applyBorder="1" applyAlignment="1">
      <alignment horizontal="center" vertical="top"/>
    </xf>
    <xf numFmtId="0" fontId="34" fillId="2" borderId="104" xfId="0" applyFont="1" applyFill="1" applyBorder="1" applyAlignment="1">
      <alignment horizontal="left" vertical="top"/>
    </xf>
    <xf numFmtId="0" fontId="34" fillId="2" borderId="105" xfId="0" applyFont="1" applyFill="1" applyBorder="1" applyAlignment="1">
      <alignment horizontal="left" vertical="top"/>
    </xf>
    <xf numFmtId="0" fontId="34" fillId="9" borderId="80" xfId="0" applyFont="1" applyFill="1" applyBorder="1" applyAlignment="1">
      <alignment horizontal="center"/>
    </xf>
    <xf numFmtId="0" fontId="34" fillId="9" borderId="81" xfId="0" applyFont="1" applyFill="1" applyBorder="1" applyAlignment="1">
      <alignment horizontal="center"/>
    </xf>
    <xf numFmtId="0" fontId="34" fillId="9" borderId="82" xfId="0" applyFont="1" applyFill="1" applyBorder="1" applyAlignment="1">
      <alignment horizontal="center"/>
    </xf>
    <xf numFmtId="0" fontId="34" fillId="9" borderId="56" xfId="0" applyFont="1" applyFill="1" applyBorder="1" applyAlignment="1">
      <alignment horizontal="center"/>
    </xf>
    <xf numFmtId="0" fontId="33" fillId="0" borderId="96" xfId="0" applyFont="1" applyBorder="1" applyAlignment="1">
      <alignment horizontal="left" vertical="center" wrapText="1"/>
    </xf>
    <xf numFmtId="0" fontId="46" fillId="0" borderId="8" xfId="0" applyFont="1" applyBorder="1" applyAlignment="1">
      <alignment horizontal="left" vertical="top" wrapText="1"/>
    </xf>
    <xf numFmtId="0" fontId="33" fillId="0" borderId="88" xfId="0" applyFont="1" applyBorder="1" applyAlignment="1">
      <alignment horizontal="left" vertical="center" wrapText="1"/>
    </xf>
    <xf numFmtId="0" fontId="33" fillId="0" borderId="89" xfId="0" applyFont="1" applyBorder="1" applyAlignment="1">
      <alignment horizontal="left" vertical="center" wrapText="1"/>
    </xf>
    <xf numFmtId="0" fontId="34" fillId="9" borderId="80" xfId="0" applyFont="1" applyFill="1" applyBorder="1" applyAlignment="1">
      <alignment horizontal="center" vertical="top" wrapText="1"/>
    </xf>
    <xf numFmtId="0" fontId="34" fillId="9" borderId="81" xfId="0" applyFont="1" applyFill="1" applyBorder="1" applyAlignment="1">
      <alignment horizontal="center" vertical="top" wrapText="1"/>
    </xf>
    <xf numFmtId="0" fontId="34" fillId="9" borderId="82" xfId="0" applyFont="1" applyFill="1" applyBorder="1" applyAlignment="1">
      <alignment horizontal="center" vertical="top" wrapText="1"/>
    </xf>
    <xf numFmtId="0" fontId="34" fillId="9" borderId="71" xfId="0" applyFont="1" applyFill="1" applyBorder="1" applyAlignment="1">
      <alignment horizontal="center"/>
    </xf>
    <xf numFmtId="0" fontId="34" fillId="9" borderId="0" xfId="0" applyFont="1" applyFill="1" applyAlignment="1">
      <alignment horizontal="center"/>
    </xf>
    <xf numFmtId="0" fontId="34" fillId="9" borderId="76" xfId="0" applyFont="1" applyFill="1" applyBorder="1" applyAlignment="1">
      <alignment horizontal="center"/>
    </xf>
    <xf numFmtId="0" fontId="33" fillId="0" borderId="85" xfId="0" applyFont="1" applyBorder="1" applyAlignment="1">
      <alignment horizontal="left" vertical="center" wrapText="1"/>
    </xf>
    <xf numFmtId="0" fontId="33" fillId="0" borderId="74" xfId="0" applyFont="1" applyBorder="1" applyAlignment="1">
      <alignment horizontal="left" vertical="center" wrapText="1"/>
    </xf>
    <xf numFmtId="0" fontId="33" fillId="0" borderId="75" xfId="0" applyFont="1" applyBorder="1" applyAlignment="1">
      <alignment horizontal="left" vertical="center" wrapText="1"/>
    </xf>
    <xf numFmtId="0" fontId="34" fillId="9" borderId="7" xfId="0" applyFont="1" applyFill="1" applyBorder="1" applyAlignment="1">
      <alignment horizontal="center"/>
    </xf>
    <xf numFmtId="0" fontId="34" fillId="9" borderId="43" xfId="0" applyFont="1" applyFill="1" applyBorder="1" applyAlignment="1">
      <alignment horizontal="center"/>
    </xf>
    <xf numFmtId="0" fontId="34" fillId="9" borderId="8" xfId="0" applyFont="1" applyFill="1" applyBorder="1" applyAlignment="1">
      <alignment horizontal="center"/>
    </xf>
    <xf numFmtId="0" fontId="33" fillId="0" borderId="97" xfId="0" applyFont="1" applyBorder="1" applyAlignment="1">
      <alignment horizontal="left" vertical="center" wrapText="1"/>
    </xf>
    <xf numFmtId="0" fontId="33" fillId="0" borderId="98" xfId="0" applyFont="1" applyBorder="1" applyAlignment="1">
      <alignment horizontal="left" vertical="center" wrapText="1"/>
    </xf>
    <xf numFmtId="0" fontId="33" fillId="0" borderId="81" xfId="0" applyFont="1" applyBorder="1" applyAlignment="1">
      <alignment horizontal="left"/>
    </xf>
    <xf numFmtId="0" fontId="33" fillId="0" borderId="82" xfId="0" applyFont="1" applyBorder="1" applyAlignment="1">
      <alignment horizontal="left"/>
    </xf>
    <xf numFmtId="0" fontId="33" fillId="0" borderId="111" xfId="0" applyFont="1" applyBorder="1" applyAlignment="1">
      <alignment horizontal="center" vertical="top" wrapText="1"/>
    </xf>
    <xf numFmtId="0" fontId="33" fillId="0" borderId="93" xfId="0" applyFont="1" applyBorder="1" applyAlignment="1">
      <alignment horizontal="left" vertical="center" wrapText="1"/>
    </xf>
    <xf numFmtId="0" fontId="33" fillId="0" borderId="94" xfId="0" applyFont="1" applyBorder="1" applyAlignment="1">
      <alignment horizontal="left" vertical="center" wrapText="1"/>
    </xf>
    <xf numFmtId="0" fontId="33" fillId="0" borderId="95" xfId="0" applyFont="1" applyBorder="1" applyAlignment="1">
      <alignment horizontal="left" vertical="center" wrapText="1"/>
    </xf>
    <xf numFmtId="0" fontId="33" fillId="0" borderId="97" xfId="0" applyFont="1" applyBorder="1" applyAlignment="1">
      <alignment horizontal="center" vertical="top" wrapText="1"/>
    </xf>
    <xf numFmtId="0" fontId="33" fillId="0" borderId="98" xfId="0" applyFont="1" applyBorder="1" applyAlignment="1">
      <alignment horizontal="center" vertical="top" wrapText="1"/>
    </xf>
    <xf numFmtId="0" fontId="33" fillId="0" borderId="88" xfId="0" applyFont="1" applyBorder="1" applyAlignment="1">
      <alignment horizontal="left" vertical="top"/>
    </xf>
    <xf numFmtId="0" fontId="33" fillId="0" borderId="89" xfId="0" applyFont="1" applyBorder="1" applyAlignment="1">
      <alignment horizontal="left" vertical="top"/>
    </xf>
    <xf numFmtId="0" fontId="33" fillId="0" borderId="81" xfId="0" applyFont="1" applyBorder="1" applyAlignment="1">
      <alignment horizontal="left" wrapText="1"/>
    </xf>
    <xf numFmtId="0" fontId="33" fillId="0" borderId="82" xfId="0" applyFont="1" applyBorder="1" applyAlignment="1">
      <alignment horizontal="left" wrapText="1"/>
    </xf>
    <xf numFmtId="0" fontId="34" fillId="9" borderId="7" xfId="0" applyFont="1" applyFill="1" applyBorder="1" applyAlignment="1">
      <alignment horizontal="center" vertical="top" wrapText="1"/>
    </xf>
    <xf numFmtId="0" fontId="34" fillId="9" borderId="43" xfId="0" applyFont="1" applyFill="1" applyBorder="1" applyAlignment="1">
      <alignment horizontal="center" vertical="top" wrapText="1"/>
    </xf>
    <xf numFmtId="0" fontId="34" fillId="9" borderId="8" xfId="0" applyFont="1" applyFill="1" applyBorder="1" applyAlignment="1">
      <alignment horizontal="center" vertical="top" wrapText="1"/>
    </xf>
    <xf numFmtId="0" fontId="1" fillId="0" borderId="6" xfId="0" applyFont="1" applyBorder="1" applyAlignment="1">
      <alignment horizontal="left" vertical="center" wrapText="1"/>
    </xf>
    <xf numFmtId="0" fontId="4" fillId="2" borderId="7" xfId="0" applyFont="1" applyFill="1" applyBorder="1" applyAlignment="1">
      <alignment horizontal="center"/>
    </xf>
    <xf numFmtId="0" fontId="4" fillId="2" borderId="8" xfId="0" applyFont="1" applyFill="1" applyBorder="1" applyAlignment="1">
      <alignment horizontal="center"/>
    </xf>
    <xf numFmtId="0" fontId="1" fillId="0" borderId="32" xfId="0" applyFont="1" applyBorder="1" applyAlignment="1">
      <alignment horizontal="left" vertical="center" wrapText="1"/>
    </xf>
    <xf numFmtId="0" fontId="1" fillId="0" borderId="34" xfId="0" applyFont="1" applyBorder="1" applyAlignment="1">
      <alignment horizontal="left" vertical="center" wrapText="1"/>
    </xf>
    <xf numFmtId="0" fontId="6" fillId="0" borderId="15" xfId="0" applyFont="1" applyBorder="1" applyAlignment="1">
      <alignment horizontal="center" vertical="center" wrapText="1"/>
    </xf>
    <xf numFmtId="0" fontId="6" fillId="0" borderId="12" xfId="0" applyFont="1" applyBorder="1" applyAlignment="1">
      <alignment horizontal="center" vertical="center" wrapText="1"/>
    </xf>
    <xf numFmtId="0" fontId="1" fillId="0" borderId="15" xfId="0" applyFont="1" applyBorder="1" applyAlignment="1">
      <alignment horizontal="left" vertical="center" wrapText="1"/>
    </xf>
    <xf numFmtId="0" fontId="1" fillId="0" borderId="23" xfId="0" applyFont="1" applyBorder="1" applyAlignment="1">
      <alignment horizontal="left" vertical="center" wrapText="1"/>
    </xf>
    <xf numFmtId="0" fontId="1" fillId="0" borderId="12" xfId="0" applyFont="1" applyBorder="1" applyAlignment="1">
      <alignment horizontal="left" vertical="center" wrapText="1"/>
    </xf>
    <xf numFmtId="0" fontId="1" fillId="0" borderId="11" xfId="0" applyFont="1" applyBorder="1" applyAlignment="1">
      <alignment horizontal="left" vertical="center" wrapText="1"/>
    </xf>
    <xf numFmtId="0" fontId="1" fillId="0" borderId="25" xfId="0" applyFont="1" applyBorder="1" applyAlignment="1">
      <alignment horizontal="left" vertical="center" wrapText="1"/>
    </xf>
    <xf numFmtId="0" fontId="1" fillId="0" borderId="14" xfId="0" applyFont="1" applyBorder="1" applyAlignment="1">
      <alignment horizontal="left" vertical="center" wrapText="1"/>
    </xf>
    <xf numFmtId="0" fontId="6" fillId="0" borderId="17" xfId="0" applyFont="1" applyBorder="1" applyAlignment="1">
      <alignment horizontal="center" vertical="center" wrapText="1"/>
    </xf>
    <xf numFmtId="0" fontId="6" fillId="0" borderId="25"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28" xfId="0" applyFont="1" applyBorder="1" applyAlignment="1">
      <alignment horizontal="center" vertical="center" wrapText="1"/>
    </xf>
    <xf numFmtId="0" fontId="1" fillId="0" borderId="31" xfId="0" applyFont="1" applyBorder="1" applyAlignment="1">
      <alignment horizontal="left" vertical="center" wrapText="1"/>
    </xf>
    <xf numFmtId="0" fontId="1" fillId="0" borderId="18" xfId="0" applyFont="1" applyBorder="1" applyAlignment="1">
      <alignment horizontal="left" vertical="center" wrapText="1"/>
    </xf>
    <xf numFmtId="0" fontId="1" fillId="5" borderId="5" xfId="0" applyFont="1" applyFill="1" applyBorder="1" applyAlignment="1">
      <alignment horizontal="left" vertical="center" wrapText="1"/>
    </xf>
    <xf numFmtId="0" fontId="1" fillId="0" borderId="19" xfId="0" applyFont="1" applyBorder="1" applyAlignment="1">
      <alignment horizontal="left" vertical="center" wrapText="1"/>
    </xf>
    <xf numFmtId="0" fontId="1" fillId="5" borderId="31" xfId="0" applyFont="1" applyFill="1" applyBorder="1" applyAlignment="1">
      <alignment horizontal="left" vertical="center" wrapText="1"/>
    </xf>
    <xf numFmtId="0" fontId="1" fillId="5" borderId="19" xfId="0" applyFont="1" applyFill="1" applyBorder="1" applyAlignment="1">
      <alignment horizontal="left" vertical="center" wrapText="1"/>
    </xf>
    <xf numFmtId="0" fontId="1" fillId="0" borderId="33" xfId="0" applyFont="1" applyBorder="1" applyAlignment="1">
      <alignment horizontal="left" vertical="center" wrapText="1"/>
    </xf>
    <xf numFmtId="0" fontId="1" fillId="0" borderId="26" xfId="0" applyFont="1" applyBorder="1" applyAlignment="1">
      <alignment horizontal="left" vertical="center" wrapText="1"/>
    </xf>
    <xf numFmtId="0" fontId="1" fillId="5" borderId="4" xfId="0" applyFont="1" applyFill="1" applyBorder="1" applyAlignment="1">
      <alignment horizontal="left" vertical="center" wrapText="1"/>
    </xf>
    <xf numFmtId="0" fontId="33" fillId="0" borderId="86" xfId="0" applyFont="1" applyBorder="1" applyAlignment="1">
      <alignment horizontal="left" wrapText="1"/>
    </xf>
    <xf numFmtId="0" fontId="33" fillId="0" borderId="78" xfId="0" applyFont="1" applyBorder="1" applyAlignment="1">
      <alignment horizontal="left" wrapText="1"/>
    </xf>
    <xf numFmtId="0" fontId="33" fillId="0" borderId="79" xfId="0" applyFont="1" applyBorder="1" applyAlignment="1">
      <alignment horizontal="left" wrapText="1"/>
    </xf>
    <xf numFmtId="0" fontId="33" fillId="0" borderId="105" xfId="0" applyFont="1" applyBorder="1" applyAlignment="1">
      <alignment horizontal="left" vertical="top" wrapText="1"/>
    </xf>
    <xf numFmtId="0" fontId="33" fillId="0" borderId="105" xfId="0" applyFont="1" applyBorder="1" applyAlignment="1">
      <alignment horizontal="center" vertical="top" wrapText="1"/>
    </xf>
    <xf numFmtId="0" fontId="33" fillId="0" borderId="99" xfId="0" applyFont="1" applyBorder="1" applyAlignment="1">
      <alignment horizontal="center" vertical="top" wrapText="1"/>
    </xf>
    <xf numFmtId="9" fontId="33" fillId="0" borderId="97" xfId="6" applyFont="1" applyBorder="1" applyAlignment="1">
      <alignment horizontal="left" vertical="top" wrapText="1"/>
    </xf>
    <xf numFmtId="9" fontId="33" fillId="0" borderId="58" xfId="6" applyFont="1" applyBorder="1" applyAlignment="1">
      <alignment horizontal="left" vertical="top" wrapText="1"/>
    </xf>
    <xf numFmtId="9" fontId="33" fillId="0" borderId="88" xfId="6" applyFont="1" applyBorder="1" applyAlignment="1">
      <alignment horizontal="left" vertical="top" wrapText="1"/>
    </xf>
    <xf numFmtId="0" fontId="33" fillId="0" borderId="58" xfId="0" applyFont="1" applyBorder="1" applyAlignment="1">
      <alignment horizontal="left" vertical="top"/>
    </xf>
    <xf numFmtId="0" fontId="33" fillId="0" borderId="96" xfId="0" applyFont="1" applyBorder="1" applyAlignment="1">
      <alignment horizontal="left" vertical="top"/>
    </xf>
    <xf numFmtId="0" fontId="33" fillId="0" borderId="88" xfId="0" applyFont="1" applyBorder="1" applyAlignment="1">
      <alignment horizontal="center" vertical="top" wrapText="1"/>
    </xf>
    <xf numFmtId="0" fontId="33" fillId="0" borderId="89" xfId="0" applyFont="1" applyBorder="1" applyAlignment="1">
      <alignment horizontal="center" vertical="top" wrapText="1"/>
    </xf>
    <xf numFmtId="0" fontId="34" fillId="10" borderId="73" xfId="0" applyFont="1" applyFill="1" applyBorder="1" applyAlignment="1">
      <alignment horizontal="center" vertical="top"/>
    </xf>
    <xf numFmtId="0" fontId="34" fillId="10" borderId="74" xfId="0" applyFont="1" applyFill="1" applyBorder="1" applyAlignment="1">
      <alignment horizontal="center" vertical="top"/>
    </xf>
    <xf numFmtId="0" fontId="34" fillId="10" borderId="73" xfId="0" applyFont="1" applyFill="1" applyBorder="1" applyAlignment="1">
      <alignment horizontal="center" vertical="top" wrapText="1"/>
    </xf>
    <xf numFmtId="0" fontId="34" fillId="10" borderId="75" xfId="0" applyFont="1" applyFill="1" applyBorder="1" applyAlignment="1">
      <alignment horizontal="center" vertical="top" wrapText="1"/>
    </xf>
    <xf numFmtId="0" fontId="33" fillId="0" borderId="85" xfId="0" applyFont="1" applyBorder="1" applyAlignment="1">
      <alignment horizontal="left" vertical="top" wrapText="1"/>
    </xf>
    <xf numFmtId="0" fontId="33" fillId="0" borderId="74" xfId="0" applyFont="1" applyBorder="1" applyAlignment="1">
      <alignment horizontal="left" vertical="top" wrapText="1"/>
    </xf>
    <xf numFmtId="0" fontId="33" fillId="0" borderId="75" xfId="0" applyFont="1" applyBorder="1" applyAlignment="1">
      <alignment horizontal="left" vertical="top" wrapText="1"/>
    </xf>
    <xf numFmtId="0" fontId="33" fillId="0" borderId="58" xfId="0" applyFont="1" applyBorder="1" applyAlignment="1">
      <alignment horizontal="center" vertical="top" wrapText="1"/>
    </xf>
    <xf numFmtId="0" fontId="33" fillId="0" borderId="96" xfId="0" applyFont="1" applyBorder="1" applyAlignment="1">
      <alignment horizontal="center" vertical="top" wrapText="1"/>
    </xf>
    <xf numFmtId="0" fontId="34" fillId="10" borderId="101" xfId="0" applyFont="1" applyFill="1" applyBorder="1" applyAlignment="1">
      <alignment horizontal="center" vertical="top"/>
    </xf>
    <xf numFmtId="0" fontId="34" fillId="10" borderId="101" xfId="0" applyFont="1" applyFill="1" applyBorder="1" applyAlignment="1">
      <alignment horizontal="center" vertical="top" wrapText="1"/>
    </xf>
    <xf numFmtId="0" fontId="34" fillId="10" borderId="102" xfId="0" applyFont="1" applyFill="1" applyBorder="1" applyAlignment="1">
      <alignment horizontal="center" vertical="top" wrapText="1"/>
    </xf>
    <xf numFmtId="0" fontId="34" fillId="2" borderId="92" xfId="0" applyFont="1" applyFill="1" applyBorder="1" applyAlignment="1">
      <alignment horizontal="left" vertical="top"/>
    </xf>
    <xf numFmtId="0" fontId="34" fillId="2" borderId="97" xfId="0" applyFont="1" applyFill="1" applyBorder="1" applyAlignment="1">
      <alignment horizontal="left" vertical="top"/>
    </xf>
    <xf numFmtId="9" fontId="34" fillId="9" borderId="7" xfId="6" applyFont="1" applyFill="1" applyBorder="1" applyAlignment="1">
      <alignment horizontal="center"/>
    </xf>
    <xf numFmtId="9" fontId="34" fillId="9" borderId="43" xfId="6" applyFont="1" applyFill="1" applyBorder="1" applyAlignment="1">
      <alignment horizontal="center"/>
    </xf>
    <xf numFmtId="9" fontId="34" fillId="9" borderId="8" xfId="6" applyFont="1" applyFill="1" applyBorder="1" applyAlignment="1">
      <alignment horizontal="center"/>
    </xf>
    <xf numFmtId="9" fontId="33" fillId="0" borderId="85" xfId="6" applyFont="1" applyFill="1" applyBorder="1" applyAlignment="1">
      <alignment horizontal="left" wrapText="1"/>
    </xf>
    <xf numFmtId="9" fontId="33" fillId="0" borderId="74" xfId="6" applyFont="1" applyFill="1" applyBorder="1" applyAlignment="1">
      <alignment horizontal="left" wrapText="1"/>
    </xf>
    <xf numFmtId="9" fontId="33" fillId="0" borderId="75" xfId="6" applyFont="1" applyFill="1" applyBorder="1" applyAlignment="1">
      <alignment horizontal="left" wrapText="1"/>
    </xf>
    <xf numFmtId="9" fontId="34" fillId="9" borderId="73" xfId="6" applyFont="1" applyFill="1" applyBorder="1" applyAlignment="1">
      <alignment horizontal="center"/>
    </xf>
    <xf numFmtId="9" fontId="34" fillId="9" borderId="74" xfId="6" applyFont="1" applyFill="1" applyBorder="1" applyAlignment="1">
      <alignment horizontal="center"/>
    </xf>
    <xf numFmtId="9" fontId="34" fillId="9" borderId="75" xfId="6" applyFont="1" applyFill="1" applyBorder="1" applyAlignment="1">
      <alignment horizontal="center"/>
    </xf>
    <xf numFmtId="9" fontId="33" fillId="0" borderId="89" xfId="6" applyFont="1" applyBorder="1" applyAlignment="1">
      <alignment horizontal="left" vertical="top" wrapText="1"/>
    </xf>
    <xf numFmtId="9" fontId="34" fillId="10" borderId="7" xfId="6" applyFont="1" applyFill="1" applyBorder="1" applyAlignment="1">
      <alignment horizontal="right" vertical="center" wrapText="1"/>
    </xf>
    <xf numFmtId="9" fontId="34" fillId="10" borderId="43" xfId="6" applyFont="1" applyFill="1" applyBorder="1" applyAlignment="1">
      <alignment horizontal="right" vertical="center" wrapText="1"/>
    </xf>
    <xf numFmtId="9" fontId="34" fillId="10" borderId="8" xfId="6" applyFont="1" applyFill="1" applyBorder="1" applyAlignment="1">
      <alignment horizontal="right" vertical="center" wrapText="1"/>
    </xf>
    <xf numFmtId="9" fontId="34" fillId="9" borderId="56" xfId="6" applyFont="1" applyFill="1" applyBorder="1" applyAlignment="1">
      <alignment horizontal="center"/>
    </xf>
    <xf numFmtId="9" fontId="34" fillId="9" borderId="80" xfId="6" applyFont="1" applyFill="1" applyBorder="1" applyAlignment="1">
      <alignment horizontal="center" vertical="top"/>
    </xf>
    <xf numFmtId="9" fontId="34" fillId="9" borderId="81" xfId="6" applyFont="1" applyFill="1" applyBorder="1" applyAlignment="1">
      <alignment horizontal="center" vertical="top"/>
    </xf>
    <xf numFmtId="9" fontId="34" fillId="9" borderId="82" xfId="6" applyFont="1" applyFill="1" applyBorder="1" applyAlignment="1">
      <alignment horizontal="center" vertical="top"/>
    </xf>
    <xf numFmtId="9" fontId="34" fillId="10" borderId="81" xfId="6" applyFont="1" applyFill="1" applyBorder="1" applyAlignment="1">
      <alignment horizontal="center" vertical="top"/>
    </xf>
    <xf numFmtId="9" fontId="34" fillId="10" borderId="81" xfId="6" applyFont="1" applyFill="1" applyBorder="1" applyAlignment="1">
      <alignment horizontal="center" vertical="top" wrapText="1"/>
    </xf>
    <xf numFmtId="9" fontId="34" fillId="10" borderId="82" xfId="6" applyFont="1" applyFill="1" applyBorder="1" applyAlignment="1">
      <alignment horizontal="center" vertical="top" wrapText="1"/>
    </xf>
    <xf numFmtId="9" fontId="33" fillId="0" borderId="59" xfId="6" applyFont="1" applyFill="1" applyBorder="1" applyAlignment="1">
      <alignment horizontal="left" vertical="top" wrapText="1"/>
    </xf>
    <xf numFmtId="9" fontId="33" fillId="0" borderId="59" xfId="6" applyFont="1" applyFill="1" applyBorder="1" applyAlignment="1">
      <alignment horizontal="center" vertical="top" wrapText="1"/>
    </xf>
    <xf numFmtId="9" fontId="33" fillId="0" borderId="108" xfId="6" applyFont="1" applyFill="1" applyBorder="1" applyAlignment="1">
      <alignment horizontal="center" vertical="top" wrapText="1"/>
    </xf>
    <xf numFmtId="9" fontId="33" fillId="0" borderId="7" xfId="6" applyFont="1" applyBorder="1" applyAlignment="1">
      <alignment horizontal="center" vertical="top"/>
    </xf>
    <xf numFmtId="9" fontId="33" fillId="0" borderId="8" xfId="6" applyFont="1" applyBorder="1" applyAlignment="1">
      <alignment horizontal="center" vertical="top"/>
    </xf>
    <xf numFmtId="9" fontId="33" fillId="0" borderId="43" xfId="6" applyFont="1" applyBorder="1" applyAlignment="1">
      <alignment horizontal="left" vertical="top" wrapText="1"/>
    </xf>
    <xf numFmtId="9" fontId="33" fillId="0" borderId="8" xfId="6" applyFont="1" applyBorder="1" applyAlignment="1">
      <alignment horizontal="left" vertical="top" wrapText="1"/>
    </xf>
    <xf numFmtId="9" fontId="34" fillId="9" borderId="80" xfId="6" applyFont="1" applyFill="1" applyBorder="1" applyAlignment="1">
      <alignment horizontal="center" vertical="top" wrapText="1"/>
    </xf>
    <xf numFmtId="9" fontId="34" fillId="9" borderId="81" xfId="6" applyFont="1" applyFill="1" applyBorder="1" applyAlignment="1">
      <alignment horizontal="center" vertical="top" wrapText="1"/>
    </xf>
    <xf numFmtId="9" fontId="34" fillId="9" borderId="82" xfId="6" applyFont="1" applyFill="1" applyBorder="1" applyAlignment="1">
      <alignment horizontal="center" vertical="top" wrapText="1"/>
    </xf>
    <xf numFmtId="9" fontId="33" fillId="0" borderId="57" xfId="6" applyFont="1" applyBorder="1" applyAlignment="1">
      <alignment horizontal="left" vertical="top" wrapText="1"/>
    </xf>
    <xf numFmtId="9" fontId="33" fillId="0" borderId="53" xfId="6" applyFont="1" applyBorder="1" applyAlignment="1">
      <alignment horizontal="left" vertical="top" wrapText="1"/>
    </xf>
    <xf numFmtId="9" fontId="33" fillId="0" borderId="63" xfId="6" applyFont="1" applyBorder="1" applyAlignment="1">
      <alignment horizontal="left" vertical="top" wrapText="1"/>
    </xf>
    <xf numFmtId="9" fontId="34" fillId="9" borderId="80" xfId="6" applyFont="1" applyFill="1" applyBorder="1" applyAlignment="1">
      <alignment horizontal="center"/>
    </xf>
    <xf numFmtId="9" fontId="34" fillId="9" borderId="81" xfId="6" applyFont="1" applyFill="1" applyBorder="1" applyAlignment="1">
      <alignment horizontal="center"/>
    </xf>
    <xf numFmtId="9" fontId="34" fillId="9" borderId="82" xfId="6" applyFont="1" applyFill="1" applyBorder="1" applyAlignment="1">
      <alignment horizontal="center"/>
    </xf>
    <xf numFmtId="9" fontId="33" fillId="0" borderId="81" xfId="6" applyFont="1" applyBorder="1" applyAlignment="1">
      <alignment horizontal="left" vertical="top" wrapText="1"/>
    </xf>
    <xf numFmtId="9" fontId="33" fillId="0" borderId="82" xfId="6" applyFont="1" applyBorder="1" applyAlignment="1">
      <alignment horizontal="left" vertical="top" wrapText="1"/>
    </xf>
    <xf numFmtId="9" fontId="46" fillId="0" borderId="93" xfId="0" applyNumberFormat="1" applyFont="1" applyBorder="1" applyAlignment="1">
      <alignment horizontal="center" vertical="top" wrapText="1"/>
    </xf>
    <xf numFmtId="9" fontId="46" fillId="0" borderId="123" xfId="0" applyNumberFormat="1" applyFont="1" applyBorder="1" applyAlignment="1">
      <alignment horizontal="center" vertical="top" wrapText="1"/>
    </xf>
    <xf numFmtId="9" fontId="33" fillId="0" borderId="88" xfId="6" applyFont="1" applyBorder="1" applyAlignment="1">
      <alignment horizontal="center" vertical="top" wrapText="1"/>
    </xf>
    <xf numFmtId="9" fontId="33" fillId="0" borderId="89" xfId="6" applyFont="1" applyBorder="1" applyAlignment="1">
      <alignment horizontal="center" vertical="top" wrapText="1"/>
    </xf>
    <xf numFmtId="9" fontId="33" fillId="0" borderId="97" xfId="6" applyFont="1" applyBorder="1" applyAlignment="1">
      <alignment horizontal="center" vertical="top" wrapText="1"/>
    </xf>
    <xf numFmtId="9" fontId="33" fillId="0" borderId="98" xfId="6" applyFont="1" applyBorder="1" applyAlignment="1">
      <alignment horizontal="center" vertical="top" wrapText="1"/>
    </xf>
    <xf numFmtId="9" fontId="33" fillId="0" borderId="77" xfId="6" applyFont="1" applyBorder="1" applyAlignment="1">
      <alignment horizontal="center" vertical="top"/>
    </xf>
    <xf numFmtId="9" fontId="33" fillId="0" borderId="79" xfId="6" applyFont="1" applyBorder="1" applyAlignment="1">
      <alignment horizontal="center" vertical="top"/>
    </xf>
    <xf numFmtId="9" fontId="33" fillId="0" borderId="78" xfId="6" applyFont="1" applyBorder="1" applyAlignment="1">
      <alignment horizontal="left" vertical="top" wrapText="1"/>
    </xf>
    <xf numFmtId="9" fontId="33" fillId="0" borderId="79" xfId="6" applyFont="1" applyBorder="1" applyAlignment="1">
      <alignment horizontal="left" vertical="top" wrapText="1"/>
    </xf>
    <xf numFmtId="9" fontId="34" fillId="10" borderId="101" xfId="6" applyFont="1" applyFill="1" applyBorder="1" applyAlignment="1">
      <alignment horizontal="center" vertical="top"/>
    </xf>
    <xf numFmtId="9" fontId="34" fillId="10" borderId="101" xfId="6" applyFont="1" applyFill="1" applyBorder="1" applyAlignment="1">
      <alignment horizontal="center" vertical="top" wrapText="1"/>
    </xf>
    <xf numFmtId="9" fontId="34" fillId="10" borderId="102" xfId="6" applyFont="1" applyFill="1" applyBorder="1" applyAlignment="1">
      <alignment horizontal="center" vertical="top" wrapText="1"/>
    </xf>
    <xf numFmtId="9" fontId="33" fillId="0" borderId="84" xfId="6" applyFont="1" applyBorder="1" applyAlignment="1">
      <alignment horizontal="left" vertical="top" wrapText="1"/>
    </xf>
    <xf numFmtId="9" fontId="33" fillId="0" borderId="88" xfId="6" applyFont="1" applyBorder="1" applyAlignment="1">
      <alignment horizontal="left" wrapText="1"/>
    </xf>
    <xf numFmtId="9" fontId="33" fillId="0" borderId="89" xfId="6" applyFont="1" applyBorder="1" applyAlignment="1">
      <alignment horizontal="left" wrapText="1"/>
    </xf>
    <xf numFmtId="9" fontId="34" fillId="2" borderId="7" xfId="6" applyFont="1" applyFill="1" applyBorder="1" applyAlignment="1">
      <alignment horizontal="left" vertical="top"/>
    </xf>
    <xf numFmtId="9" fontId="34" fillId="2" borderId="43" xfId="6" applyFont="1" applyFill="1" applyBorder="1" applyAlignment="1">
      <alignment horizontal="left" vertical="top"/>
    </xf>
    <xf numFmtId="9" fontId="34" fillId="2" borderId="8" xfId="6" applyFont="1" applyFill="1" applyBorder="1" applyAlignment="1">
      <alignment horizontal="left" vertical="top"/>
    </xf>
    <xf numFmtId="9" fontId="34" fillId="2" borderId="73" xfId="6" applyFont="1" applyFill="1" applyBorder="1" applyAlignment="1">
      <alignment horizontal="left" vertical="top"/>
    </xf>
    <xf numFmtId="9" fontId="34" fillId="2" borderId="74" xfId="6" applyFont="1" applyFill="1" applyBorder="1" applyAlignment="1">
      <alignment horizontal="left" vertical="top"/>
    </xf>
    <xf numFmtId="9" fontId="34" fillId="2" borderId="80" xfId="6" applyFont="1" applyFill="1" applyBorder="1" applyAlignment="1">
      <alignment horizontal="left" vertical="top"/>
    </xf>
    <xf numFmtId="9" fontId="34" fillId="2" borderId="81" xfId="6" applyFont="1" applyFill="1" applyBorder="1" applyAlignment="1">
      <alignment horizontal="left" vertical="top"/>
    </xf>
    <xf numFmtId="9" fontId="34" fillId="2" borderId="82" xfId="6" applyFont="1" applyFill="1" applyBorder="1" applyAlignment="1">
      <alignment horizontal="left" vertical="top"/>
    </xf>
    <xf numFmtId="9" fontId="33" fillId="0" borderId="93" xfId="6" applyFont="1" applyBorder="1" applyAlignment="1">
      <alignment horizontal="center" vertical="top" wrapText="1"/>
    </xf>
    <xf numFmtId="9" fontId="33" fillId="0" borderId="95" xfId="6" applyFont="1" applyBorder="1" applyAlignment="1">
      <alignment horizontal="center" vertical="top" wrapText="1"/>
    </xf>
    <xf numFmtId="9" fontId="33" fillId="0" borderId="96" xfId="6" applyFont="1" applyBorder="1" applyAlignment="1">
      <alignment horizontal="left" vertical="top" wrapText="1"/>
    </xf>
    <xf numFmtId="9" fontId="33" fillId="0" borderId="98" xfId="6" applyFont="1" applyBorder="1" applyAlignment="1">
      <alignment horizontal="left" vertical="top" wrapText="1"/>
    </xf>
    <xf numFmtId="9" fontId="33" fillId="0" borderId="58" xfId="6" applyFont="1" applyBorder="1" applyAlignment="1">
      <alignment horizontal="center" vertical="top" wrapText="1"/>
    </xf>
    <xf numFmtId="9" fontId="33" fillId="0" borderId="96" xfId="6" applyFont="1" applyBorder="1" applyAlignment="1">
      <alignment horizontal="center" vertical="top" wrapText="1"/>
    </xf>
    <xf numFmtId="9" fontId="33" fillId="0" borderId="88" xfId="6" applyFont="1" applyBorder="1" applyAlignment="1">
      <alignment horizontal="left"/>
    </xf>
    <xf numFmtId="9" fontId="33" fillId="0" borderId="89" xfId="6" applyFont="1" applyBorder="1" applyAlignment="1">
      <alignment horizontal="left"/>
    </xf>
    <xf numFmtId="9" fontId="34" fillId="9" borderId="77" xfId="6" applyFont="1" applyFill="1" applyBorder="1" applyAlignment="1">
      <alignment horizontal="center" vertical="top"/>
    </xf>
    <xf numFmtId="9" fontId="34" fillId="9" borderId="78" xfId="6" applyFont="1" applyFill="1" applyBorder="1" applyAlignment="1">
      <alignment horizontal="center" vertical="top"/>
    </xf>
    <xf numFmtId="9" fontId="34" fillId="9" borderId="79" xfId="6" applyFont="1" applyFill="1" applyBorder="1" applyAlignment="1">
      <alignment horizontal="center" vertical="top"/>
    </xf>
    <xf numFmtId="9" fontId="33" fillId="0" borderId="59" xfId="6" applyFont="1" applyBorder="1" applyAlignment="1">
      <alignment horizontal="left" vertical="top" wrapText="1"/>
    </xf>
    <xf numFmtId="9" fontId="33" fillId="0" borderId="108" xfId="6" applyFont="1" applyBorder="1" applyAlignment="1">
      <alignment horizontal="left" vertical="top" wrapText="1"/>
    </xf>
    <xf numFmtId="9" fontId="33" fillId="0" borderId="59" xfId="6" applyFont="1" applyBorder="1" applyAlignment="1">
      <alignment horizontal="left" wrapText="1"/>
    </xf>
    <xf numFmtId="9" fontId="33" fillId="0" borderId="108" xfId="6" applyFont="1" applyBorder="1" applyAlignment="1">
      <alignment horizontal="left" wrapText="1"/>
    </xf>
    <xf numFmtId="9" fontId="34" fillId="9" borderId="71" xfId="6" applyFont="1" applyFill="1" applyBorder="1" applyAlignment="1">
      <alignment horizontal="center"/>
    </xf>
    <xf numFmtId="9" fontId="34" fillId="9" borderId="0" xfId="6" applyFont="1" applyFill="1" applyBorder="1" applyAlignment="1">
      <alignment horizontal="center"/>
    </xf>
    <xf numFmtId="9" fontId="34" fillId="9" borderId="76" xfId="6" applyFont="1" applyFill="1" applyBorder="1" applyAlignment="1">
      <alignment horizontal="center"/>
    </xf>
    <xf numFmtId="9" fontId="33" fillId="0" borderId="85" xfId="6" applyFont="1" applyBorder="1" applyAlignment="1">
      <alignment horizontal="left" wrapText="1"/>
    </xf>
    <xf numFmtId="9" fontId="33" fillId="0" borderId="74" xfId="6" applyFont="1" applyBorder="1" applyAlignment="1">
      <alignment horizontal="left" wrapText="1"/>
    </xf>
    <xf numFmtId="9" fontId="33" fillId="0" borderId="75" xfId="6" applyFont="1" applyBorder="1" applyAlignment="1">
      <alignment horizontal="left" wrapText="1"/>
    </xf>
    <xf numFmtId="9" fontId="33" fillId="0" borderId="101" xfId="6" applyFont="1" applyBorder="1" applyAlignment="1">
      <alignment horizontal="left" vertical="top" wrapText="1"/>
    </xf>
    <xf numFmtId="9" fontId="33" fillId="0" borderId="102" xfId="6" applyFont="1" applyBorder="1" applyAlignment="1">
      <alignment horizontal="left" vertical="top" wrapText="1"/>
    </xf>
    <xf numFmtId="0" fontId="33" fillId="0" borderId="88" xfId="0" applyFont="1" applyBorder="1" applyAlignment="1">
      <alignment horizontal="left"/>
    </xf>
    <xf numFmtId="0" fontId="33" fillId="0" borderId="89" xfId="0" applyFont="1" applyBorder="1" applyAlignment="1">
      <alignment horizontal="left"/>
    </xf>
    <xf numFmtId="0" fontId="33" fillId="0" borderId="97" xfId="0" applyFont="1" applyBorder="1" applyAlignment="1">
      <alignment horizontal="left" wrapText="1"/>
    </xf>
    <xf numFmtId="0" fontId="33" fillId="0" borderId="98" xfId="0" applyFont="1" applyBorder="1" applyAlignment="1">
      <alignment horizontal="left" wrapText="1"/>
    </xf>
    <xf numFmtId="0" fontId="33" fillId="0" borderId="77" xfId="0" applyFont="1" applyBorder="1" applyAlignment="1">
      <alignment horizontal="center" vertical="top" wrapText="1"/>
    </xf>
    <xf numFmtId="0" fontId="33" fillId="0" borderId="79" xfId="0" applyFont="1" applyBorder="1" applyAlignment="1">
      <alignment horizontal="center" vertical="top" wrapText="1"/>
    </xf>
    <xf numFmtId="0" fontId="33" fillId="0" borderId="58" xfId="0" applyFont="1" applyBorder="1" applyAlignment="1">
      <alignment horizontal="left" wrapText="1"/>
    </xf>
    <xf numFmtId="0" fontId="33" fillId="0" borderId="96" xfId="0" applyFont="1" applyBorder="1" applyAlignment="1">
      <alignment horizontal="left" wrapText="1"/>
    </xf>
    <xf numFmtId="0" fontId="40" fillId="0" borderId="43" xfId="0" applyFont="1" applyBorder="1" applyAlignment="1">
      <alignment horizontal="left" vertical="top" wrapText="1"/>
    </xf>
    <xf numFmtId="0" fontId="40" fillId="0" borderId="8" xfId="0" applyFont="1" applyBorder="1" applyAlignment="1">
      <alignment horizontal="left" vertical="top" wrapText="1"/>
    </xf>
    <xf numFmtId="0" fontId="34" fillId="2" borderId="58" xfId="0" applyFont="1" applyFill="1" applyBorder="1" applyAlignment="1">
      <alignment horizontal="left" vertical="top"/>
    </xf>
    <xf numFmtId="0" fontId="33" fillId="0" borderId="112" xfId="0" applyFont="1" applyBorder="1" applyAlignment="1">
      <alignment horizontal="center" vertical="top" wrapText="1"/>
    </xf>
    <xf numFmtId="0" fontId="33" fillId="0" borderId="114" xfId="0" applyFont="1" applyBorder="1" applyAlignment="1">
      <alignment horizontal="center" vertical="top" wrapText="1"/>
    </xf>
    <xf numFmtId="0" fontId="33" fillId="0" borderId="84" xfId="0" applyFont="1" applyBorder="1" applyAlignment="1">
      <alignment horizontal="left" wrapText="1"/>
    </xf>
    <xf numFmtId="0" fontId="33" fillId="0" borderId="43" xfId="0" applyFont="1" applyBorder="1" applyAlignment="1">
      <alignment horizontal="left" wrapText="1"/>
    </xf>
    <xf numFmtId="0" fontId="33" fillId="0" borderId="8" xfId="0" applyFont="1" applyBorder="1" applyAlignment="1">
      <alignment horizontal="left" wrapText="1"/>
    </xf>
    <xf numFmtId="0" fontId="34" fillId="9" borderId="77" xfId="0" applyFont="1" applyFill="1" applyBorder="1" applyAlignment="1">
      <alignment horizontal="center"/>
    </xf>
    <xf numFmtId="0" fontId="34" fillId="9" borderId="78" xfId="0" applyFont="1" applyFill="1" applyBorder="1" applyAlignment="1">
      <alignment horizontal="center"/>
    </xf>
    <xf numFmtId="0" fontId="34" fillId="9" borderId="79" xfId="0" applyFont="1" applyFill="1" applyBorder="1" applyAlignment="1">
      <alignment horizontal="center"/>
    </xf>
    <xf numFmtId="0" fontId="33" fillId="0" borderId="84" xfId="0" applyFont="1" applyBorder="1" applyAlignment="1">
      <alignment horizontal="center" vertical="top" wrapText="1"/>
    </xf>
    <xf numFmtId="0" fontId="33" fillId="0" borderId="7" xfId="0" applyFont="1" applyBorder="1" applyAlignment="1">
      <alignment vertical="top"/>
    </xf>
    <xf numFmtId="0" fontId="33" fillId="0" borderId="43" xfId="0" applyFont="1" applyBorder="1" applyAlignment="1">
      <alignment vertical="top"/>
    </xf>
    <xf numFmtId="0" fontId="33" fillId="0" borderId="8" xfId="0" applyFont="1" applyBorder="1" applyAlignment="1">
      <alignment vertical="top"/>
    </xf>
    <xf numFmtId="0" fontId="33" fillId="0" borderId="7" xfId="0" applyFont="1" applyBorder="1"/>
    <xf numFmtId="0" fontId="33" fillId="0" borderId="43" xfId="0" applyFont="1" applyBorder="1"/>
    <xf numFmtId="0" fontId="33" fillId="0" borderId="8" xfId="0" applyFont="1" applyBorder="1"/>
    <xf numFmtId="0" fontId="33" fillId="0" borderId="88" xfId="0" applyFont="1" applyBorder="1" applyAlignment="1">
      <alignment horizontal="left" wrapText="1"/>
    </xf>
    <xf numFmtId="0" fontId="33" fillId="0" borderId="89" xfId="0" applyFont="1" applyBorder="1" applyAlignment="1">
      <alignment horizontal="left" wrapText="1"/>
    </xf>
    <xf numFmtId="0" fontId="34" fillId="9" borderId="104" xfId="0" applyFont="1" applyFill="1" applyBorder="1" applyAlignment="1">
      <alignment horizontal="center" vertical="top"/>
    </xf>
    <xf numFmtId="0" fontId="34" fillId="9" borderId="105" xfId="0" applyFont="1" applyFill="1" applyBorder="1" applyAlignment="1">
      <alignment horizontal="center" vertical="top"/>
    </xf>
    <xf numFmtId="0" fontId="34" fillId="9" borderId="99" xfId="0" applyFont="1" applyFill="1" applyBorder="1" applyAlignment="1">
      <alignment horizontal="center" vertical="top"/>
    </xf>
    <xf numFmtId="0" fontId="33" fillId="0" borderId="97" xfId="0" applyFont="1" applyBorder="1" applyAlignment="1">
      <alignment horizontal="left"/>
    </xf>
    <xf numFmtId="0" fontId="33" fillId="0" borderId="98" xfId="0" applyFont="1" applyBorder="1" applyAlignment="1">
      <alignment horizontal="left"/>
    </xf>
    <xf numFmtId="0" fontId="33" fillId="0" borderId="84" xfId="0" applyFont="1" applyBorder="1" applyAlignment="1">
      <alignment horizontal="left"/>
    </xf>
    <xf numFmtId="0" fontId="33" fillId="0" borderId="43" xfId="0" applyFont="1" applyBorder="1" applyAlignment="1">
      <alignment horizontal="left"/>
    </xf>
    <xf numFmtId="0" fontId="33" fillId="0" borderId="8" xfId="0" applyFont="1" applyBorder="1" applyAlignment="1">
      <alignment horizontal="left"/>
    </xf>
    <xf numFmtId="0" fontId="33" fillId="5" borderId="88" xfId="0" applyFont="1" applyFill="1" applyBorder="1" applyAlignment="1">
      <alignment horizontal="left" vertical="top" wrapText="1"/>
    </xf>
    <xf numFmtId="0" fontId="33" fillId="0" borderId="7" xfId="0" applyFont="1" applyBorder="1" applyAlignment="1">
      <alignment vertical="top" wrapText="1"/>
    </xf>
    <xf numFmtId="0" fontId="33" fillId="0" borderId="43" xfId="0" applyFont="1" applyBorder="1" applyAlignment="1">
      <alignment vertical="top" wrapText="1"/>
    </xf>
    <xf numFmtId="0" fontId="33" fillId="0" borderId="8" xfId="0" applyFont="1" applyBorder="1" applyAlignment="1">
      <alignment vertical="top" wrapText="1"/>
    </xf>
    <xf numFmtId="0" fontId="33" fillId="0" borderId="85" xfId="0" applyFont="1" applyBorder="1" applyAlignment="1">
      <alignment horizontal="left" wrapText="1"/>
    </xf>
    <xf numFmtId="0" fontId="33" fillId="0" borderId="74" xfId="0" applyFont="1" applyBorder="1" applyAlignment="1">
      <alignment horizontal="left" wrapText="1"/>
    </xf>
    <xf numFmtId="0" fontId="33" fillId="0" borderId="75" xfId="0" applyFont="1" applyBorder="1" applyAlignment="1">
      <alignment horizontal="left" wrapText="1"/>
    </xf>
    <xf numFmtId="0" fontId="6" fillId="0" borderId="9"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6" xfId="0" applyFont="1" applyBorder="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14" fillId="4" borderId="58" xfId="3" applyFont="1" applyFill="1" applyBorder="1" applyAlignment="1">
      <alignment horizontal="center" vertical="center"/>
    </xf>
    <xf numFmtId="0" fontId="1" fillId="0" borderId="6" xfId="0" applyFont="1" applyBorder="1" applyAlignment="1">
      <alignment horizontal="left" wrapText="1"/>
    </xf>
    <xf numFmtId="0" fontId="1" fillId="0" borderId="17" xfId="0" applyFont="1" applyBorder="1" applyAlignment="1">
      <alignment horizontal="left" vertical="center" wrapText="1"/>
    </xf>
    <xf numFmtId="0" fontId="1" fillId="0" borderId="28" xfId="0" applyFont="1" applyBorder="1" applyAlignment="1">
      <alignment horizontal="left" vertical="center" wrapText="1"/>
    </xf>
    <xf numFmtId="0" fontId="1" fillId="0" borderId="22" xfId="0" applyFont="1" applyBorder="1" applyAlignment="1">
      <alignment horizontal="left" vertical="center" wrapText="1"/>
    </xf>
    <xf numFmtId="0" fontId="1" fillId="0" borderId="21" xfId="0" applyFont="1" applyBorder="1" applyAlignment="1">
      <alignment horizontal="left" vertical="center" wrapText="1"/>
    </xf>
    <xf numFmtId="0" fontId="6" fillId="0" borderId="32" xfId="0" applyFont="1" applyBorder="1" applyAlignment="1">
      <alignment horizontal="center" vertical="center" wrapText="1"/>
    </xf>
    <xf numFmtId="0" fontId="6" fillId="0" borderId="33" xfId="0" applyFont="1" applyBorder="1" applyAlignment="1">
      <alignment horizontal="center" vertical="center" wrapText="1"/>
    </xf>
    <xf numFmtId="0" fontId="6" fillId="0" borderId="36" xfId="0" applyFont="1" applyBorder="1" applyAlignment="1">
      <alignment horizontal="center" vertical="center" wrapText="1"/>
    </xf>
    <xf numFmtId="0" fontId="11" fillId="0" borderId="60" xfId="1" applyBorder="1" applyAlignment="1" applyProtection="1">
      <alignment horizontal="left" vertical="center"/>
    </xf>
    <xf numFmtId="0" fontId="1" fillId="0" borderId="36" xfId="0" applyFont="1" applyBorder="1" applyAlignment="1">
      <alignment horizontal="left" vertical="center" wrapText="1"/>
    </xf>
    <xf numFmtId="0" fontId="1" fillId="0" borderId="29" xfId="0" applyFont="1" applyBorder="1" applyAlignment="1">
      <alignment horizontal="left" vertical="top" wrapText="1"/>
    </xf>
    <xf numFmtId="0" fontId="1" fillId="0" borderId="30" xfId="0" applyFont="1" applyBorder="1" applyAlignment="1">
      <alignment horizontal="left" vertical="top"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42" xfId="0" applyFont="1" applyBorder="1" applyAlignment="1">
      <alignment horizontal="center" vertical="top" wrapText="1"/>
    </xf>
    <xf numFmtId="0" fontId="30" fillId="9" borderId="56" xfId="0" applyFont="1" applyFill="1" applyBorder="1" applyAlignment="1">
      <alignment horizontal="center"/>
    </xf>
    <xf numFmtId="0" fontId="30" fillId="9" borderId="7" xfId="0" applyFont="1" applyFill="1" applyBorder="1" applyAlignment="1">
      <alignment horizontal="center"/>
    </xf>
    <xf numFmtId="0" fontId="30" fillId="9" borderId="43" xfId="0" applyFont="1" applyFill="1" applyBorder="1" applyAlignment="1">
      <alignment horizontal="center"/>
    </xf>
    <xf numFmtId="0" fontId="30" fillId="9" borderId="8" xfId="0" applyFont="1" applyFill="1" applyBorder="1" applyAlignment="1">
      <alignment horizontal="center"/>
    </xf>
    <xf numFmtId="0" fontId="29" fillId="0" borderId="81" xfId="0" applyFont="1" applyBorder="1" applyAlignment="1">
      <alignment horizontal="left"/>
    </xf>
    <xf numFmtId="0" fontId="29" fillId="0" borderId="82" xfId="0" applyFont="1" applyBorder="1" applyAlignment="1">
      <alignment horizontal="left"/>
    </xf>
    <xf numFmtId="0" fontId="31" fillId="0" borderId="7" xfId="0" applyFont="1" applyBorder="1" applyAlignment="1">
      <alignment horizontal="center"/>
    </xf>
    <xf numFmtId="0" fontId="31" fillId="0" borderId="43" xfId="0" applyFont="1" applyBorder="1" applyAlignment="1">
      <alignment horizontal="center"/>
    </xf>
    <xf numFmtId="0" fontId="31" fillId="0" borderId="8" xfId="0" applyFont="1" applyBorder="1" applyAlignment="1">
      <alignment horizontal="center"/>
    </xf>
    <xf numFmtId="0" fontId="29" fillId="0" borderId="7" xfId="0" applyFont="1" applyBorder="1" applyAlignment="1">
      <alignment horizontal="center"/>
    </xf>
    <xf numFmtId="0" fontId="29" fillId="0" borderId="43" xfId="0" applyFont="1" applyBorder="1" applyAlignment="1">
      <alignment horizontal="center"/>
    </xf>
    <xf numFmtId="0" fontId="29" fillId="0" borderId="8" xfId="0" applyFont="1" applyBorder="1" applyAlignment="1">
      <alignment horizontal="center"/>
    </xf>
    <xf numFmtId="0" fontId="29" fillId="0" borderId="56" xfId="0" applyFont="1" applyBorder="1" applyAlignment="1">
      <alignment horizontal="center"/>
    </xf>
    <xf numFmtId="0" fontId="29" fillId="0" borderId="56" xfId="0" applyFont="1" applyBorder="1" applyAlignment="1">
      <alignment horizontal="center" vertical="top"/>
    </xf>
    <xf numFmtId="0" fontId="30" fillId="9" borderId="80" xfId="0" applyFont="1" applyFill="1" applyBorder="1" applyAlignment="1">
      <alignment horizontal="center"/>
    </xf>
    <xf numFmtId="0" fontId="30" fillId="9" borderId="81" xfId="0" applyFont="1" applyFill="1" applyBorder="1" applyAlignment="1">
      <alignment horizontal="center"/>
    </xf>
    <xf numFmtId="0" fontId="30" fillId="9" borderId="82" xfId="0" applyFont="1" applyFill="1" applyBorder="1" applyAlignment="1">
      <alignment horizontal="center"/>
    </xf>
    <xf numFmtId="0" fontId="29" fillId="0" borderId="84" xfId="0" applyFont="1" applyBorder="1" applyAlignment="1">
      <alignment horizontal="left" wrapText="1"/>
    </xf>
    <xf numFmtId="0" fontId="29" fillId="0" borderId="43" xfId="0" applyFont="1" applyBorder="1" applyAlignment="1">
      <alignment horizontal="left" wrapText="1"/>
    </xf>
    <xf numFmtId="0" fontId="29" fillId="0" borderId="8" xfId="0" applyFont="1" applyBorder="1" applyAlignment="1">
      <alignment horizontal="left" wrapText="1"/>
    </xf>
    <xf numFmtId="0" fontId="29" fillId="0" borderId="7" xfId="0" applyFont="1" applyBorder="1" applyAlignment="1">
      <alignment horizontal="center" vertical="top"/>
    </xf>
    <xf numFmtId="0" fontId="29" fillId="0" borderId="8" xfId="0" applyFont="1" applyBorder="1" applyAlignment="1">
      <alignment horizontal="center" vertical="top"/>
    </xf>
    <xf numFmtId="0" fontId="30" fillId="2" borderId="7" xfId="0" applyFont="1" applyFill="1" applyBorder="1" applyAlignment="1">
      <alignment horizontal="left" vertical="top"/>
    </xf>
    <xf numFmtId="0" fontId="30" fillId="2" borderId="43" xfId="0" applyFont="1" applyFill="1" applyBorder="1" applyAlignment="1">
      <alignment horizontal="left" vertical="top"/>
    </xf>
    <xf numFmtId="0" fontId="30" fillId="2" borderId="8" xfId="0" applyFont="1" applyFill="1" applyBorder="1" applyAlignment="1">
      <alignment horizontal="left" vertical="top"/>
    </xf>
    <xf numFmtId="0" fontId="30" fillId="2" borderId="73" xfId="0" applyFont="1" applyFill="1" applyBorder="1" applyAlignment="1">
      <alignment horizontal="left" vertical="top"/>
    </xf>
    <xf numFmtId="0" fontId="30" fillId="2" borderId="74" xfId="0" applyFont="1" applyFill="1" applyBorder="1" applyAlignment="1">
      <alignment horizontal="left" vertical="top"/>
    </xf>
    <xf numFmtId="0" fontId="30" fillId="2" borderId="58" xfId="0" applyFont="1" applyFill="1" applyBorder="1" applyAlignment="1">
      <alignment horizontal="left" vertical="top"/>
    </xf>
    <xf numFmtId="0" fontId="29" fillId="0" borderId="81" xfId="0" applyFont="1" applyBorder="1" applyAlignment="1">
      <alignment horizontal="left" vertical="top" wrapText="1"/>
    </xf>
    <xf numFmtId="0" fontId="29" fillId="0" borderId="82" xfId="0" applyFont="1" applyBorder="1" applyAlignment="1">
      <alignment horizontal="left" vertical="top" wrapText="1"/>
    </xf>
    <xf numFmtId="0" fontId="29" fillId="0" borderId="7" xfId="0" applyFont="1" applyBorder="1" applyAlignment="1">
      <alignment vertical="top"/>
    </xf>
    <xf numFmtId="0" fontId="29" fillId="0" borderId="43" xfId="0" applyFont="1" applyBorder="1" applyAlignment="1">
      <alignment vertical="top"/>
    </xf>
    <xf numFmtId="0" fontId="29" fillId="0" borderId="8" xfId="0" applyFont="1" applyBorder="1" applyAlignment="1">
      <alignment vertical="top"/>
    </xf>
    <xf numFmtId="0" fontId="29" fillId="0" borderId="7" xfId="0" applyFont="1" applyBorder="1"/>
    <xf numFmtId="0" fontId="29" fillId="0" borderId="43" xfId="0" applyFont="1" applyBorder="1"/>
    <xf numFmtId="0" fontId="29" fillId="0" borderId="8" xfId="0" applyFont="1" applyBorder="1"/>
    <xf numFmtId="0" fontId="6" fillId="0" borderId="46" xfId="0" applyFont="1" applyBorder="1" applyAlignment="1">
      <alignment horizontal="center" vertical="center" wrapText="1"/>
    </xf>
  </cellXfs>
  <cellStyles count="23">
    <cellStyle name="Comma" xfId="2" builtinId="3"/>
    <cellStyle name="Comma 2" xfId="7" xr:uid="{BDD4B34D-0D18-41DE-ABFF-E0542234A12A}"/>
    <cellStyle name="Comma 2 2" xfId="14" xr:uid="{513172EA-C963-4D0F-838B-002BFC2B7CBE}"/>
    <cellStyle name="Comma 2 3" xfId="15" xr:uid="{EAE3DD23-DD74-422A-BA1E-94B24A3FC75D}"/>
    <cellStyle name="Comma 2 4" xfId="16" xr:uid="{0A7B279F-67A7-41DA-BD66-911653951DEB}"/>
    <cellStyle name="Comma 2 5" xfId="20" xr:uid="{B46B7AC1-D1B9-49BF-9B49-56EF71C23DC9}"/>
    <cellStyle name="Comma 2 6" xfId="10" xr:uid="{613F75AA-3B88-4B7D-A60C-4F241F3B3E2C}"/>
    <cellStyle name="Comma 3" xfId="9" xr:uid="{B10964AB-E62A-4E2A-AAAE-830F66E850C1}"/>
    <cellStyle name="Comma 3 2" xfId="22" xr:uid="{1DE13A45-F913-45E7-A841-69CC5654AC38}"/>
    <cellStyle name="Comma 4" xfId="4" xr:uid="{00000000-0005-0000-0000-000001000000}"/>
    <cellStyle name="Comma 4 2" xfId="8" xr:uid="{70F2B0CB-D012-4449-8AE8-F5DBDD9E4110}"/>
    <cellStyle name="Comma 4 2 2" xfId="21" xr:uid="{ABB13FA0-A11A-4D9D-B466-BE2CFF80B735}"/>
    <cellStyle name="Comma 4 3" xfId="18" xr:uid="{5E961C61-1F29-4B59-BA35-D3D6F17275E4}"/>
    <cellStyle name="Comma 5" xfId="17" xr:uid="{C8597043-CD52-467A-B303-AC0C3ED0FAE8}"/>
    <cellStyle name="Hyperlink" xfId="1" builtinId="8"/>
    <cellStyle name="Hyperlink 2" xfId="5" xr:uid="{00000000-0005-0000-0000-000003000000}"/>
    <cellStyle name="Hyperlink 2 2" xfId="19" xr:uid="{380B4926-E9EA-46A7-8900-75D0C5811ADE}"/>
    <cellStyle name="Hyperlink 2 3" xfId="13" xr:uid="{45EB627A-54AC-4732-B7C9-30F3A301ECFB}"/>
    <cellStyle name="Normal" xfId="0" builtinId="0"/>
    <cellStyle name="Normal 2" xfId="11" xr:uid="{88536AE4-316A-46D3-821B-7EE84DA8A3C1}"/>
    <cellStyle name="Normal 3" xfId="12" xr:uid="{690B69C8-4348-4CCE-B98E-7FBDFF686774}"/>
    <cellStyle name="Normal_B S in Rs. dec 2001" xfId="3" xr:uid="{00000000-0005-0000-0000-000005000000}"/>
    <cellStyle name="Percent" xfId="6" builtinId="5"/>
  </cellStyles>
  <dxfs count="0"/>
  <tableStyles count="0" defaultTableStyle="TableStyleMedium2" defaultPivotStyle="PivotStyleMedium9"/>
  <colors>
    <mruColors>
      <color rgb="FFFFFF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ycloudex2ultra\rajaandmat_workings\Data\Rajandmat\George%20&amp;%20Co\Statutory%20Audit\2016-17\Financials\Financials%20%20George%20&amp;%20Co%202016-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ement of TI"/>
      <sheetName val="annexue TI"/>
      <sheetName val="BS"/>
      <sheetName val="A0"/>
      <sheetName val="PL"/>
      <sheetName val="Notes"/>
      <sheetName val="Note 7"/>
      <sheetName val="Lease"/>
      <sheetName val="Books depr"/>
      <sheetName val="Depreciation"/>
      <sheetName val="A07"/>
      <sheetName val="workings"/>
      <sheetName val="TB"/>
      <sheetName val="TBC"/>
      <sheetName val="DTA"/>
      <sheetName val="43B"/>
      <sheetName val="Deprn summary as per Books"/>
    </sheetNames>
    <sheetDataSet>
      <sheetData sheetId="0" refreshError="1"/>
      <sheetData sheetId="1" refreshError="1"/>
      <sheetData sheetId="2" refreshError="1"/>
      <sheetData sheetId="3" refreshError="1"/>
      <sheetData sheetId="4" refreshError="1"/>
      <sheetData sheetId="5">
        <row r="13">
          <cell r="B13" t="str">
            <v>Particulars</v>
          </cell>
          <cell r="C13" t="str">
            <v>As at 
31 March 2017</v>
          </cell>
        </row>
        <row r="14">
          <cell r="B14" t="str">
            <v>(i) Secured loans from banks and financial institutions:</v>
          </cell>
          <cell r="C14">
            <v>0</v>
          </cell>
        </row>
        <row r="15">
          <cell r="B15" t="str">
            <v>a. Long term</v>
          </cell>
          <cell r="C15">
            <v>17038287.370000001</v>
          </cell>
        </row>
        <row r="16">
          <cell r="B16" t="str">
            <v>Vehicle loans</v>
          </cell>
          <cell r="C16">
            <v>17038287.370000001</v>
          </cell>
        </row>
        <row r="17">
          <cell r="B17" t="str">
            <v>b. Due for repayment within one year from the date of the Balance Sheet</v>
          </cell>
          <cell r="C17">
            <v>15512989.740000002</v>
          </cell>
        </row>
        <row r="18">
          <cell r="B18" t="str">
            <v>Vehicle loans</v>
          </cell>
          <cell r="C18">
            <v>15512989.740000002</v>
          </cell>
        </row>
        <row r="19">
          <cell r="B19" t="str">
            <v>Working capital loans</v>
          </cell>
          <cell r="C19">
            <v>236075996.66</v>
          </cell>
        </row>
        <row r="20">
          <cell r="B20" t="str">
            <v>Channel finance</v>
          </cell>
          <cell r="C20">
            <v>0</v>
          </cell>
        </row>
        <row r="21">
          <cell r="B21" t="str">
            <v>Total (i)</v>
          </cell>
          <cell r="C21">
            <v>268627273.76999998</v>
          </cell>
        </row>
        <row r="22">
          <cell r="B22" t="str">
            <v>(ii)  Unsecured</v>
          </cell>
          <cell r="C22">
            <v>2644000</v>
          </cell>
        </row>
        <row r="23">
          <cell r="B23" t="str">
            <v>Kuri loans</v>
          </cell>
          <cell r="C23">
            <v>2644000</v>
          </cell>
        </row>
        <row r="24">
          <cell r="B24" t="str">
            <v>Total (i) + (ii)</v>
          </cell>
          <cell r="C24">
            <v>271271273.76999998</v>
          </cell>
        </row>
        <row r="26">
          <cell r="B26" t="str">
            <v>SUNDRY CREDITORS</v>
          </cell>
          <cell r="C26" t="str">
            <v>As at 31 March 2017</v>
          </cell>
        </row>
        <row r="27">
          <cell r="B27" t="str">
            <v>Particulars</v>
          </cell>
          <cell r="C27" t="str">
            <v>As at 
31 March 2017</v>
          </cell>
        </row>
        <row r="28">
          <cell r="B28" t="str">
            <v>For goods supplied</v>
          </cell>
          <cell r="C28">
            <v>264435974.98000002</v>
          </cell>
        </row>
        <row r="29">
          <cell r="B29" t="str">
            <v>Others</v>
          </cell>
          <cell r="C29">
            <v>11314266.620000001</v>
          </cell>
        </row>
        <row r="30">
          <cell r="B30" t="str">
            <v>Total</v>
          </cell>
          <cell r="C30">
            <v>275750241.60000002</v>
          </cell>
        </row>
        <row r="32">
          <cell r="B32" t="str">
            <v>STATUTORY LIABILITIES:</v>
          </cell>
          <cell r="C32" t="str">
            <v>As at 31 March 2017</v>
          </cell>
        </row>
        <row r="33">
          <cell r="B33" t="str">
            <v>Particulars</v>
          </cell>
          <cell r="C33" t="str">
            <v>As at 
31 March 2017</v>
          </cell>
        </row>
        <row r="34">
          <cell r="B34" t="str">
            <v>Building Tax Payable</v>
          </cell>
          <cell r="C34">
            <v>372150</v>
          </cell>
        </row>
        <row r="35">
          <cell r="B35" t="str">
            <v>Employees welfare funds</v>
          </cell>
          <cell r="C35">
            <v>483431</v>
          </cell>
        </row>
        <row r="36">
          <cell r="B36" t="str">
            <v>Excise duty</v>
          </cell>
          <cell r="C36">
            <v>3526</v>
          </cell>
        </row>
        <row r="37">
          <cell r="B37" t="str">
            <v xml:space="preserve">Income tax </v>
          </cell>
          <cell r="C37">
            <v>0</v>
          </cell>
        </row>
        <row r="38">
          <cell r="B38" t="str">
            <v>Profession tax</v>
          </cell>
          <cell r="C38">
            <v>0</v>
          </cell>
        </row>
        <row r="39">
          <cell r="B39" t="str">
            <v>Service tax</v>
          </cell>
          <cell r="C39">
            <v>11347</v>
          </cell>
        </row>
        <row r="40">
          <cell r="B40" t="str">
            <v>Kerala VAT &amp; CST</v>
          </cell>
          <cell r="C40">
            <v>8225593.5099999998</v>
          </cell>
        </row>
        <row r="41">
          <cell r="B41" t="str">
            <v>Tamilnadu VAT &amp; CST</v>
          </cell>
          <cell r="C41">
            <v>455072</v>
          </cell>
        </row>
        <row r="42">
          <cell r="B42" t="str">
            <v>Tax deducted at source (Income tax)</v>
          </cell>
          <cell r="C42">
            <v>356249</v>
          </cell>
        </row>
        <row r="43">
          <cell r="B43" t="str">
            <v>Tax deducted at source (KVAT)</v>
          </cell>
          <cell r="C43">
            <v>132969</v>
          </cell>
        </row>
        <row r="44">
          <cell r="B44" t="str">
            <v>Total</v>
          </cell>
          <cell r="C44">
            <v>10040337.51</v>
          </cell>
        </row>
        <row r="45">
          <cell r="B45" t="str">
            <v>OTHER CURRENT LIABILITIES</v>
          </cell>
        </row>
        <row r="46">
          <cell r="B46" t="str">
            <v>OTHER CURRENT LIABILITIES</v>
          </cell>
          <cell r="C46" t="str">
            <v>As at 31 March 2017</v>
          </cell>
        </row>
        <row r="47">
          <cell r="B47" t="str">
            <v>Particulars</v>
          </cell>
          <cell r="C47" t="str">
            <v>As at 
31 March 2017</v>
          </cell>
        </row>
        <row r="48">
          <cell r="B48" t="str">
            <v>Interest accrued but not due</v>
          </cell>
          <cell r="C48">
            <v>234136</v>
          </cell>
        </row>
        <row r="49">
          <cell r="B49" t="str">
            <v>Advance from customers</v>
          </cell>
          <cell r="C49">
            <v>3246088.92</v>
          </cell>
        </row>
        <row r="50">
          <cell r="B50" t="str">
            <v>Retentions</v>
          </cell>
          <cell r="C50">
            <v>187926</v>
          </cell>
        </row>
        <row r="51">
          <cell r="B51" t="str">
            <v>Expenses reimbursable to staff</v>
          </cell>
          <cell r="C51">
            <v>235406</v>
          </cell>
        </row>
        <row r="52">
          <cell r="B52" t="str">
            <v>Total</v>
          </cell>
        </row>
        <row r="55">
          <cell r="B55" t="str">
            <v>PROVISIONS</v>
          </cell>
          <cell r="C55">
            <v>0</v>
          </cell>
        </row>
        <row r="57">
          <cell r="B57" t="str">
            <v xml:space="preserve">Provision for employee benefits </v>
          </cell>
        </row>
        <row r="58">
          <cell r="B58" t="str">
            <v>Gratuity</v>
          </cell>
          <cell r="C58">
            <v>1772897</v>
          </cell>
        </row>
        <row r="72">
          <cell r="B72" t="str">
            <v>Unsecured, considered good</v>
          </cell>
        </row>
        <row r="73">
          <cell r="B73" t="str">
            <v>Deposits with statutory authorities</v>
          </cell>
          <cell r="C73">
            <v>1117335</v>
          </cell>
        </row>
        <row r="74">
          <cell r="B74" t="str">
            <v>Other deposits</v>
          </cell>
          <cell r="C74">
            <v>5713038</v>
          </cell>
        </row>
        <row r="75">
          <cell r="B75" t="str">
            <v>Advance to creditors</v>
          </cell>
          <cell r="C75">
            <v>32735679.289999999</v>
          </cell>
        </row>
        <row r="76">
          <cell r="B76" t="str">
            <v>Advance for capital expenditure</v>
          </cell>
          <cell r="C76">
            <v>946636</v>
          </cell>
        </row>
        <row r="77">
          <cell r="B77" t="str">
            <v>Duties and taxes receivable</v>
          </cell>
          <cell r="C77">
            <v>42658542.140000001</v>
          </cell>
        </row>
        <row r="78">
          <cell r="B78" t="str">
            <v>Advance to staff</v>
          </cell>
          <cell r="C78">
            <v>572576.5</v>
          </cell>
        </row>
        <row r="79">
          <cell r="B79" t="str">
            <v>Other advances</v>
          </cell>
          <cell r="C79">
            <v>2835852.74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TOSHIBA/AppData/Roaming/Category%202%20DAK/Expenditure/Expense%20Vouching.xlsx" TargetMode="External"/><Relationship Id="rId2" Type="http://schemas.openxmlformats.org/officeDocument/2006/relationships/hyperlink" Target="../../../../../../TOSHIBA/AppData/Roaming/Category%202%20DAK/Assets/01.Fixed%20assets/03.Fixed%20assets%20additions%2017-18.xlsx" TargetMode="External"/><Relationship Id="rId1" Type="http://schemas.openxmlformats.org/officeDocument/2006/relationships/hyperlink" Target="../../../../../../TOSHIBA/AppData/Roaming/Category%202%20DAK/Other%20Workings/Opening%20Balance%20Verification" TargetMode="External"/><Relationship Id="rId6" Type="http://schemas.openxmlformats.org/officeDocument/2006/relationships/printerSettings" Target="../printerSettings/printerSettings3.bin"/><Relationship Id="rId5" Type="http://schemas.openxmlformats.org/officeDocument/2006/relationships/hyperlink" Target="../../../../../../TOSHIBA/AppData/Roaming/Category%202%20DAK/Assets/01.Fixed%20assets/02.FA-IT%20Depreciation%20ann-D.xlsx" TargetMode="External"/><Relationship Id="rId4" Type="http://schemas.openxmlformats.org/officeDocument/2006/relationships/hyperlink" Target="../../../../../../TOSHIBA/AppData/Roaming/Category%202%20DAK/Assets/01.Fixed%20assets/01.FA%20Sch%20II-depreciation%2017-18.xlsx"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4000-Audit%20Execution\Misc\Monitoring" TargetMode="External"/><Relationship Id="rId13" Type="http://schemas.openxmlformats.org/officeDocument/2006/relationships/hyperlink" Target="..\3000%20-%20Communications" TargetMode="External"/><Relationship Id="rId18" Type="http://schemas.openxmlformats.org/officeDocument/2006/relationships/hyperlink" Target="..\4000-Audit%20Execution\Misc\Internal%20Controls" TargetMode="External"/><Relationship Id="rId3" Type="http://schemas.openxmlformats.org/officeDocument/2006/relationships/hyperlink" Target="2020.02%20Understanding%20the%20entity's%20Internal%20Control.xlsx" TargetMode="External"/><Relationship Id="rId7" Type="http://schemas.openxmlformats.org/officeDocument/2006/relationships/hyperlink" Target="..\4000-Audit%20Execution" TargetMode="External"/><Relationship Id="rId12" Type="http://schemas.openxmlformats.org/officeDocument/2006/relationships/hyperlink" Target="2020.01%20Understanding%20the%20entity.xlsx" TargetMode="External"/><Relationship Id="rId17" Type="http://schemas.openxmlformats.org/officeDocument/2006/relationships/hyperlink" Target="..\4000-Audit%20Execution\Misc\Internal%20Controls\Internal%20Financial%20controls%20over%20FR.xlsx" TargetMode="External"/><Relationship Id="rId2" Type="http://schemas.openxmlformats.org/officeDocument/2006/relationships/hyperlink" Target="2020.02%20Understanding%20the%20entity's%20Internal%20Control.xlsx" TargetMode="External"/><Relationship Id="rId16" Type="http://schemas.openxmlformats.org/officeDocument/2006/relationships/hyperlink" Target="2020.01%20RAAP-Entitylevel-Understanding%20the%20entity.xlsx" TargetMode="External"/><Relationship Id="rId1" Type="http://schemas.openxmlformats.org/officeDocument/2006/relationships/hyperlink" Target="2020.02%20Understanding%20the%20entity's%20Internal%20Control.xlsx" TargetMode="External"/><Relationship Id="rId6" Type="http://schemas.openxmlformats.org/officeDocument/2006/relationships/hyperlink" Target="..\1000%20-%20Preconditions%20for%20audit\SA%20200%20WPs\1011%20MoM%20-%20Ethical%20requirements.docx" TargetMode="External"/><Relationship Id="rId11" Type="http://schemas.openxmlformats.org/officeDocument/2006/relationships/hyperlink" Target="2020.01%20Understanding%20the%20entity.xlsx" TargetMode="External"/><Relationship Id="rId5" Type="http://schemas.openxmlformats.org/officeDocument/2006/relationships/hyperlink" Target="2010%20Audit%20Strategy.xlsx" TargetMode="External"/><Relationship Id="rId15" Type="http://schemas.openxmlformats.org/officeDocument/2006/relationships/hyperlink" Target="2020.01%20RAAP-Entitylevel-Understanding%20the%20entity.xlsx" TargetMode="External"/><Relationship Id="rId10" Type="http://schemas.openxmlformats.org/officeDocument/2006/relationships/hyperlink" Target="SA%20560%20-%20Subsequent%20events.docx" TargetMode="External"/><Relationship Id="rId4" Type="http://schemas.openxmlformats.org/officeDocument/2006/relationships/hyperlink" Target="2020.02%20Understanding%20the%20entity's%20Internal%20Control.xlsx" TargetMode="External"/><Relationship Id="rId9" Type="http://schemas.openxmlformats.org/officeDocument/2006/relationships/hyperlink" Target="2020%20Audit%20Plan.xlsx" TargetMode="External"/><Relationship Id="rId14" Type="http://schemas.openxmlformats.org/officeDocument/2006/relationships/hyperlink" Target="2020.01%20RAAP-Entitylevel-Understanding%20the%20entity.xls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2020.02%20Understanding%20the%20entity's%20Internal%20Control.xlsx" TargetMode="External"/><Relationship Id="rId2" Type="http://schemas.openxmlformats.org/officeDocument/2006/relationships/hyperlink" Target="2020.02%20Understanding%20the%20entity's%20Internal%20Control.xlsx" TargetMode="External"/><Relationship Id="rId1" Type="http://schemas.openxmlformats.org/officeDocument/2006/relationships/hyperlink" Target="2020.02%20Understanding%20the%20entity's%20Internal%20Control.xlsx" TargetMode="External"/><Relationship Id="rId6" Type="http://schemas.openxmlformats.org/officeDocument/2006/relationships/printerSettings" Target="../printerSettings/printerSettings4.bin"/><Relationship Id="rId5" Type="http://schemas.openxmlformats.org/officeDocument/2006/relationships/hyperlink" Target="2020.01%20Understanding%20the%20entity.xlsx" TargetMode="External"/><Relationship Id="rId4" Type="http://schemas.openxmlformats.org/officeDocument/2006/relationships/hyperlink" Target="2020.02%20Understanding%20the%20entity's%20Internal%20Control.xlsx"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hyperlink" Target="../../../../../../TOSHIBA/AppData/Roaming/Category%202%20DAK/Liabilities/Statutory%20Payables/05.Payroll%20Working17-18/consolidated%20payroll%20workings%202017-18.xls" TargetMode="External"/><Relationship Id="rId2" Type="http://schemas.openxmlformats.org/officeDocument/2006/relationships/hyperlink" Target="../../../../../../TOSHIBA/AppData/Roaming/Microsoft/5200%20Salary/5220.01%20PF%20&amp;%20ESI%20recomputation.xlsx" TargetMode="External"/><Relationship Id="rId1" Type="http://schemas.openxmlformats.org/officeDocument/2006/relationships/hyperlink" Target="../../../../../../TOSHIBA/AppData/Roaming/Microsoft/5200%20Salary/5210.02%20Salary%20Consolidation.xlsx" TargetMode="External"/><Relationship Id="rId5" Type="http://schemas.openxmlformats.org/officeDocument/2006/relationships/printerSettings" Target="../printerSettings/printerSettings9.bin"/><Relationship Id="rId4" Type="http://schemas.openxmlformats.org/officeDocument/2006/relationships/hyperlink" Target="../../../../../../TOSHIBA/AppData/Roaming/Category%202%20DAK/Liabilities/Statutory%20Payables/05.Payroll%20Working17-18/consolidated%20payroll%20workings%202017-18.xl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TOSHIBA/AppData/Roaming/Category%202%20DAK/Assets/Current%20Assets/Inventory"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TOSHIBA/AppData/Roaming/Category%202%20DAK/Assets/Current%20Assets/Bank/Fixed%20Deposits.xlsx" TargetMode="External"/><Relationship Id="rId2" Type="http://schemas.openxmlformats.org/officeDocument/2006/relationships/hyperlink" Target="../../../../../../TOSHIBA/AppData/Roaming/Category%202%20DAK/Assets/Current%20Assets/Bank/Bank%20Confirmation" TargetMode="External"/><Relationship Id="rId1" Type="http://schemas.openxmlformats.org/officeDocument/2006/relationships/hyperlink" Target="../../../../../../TOSHIBA/AppData/Roaming/Category%202%20DAK/Assets/Current%20Assets/Bank/DAK%20BRS%2017-18.xlsx" TargetMode="External"/><Relationship Id="rId4"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3" Type="http://schemas.openxmlformats.org/officeDocument/2006/relationships/hyperlink" Target="../../../../../../TOSHIBA/AppData/Roaming/Microsoft/Excel/Balance%20Sheet%20Items/Kuri/Loan%20against%20Chits.xlsx" TargetMode="External"/><Relationship Id="rId2" Type="http://schemas.openxmlformats.org/officeDocument/2006/relationships/hyperlink" Target="../../../../../../TOSHIBA/AppData/Roaming/Microsoft/Excel/Balance%20Sheet%20Items/loans/Consolidated%20loans%20from%20Banks%20&amp;%20NBFC.xlsx" TargetMode="External"/><Relationship Id="rId1" Type="http://schemas.openxmlformats.org/officeDocument/2006/relationships/hyperlink" Target="../../../../../../TOSHIBA/AppData/Roaming/Microsoft/Excel/Balance%20Sheet%20Items/loans/Lease%20workings%20G&amp;C%202016-17.xlsx" TargetMode="External"/></Relationships>
</file>

<file path=xl/worksheets/_rels/sheet32.xml.rels><?xml version="1.0" encoding="UTF-8" standalone="yes"?>
<Relationships xmlns="http://schemas.openxmlformats.org/package/2006/relationships"><Relationship Id="rId3" Type="http://schemas.openxmlformats.org/officeDocument/2006/relationships/hyperlink" Target="../../../../../../TOSHIBA/AppData/Roaming/Microsoft/Excel/Balance%20Sheet%20Items/Loans%20&amp;%20Advances/Loans&amp;Advance%20(Debit%20Balance)%202016-17.xlsx" TargetMode="External"/><Relationship Id="rId2" Type="http://schemas.openxmlformats.org/officeDocument/2006/relationships/hyperlink" Target="../../../../../../TOSHIBA/AppData/Roaming/Microsoft/Excel/Balance%20Sheet%20Items/loans/Interest%20Accrued%20but%20not%20due%20%2016-17.xlsx" TargetMode="External"/><Relationship Id="rId1" Type="http://schemas.openxmlformats.org/officeDocument/2006/relationships/hyperlink" Target="../../../../../../TOSHIBA/AppData/Roaming/Microsoft/Excel/Balance%20Sheet%20Items/Sundry%20Creditors/Sundry%20Creditors%20%20-%20(Credit%20balance)%202016-17.xlsx" TargetMode="External"/><Relationship Id="rId4"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hyperlink" Target="../../../../../../TOSHIBA/AppData/Roaming/Microsoft/Excel/Balance%20Sheet%20Items/Gratuity/Actuarial%20Valuation%20report.pdf"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TOSHIBA/AppData/Roaming/Microsoft/Excel/Balance%20Sheet%20Items/Loans%20&amp;%20Advances/Loans&amp;Advance%20(Debit%20Balance)%202016-17.xlsx" TargetMode="External"/><Relationship Id="rId2" Type="http://schemas.openxmlformats.org/officeDocument/2006/relationships/hyperlink" Target="../../../../../../TOSHIBA/AppData/Roaming/Microsoft/Excel/Balance%20Sheet%20Items/Loans%20&amp;%20Advances/Loans&amp;Advance%20(Debit%20Balance)%202016-17.xlsx" TargetMode="External"/><Relationship Id="rId1" Type="http://schemas.openxmlformats.org/officeDocument/2006/relationships/hyperlink" Target="../../../../../../TOSHIBA/AppData/Roaming/Microsoft/Excel/Balance%20Sheet%20Items/Loans%20&amp;%20Advances/Loans&amp;Advance%20(Debit%20Balance)%202016-17.xlsx" TargetMode="External"/><Relationship Id="rId6" Type="http://schemas.openxmlformats.org/officeDocument/2006/relationships/hyperlink" Target="../../../../../../TOSHIBA/AppData/Roaming/Microsoft/Excel/Balance%20Sheet%20Items/Sundry%20Creditors/Sundry%20Creditors%20%20-%20(Advances)%202016-17.xlsx" TargetMode="External"/><Relationship Id="rId5" Type="http://schemas.openxmlformats.org/officeDocument/2006/relationships/hyperlink" Target="../../../../../../TOSHIBA/AppData/Roaming/Microsoft/Excel/Balance%20Sheet%20Items/Deposites/Consolidated.xlsx" TargetMode="External"/><Relationship Id="rId4" Type="http://schemas.openxmlformats.org/officeDocument/2006/relationships/hyperlink" Target="../../../../../../TOSHIBA/AppData/Roaming/Microsoft/Excel/Balance%20Sheet%20Items/Loans%20&amp;%20Advances/Loans&amp;Advance%20(Debit%20Balance)%202016-17.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3"/>
  <sheetViews>
    <sheetView showGridLines="0" workbookViewId="0">
      <selection activeCell="A11" sqref="A11"/>
    </sheetView>
  </sheetViews>
  <sheetFormatPr defaultRowHeight="14.4" x14ac:dyDescent="0.3"/>
  <cols>
    <col min="1" max="1" width="17.5546875" bestFit="1" customWidth="1"/>
    <col min="2" max="2" width="133.5546875" customWidth="1"/>
    <col min="3" max="3" width="22.109375" customWidth="1"/>
  </cols>
  <sheetData>
    <row r="2" spans="1:5" x14ac:dyDescent="0.3">
      <c r="A2" s="303" t="s">
        <v>545</v>
      </c>
      <c r="B2" s="303" t="s">
        <v>1052</v>
      </c>
      <c r="C2" s="303" t="s">
        <v>1055</v>
      </c>
    </row>
    <row r="3" spans="1:5" ht="27" x14ac:dyDescent="0.3">
      <c r="A3" s="298" t="s">
        <v>1051</v>
      </c>
      <c r="B3" s="299" t="s">
        <v>826</v>
      </c>
      <c r="C3" s="300" t="s">
        <v>1054</v>
      </c>
      <c r="D3" s="297"/>
    </row>
    <row r="4" spans="1:5" ht="14.4" customHeight="1" x14ac:dyDescent="0.3">
      <c r="A4" s="298" t="s">
        <v>517</v>
      </c>
      <c r="B4" s="301" t="s">
        <v>811</v>
      </c>
      <c r="C4" s="304" t="s">
        <v>1056</v>
      </c>
      <c r="D4" s="267"/>
      <c r="E4" s="267"/>
    </row>
    <row r="5" spans="1:5" s="297" customFormat="1" x14ac:dyDescent="0.3">
      <c r="A5" s="302" t="s">
        <v>517</v>
      </c>
      <c r="B5" s="299" t="s">
        <v>897</v>
      </c>
      <c r="C5" s="304" t="s">
        <v>1056</v>
      </c>
    </row>
    <row r="6" spans="1:5" x14ac:dyDescent="0.3">
      <c r="A6" s="298" t="s">
        <v>63</v>
      </c>
      <c r="B6" s="301" t="s">
        <v>794</v>
      </c>
      <c r="C6" s="304" t="s">
        <v>1056</v>
      </c>
    </row>
    <row r="7" spans="1:5" ht="30" customHeight="1" x14ac:dyDescent="0.3">
      <c r="A7" s="298" t="s">
        <v>1053</v>
      </c>
      <c r="B7" s="299" t="s">
        <v>806</v>
      </c>
      <c r="C7" s="304" t="s">
        <v>1056</v>
      </c>
    </row>
    <row r="8" spans="1:5" x14ac:dyDescent="0.3">
      <c r="A8" s="298" t="s">
        <v>647</v>
      </c>
      <c r="B8" s="299" t="s">
        <v>802</v>
      </c>
      <c r="C8" s="304" t="s">
        <v>1056</v>
      </c>
    </row>
    <row r="9" spans="1:5" x14ac:dyDescent="0.3">
      <c r="A9" s="298" t="s">
        <v>530</v>
      </c>
      <c r="B9" s="299" t="s">
        <v>809</v>
      </c>
      <c r="C9" s="304" t="s">
        <v>1056</v>
      </c>
    </row>
    <row r="10" spans="1:5" x14ac:dyDescent="0.3">
      <c r="A10" s="298" t="s">
        <v>530</v>
      </c>
      <c r="B10" s="299" t="s">
        <v>812</v>
      </c>
      <c r="C10" s="304" t="s">
        <v>1056</v>
      </c>
    </row>
    <row r="11" spans="1:5" x14ac:dyDescent="0.3">
      <c r="A11" s="298"/>
    </row>
    <row r="12" spans="1:5" x14ac:dyDescent="0.3">
      <c r="A12" s="298"/>
    </row>
    <row r="13" spans="1:5" x14ac:dyDescent="0.3">
      <c r="A13" s="298"/>
    </row>
  </sheetData>
  <dataValidations disablePrompts="1" count="1">
    <dataValidation type="list" allowBlank="1" showInputMessage="1" showErrorMessage="1" sqref="B4 D4:E4" xr:uid="{00000000-0002-0000-0000-000000000000}">
      <formula1>INDEX($C$108:$F$115,,MATCH(#REF!,$C$90:$F$90,0))</formula1>
    </dataValidation>
  </dataValidation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7"/>
  <dimension ref="B2:P83"/>
  <sheetViews>
    <sheetView zoomScaleNormal="100" workbookViewId="0">
      <selection activeCell="E1" sqref="E1"/>
    </sheetView>
  </sheetViews>
  <sheetFormatPr defaultRowHeight="14.4" x14ac:dyDescent="0.3"/>
  <cols>
    <col min="1" max="1" width="3.6640625" customWidth="1"/>
    <col min="2" max="2" width="15.5546875" customWidth="1"/>
    <col min="3" max="4" width="69" customWidth="1"/>
    <col min="5" max="7" width="13.88671875" style="289" customWidth="1"/>
    <col min="8" max="8" width="11.109375" style="289" customWidth="1"/>
    <col min="9" max="9" width="10.33203125" style="289" customWidth="1"/>
    <col min="10" max="11" width="8.88671875" style="289"/>
    <col min="12" max="12" width="28.6640625" style="289" customWidth="1"/>
  </cols>
  <sheetData>
    <row r="2" spans="2:12" x14ac:dyDescent="0.3">
      <c r="B2" s="269" t="s">
        <v>1270</v>
      </c>
    </row>
    <row r="3" spans="2:12" x14ac:dyDescent="0.3">
      <c r="B3" s="269" t="s">
        <v>861</v>
      </c>
    </row>
    <row r="6" spans="2:12" x14ac:dyDescent="0.3">
      <c r="B6" s="269" t="s">
        <v>870</v>
      </c>
      <c r="C6" s="270"/>
      <c r="F6" s="290"/>
      <c r="G6" s="764" t="s">
        <v>544</v>
      </c>
      <c r="H6" s="764"/>
      <c r="I6" s="764"/>
      <c r="J6" s="290"/>
      <c r="K6" s="290"/>
    </row>
    <row r="7" spans="2:12" ht="26.4" x14ac:dyDescent="0.3">
      <c r="B7" s="284" t="s">
        <v>23</v>
      </c>
      <c r="C7" s="284" t="s">
        <v>31</v>
      </c>
      <c r="D7" s="284" t="s">
        <v>932</v>
      </c>
      <c r="E7" s="284" t="s">
        <v>62</v>
      </c>
      <c r="F7" s="284" t="s">
        <v>546</v>
      </c>
      <c r="G7" s="284" t="s">
        <v>547</v>
      </c>
      <c r="H7" s="284" t="s">
        <v>548</v>
      </c>
      <c r="I7" s="284" t="s">
        <v>549</v>
      </c>
      <c r="J7" s="284" t="s">
        <v>550</v>
      </c>
      <c r="K7" s="287" t="s">
        <v>551</v>
      </c>
      <c r="L7" s="284" t="s">
        <v>1003</v>
      </c>
    </row>
    <row r="8" spans="2:12" ht="30.75" customHeight="1" x14ac:dyDescent="0.3">
      <c r="B8" s="283" t="s">
        <v>190</v>
      </c>
      <c r="C8" s="271" t="s">
        <v>788</v>
      </c>
      <c r="D8" s="271" t="s">
        <v>935</v>
      </c>
      <c r="E8" s="271"/>
      <c r="F8" s="271" t="s">
        <v>997</v>
      </c>
      <c r="G8" s="271">
        <v>1</v>
      </c>
      <c r="H8" s="271">
        <v>1</v>
      </c>
      <c r="I8" s="271">
        <f>+AVERAGE(G8,H8)</f>
        <v>1</v>
      </c>
      <c r="J8" s="271"/>
      <c r="K8" s="294"/>
      <c r="L8" s="271"/>
    </row>
    <row r="9" spans="2:12" ht="39.6" x14ac:dyDescent="0.3">
      <c r="B9" s="283" t="s">
        <v>190</v>
      </c>
      <c r="C9" s="271" t="s">
        <v>789</v>
      </c>
      <c r="D9" s="271" t="s">
        <v>936</v>
      </c>
      <c r="E9" s="271"/>
      <c r="F9" s="271" t="s">
        <v>997</v>
      </c>
      <c r="G9" s="271">
        <v>1</v>
      </c>
      <c r="H9" s="271">
        <v>1</v>
      </c>
      <c r="I9" s="271">
        <f>+AVERAGE(G9,H9)</f>
        <v>1</v>
      </c>
      <c r="J9" s="271"/>
      <c r="K9" s="294"/>
      <c r="L9" s="271" t="s">
        <v>1000</v>
      </c>
    </row>
    <row r="10" spans="2:12" ht="39.6" x14ac:dyDescent="0.3">
      <c r="B10" s="283" t="s">
        <v>190</v>
      </c>
      <c r="C10" s="271" t="s">
        <v>790</v>
      </c>
      <c r="D10" s="285" t="s">
        <v>937</v>
      </c>
      <c r="E10" s="285"/>
      <c r="F10" s="271" t="s">
        <v>997</v>
      </c>
      <c r="G10" s="274"/>
      <c r="H10" s="274"/>
      <c r="I10" s="274"/>
      <c r="J10" s="271"/>
      <c r="K10" s="294"/>
      <c r="L10" s="271" t="s">
        <v>1001</v>
      </c>
    </row>
    <row r="11" spans="2:12" ht="26.4" x14ac:dyDescent="0.3">
      <c r="B11" s="283" t="s">
        <v>190</v>
      </c>
      <c r="C11" s="271" t="s">
        <v>791</v>
      </c>
      <c r="D11" s="285" t="s">
        <v>938</v>
      </c>
      <c r="E11" s="285"/>
      <c r="F11" s="271" t="s">
        <v>997</v>
      </c>
      <c r="G11" s="271">
        <v>0.5</v>
      </c>
      <c r="H11" s="271">
        <v>0.5</v>
      </c>
      <c r="I11" s="271">
        <f>+AVERAGE(G11,H11)</f>
        <v>0.5</v>
      </c>
      <c r="J11" s="271"/>
      <c r="K11" s="294"/>
      <c r="L11" s="271"/>
    </row>
    <row r="12" spans="2:12" ht="26.4" x14ac:dyDescent="0.3">
      <c r="B12" s="283" t="s">
        <v>190</v>
      </c>
      <c r="C12" s="271" t="s">
        <v>792</v>
      </c>
      <c r="D12" s="271" t="s">
        <v>939</v>
      </c>
      <c r="E12" s="271"/>
      <c r="F12" s="271" t="s">
        <v>997</v>
      </c>
      <c r="G12" s="274"/>
      <c r="H12" s="274"/>
      <c r="I12" s="274"/>
      <c r="J12" s="271"/>
      <c r="K12" s="294"/>
      <c r="L12" s="271"/>
    </row>
    <row r="13" spans="2:12" ht="40.200000000000003" x14ac:dyDescent="0.3">
      <c r="B13" s="283" t="s">
        <v>480</v>
      </c>
      <c r="C13" s="271" t="s">
        <v>877</v>
      </c>
      <c r="D13" s="286" t="s">
        <v>940</v>
      </c>
      <c r="E13" s="286"/>
      <c r="F13" s="271" t="s">
        <v>997</v>
      </c>
      <c r="G13" s="271">
        <v>10</v>
      </c>
      <c r="H13" s="271">
        <v>14</v>
      </c>
      <c r="I13" s="271">
        <f>+AVERAGE(G13,H13)</f>
        <v>12</v>
      </c>
      <c r="J13" s="271"/>
      <c r="K13" s="294"/>
      <c r="L13" s="271"/>
    </row>
    <row r="14" spans="2:12" ht="26.4" x14ac:dyDescent="0.3">
      <c r="B14" s="283" t="s">
        <v>63</v>
      </c>
      <c r="C14" s="271" t="s">
        <v>794</v>
      </c>
      <c r="D14" s="271" t="s">
        <v>935</v>
      </c>
      <c r="E14" s="271"/>
      <c r="F14" s="271"/>
      <c r="G14" s="271"/>
      <c r="H14" s="271"/>
      <c r="I14" s="271"/>
      <c r="J14" s="271"/>
      <c r="K14" s="294"/>
      <c r="L14" s="271"/>
    </row>
    <row r="15" spans="2:12" ht="39.6" x14ac:dyDescent="0.3">
      <c r="B15" s="283" t="s">
        <v>517</v>
      </c>
      <c r="C15" s="271" t="s">
        <v>897</v>
      </c>
      <c r="D15" s="285" t="s">
        <v>941</v>
      </c>
      <c r="E15" s="285"/>
      <c r="F15" s="271" t="s">
        <v>997</v>
      </c>
      <c r="G15" s="271"/>
      <c r="H15" s="271"/>
      <c r="I15" s="271"/>
      <c r="J15" s="271"/>
      <c r="K15" s="294"/>
      <c r="L15" s="271"/>
    </row>
    <row r="16" spans="2:12" ht="40.200000000000003" x14ac:dyDescent="0.3">
      <c r="B16" s="283" t="s">
        <v>647</v>
      </c>
      <c r="C16" s="271" t="s">
        <v>802</v>
      </c>
      <c r="D16" s="286" t="s">
        <v>942</v>
      </c>
      <c r="E16" s="286"/>
      <c r="F16" s="271"/>
      <c r="G16" s="271"/>
      <c r="H16" s="271"/>
      <c r="I16" s="271"/>
      <c r="J16" s="271"/>
      <c r="K16" s="294"/>
      <c r="L16" s="271"/>
    </row>
    <row r="17" spans="2:12" ht="40.200000000000003" x14ac:dyDescent="0.3">
      <c r="B17" s="283" t="s">
        <v>465</v>
      </c>
      <c r="C17" s="271" t="s">
        <v>806</v>
      </c>
      <c r="D17" s="286" t="s">
        <v>943</v>
      </c>
      <c r="E17" s="286"/>
      <c r="F17" s="271"/>
      <c r="G17" s="271"/>
      <c r="H17" s="271"/>
      <c r="I17" s="271"/>
      <c r="J17" s="271"/>
      <c r="K17" s="294"/>
      <c r="L17" s="271"/>
    </row>
    <row r="18" spans="2:12" ht="27" x14ac:dyDescent="0.3">
      <c r="B18" s="283" t="s">
        <v>530</v>
      </c>
      <c r="C18" s="271" t="s">
        <v>809</v>
      </c>
      <c r="D18" s="286" t="s">
        <v>944</v>
      </c>
      <c r="E18" s="286"/>
      <c r="F18" s="271"/>
      <c r="G18" s="271"/>
      <c r="H18" s="271"/>
      <c r="I18" s="271"/>
      <c r="J18" s="271"/>
      <c r="K18" s="294"/>
      <c r="L18" s="271"/>
    </row>
    <row r="19" spans="2:12" ht="27" x14ac:dyDescent="0.3">
      <c r="B19" s="283" t="s">
        <v>530</v>
      </c>
      <c r="C19" s="271" t="s">
        <v>811</v>
      </c>
      <c r="D19" s="286" t="s">
        <v>989</v>
      </c>
      <c r="E19" s="286"/>
      <c r="F19" s="271"/>
      <c r="G19" s="271"/>
      <c r="H19" s="271"/>
      <c r="I19" s="271"/>
      <c r="J19" s="271"/>
      <c r="K19" s="294"/>
      <c r="L19" s="271"/>
    </row>
    <row r="20" spans="2:12" ht="27" x14ac:dyDescent="0.3">
      <c r="B20" s="283" t="s">
        <v>530</v>
      </c>
      <c r="C20" s="271" t="s">
        <v>812</v>
      </c>
      <c r="D20" s="286" t="s">
        <v>945</v>
      </c>
      <c r="E20" s="286"/>
      <c r="F20" s="271"/>
      <c r="G20" s="271"/>
      <c r="H20" s="271"/>
      <c r="I20" s="271"/>
      <c r="J20" s="271"/>
      <c r="K20" s="294"/>
      <c r="L20" s="271"/>
    </row>
    <row r="21" spans="2:12" ht="27" x14ac:dyDescent="0.3">
      <c r="B21" s="283" t="s">
        <v>530</v>
      </c>
      <c r="C21" s="271" t="s">
        <v>813</v>
      </c>
      <c r="D21" s="286" t="s">
        <v>946</v>
      </c>
      <c r="E21" s="286"/>
      <c r="F21" s="271"/>
      <c r="G21" s="271"/>
      <c r="H21" s="271"/>
      <c r="I21" s="271"/>
      <c r="J21" s="271"/>
      <c r="K21" s="294"/>
      <c r="L21" s="271"/>
    </row>
    <row r="22" spans="2:12" ht="40.200000000000003" x14ac:dyDescent="0.3">
      <c r="B22" s="283" t="s">
        <v>535</v>
      </c>
      <c r="C22" s="271" t="s">
        <v>931</v>
      </c>
      <c r="D22" s="286" t="s">
        <v>947</v>
      </c>
      <c r="E22" s="286"/>
      <c r="F22" s="271"/>
      <c r="G22" s="271"/>
      <c r="H22" s="271"/>
      <c r="I22" s="271"/>
      <c r="J22" s="271"/>
      <c r="K22" s="294"/>
      <c r="L22" s="271"/>
    </row>
    <row r="23" spans="2:12" x14ac:dyDescent="0.3">
      <c r="B23" s="270"/>
      <c r="C23" s="270"/>
      <c r="L23" s="292"/>
    </row>
    <row r="24" spans="2:12" x14ac:dyDescent="0.3">
      <c r="B24" s="270"/>
      <c r="C24" s="270"/>
    </row>
    <row r="25" spans="2:12" x14ac:dyDescent="0.3">
      <c r="B25" s="269" t="s">
        <v>871</v>
      </c>
      <c r="C25" s="270"/>
      <c r="F25" s="290"/>
      <c r="G25" s="764" t="s">
        <v>544</v>
      </c>
      <c r="H25" s="764"/>
      <c r="I25" s="764"/>
      <c r="J25" s="290"/>
      <c r="K25" s="290"/>
      <c r="L25" s="293"/>
    </row>
    <row r="26" spans="2:12" ht="26.4" x14ac:dyDescent="0.3">
      <c r="B26" s="284" t="s">
        <v>23</v>
      </c>
      <c r="C26" s="284" t="s">
        <v>933</v>
      </c>
      <c r="D26" s="284" t="s">
        <v>934</v>
      </c>
      <c r="E26" s="284" t="s">
        <v>62</v>
      </c>
      <c r="F26" s="284" t="s">
        <v>546</v>
      </c>
      <c r="G26" s="284" t="s">
        <v>547</v>
      </c>
      <c r="H26" s="284" t="s">
        <v>548</v>
      </c>
      <c r="I26" s="284" t="s">
        <v>549</v>
      </c>
      <c r="J26" s="284" t="s">
        <v>550</v>
      </c>
      <c r="K26" s="287" t="s">
        <v>551</v>
      </c>
      <c r="L26" s="284" t="s">
        <v>1003</v>
      </c>
    </row>
    <row r="27" spans="2:12" ht="40.200000000000003" x14ac:dyDescent="0.3">
      <c r="B27" s="280" t="s">
        <v>24</v>
      </c>
      <c r="C27" s="271" t="s">
        <v>721</v>
      </c>
      <c r="D27" s="286" t="s">
        <v>948</v>
      </c>
      <c r="E27" s="291"/>
      <c r="F27" s="271" t="s">
        <v>997</v>
      </c>
      <c r="G27" s="271">
        <v>1</v>
      </c>
      <c r="H27" s="271">
        <v>3</v>
      </c>
      <c r="I27" s="271">
        <f t="shared" ref="I27:I33" si="0">+AVERAGE(G27,H27)</f>
        <v>2</v>
      </c>
      <c r="J27" s="271"/>
      <c r="K27" s="294"/>
      <c r="L27" s="271"/>
    </row>
    <row r="28" spans="2:12" ht="53.4" x14ac:dyDescent="0.3">
      <c r="B28" s="280" t="s">
        <v>24</v>
      </c>
      <c r="C28" s="271" t="s">
        <v>816</v>
      </c>
      <c r="D28" s="286" t="s">
        <v>949</v>
      </c>
      <c r="E28" s="291"/>
      <c r="F28" s="271" t="s">
        <v>997</v>
      </c>
      <c r="G28" s="271">
        <v>28</v>
      </c>
      <c r="H28" s="271">
        <v>40</v>
      </c>
      <c r="I28" s="271">
        <f t="shared" si="0"/>
        <v>34</v>
      </c>
      <c r="J28" s="271"/>
      <c r="K28" s="294"/>
      <c r="L28" s="271"/>
    </row>
    <row r="29" spans="2:12" ht="39.6" x14ac:dyDescent="0.3">
      <c r="B29" s="280" t="s">
        <v>24</v>
      </c>
      <c r="C29" s="271" t="s">
        <v>817</v>
      </c>
      <c r="D29" s="271" t="s">
        <v>935</v>
      </c>
      <c r="E29" s="291"/>
      <c r="F29" s="271" t="s">
        <v>997</v>
      </c>
      <c r="G29" s="271">
        <v>1</v>
      </c>
      <c r="H29" s="271">
        <v>1</v>
      </c>
      <c r="I29" s="271">
        <f t="shared" si="0"/>
        <v>1</v>
      </c>
      <c r="J29" s="271"/>
      <c r="K29" s="294"/>
      <c r="L29" s="271" t="s">
        <v>994</v>
      </c>
    </row>
    <row r="30" spans="2:12" ht="42" customHeight="1" x14ac:dyDescent="0.3">
      <c r="B30" s="280" t="s">
        <v>24</v>
      </c>
      <c r="C30" s="271" t="s">
        <v>818</v>
      </c>
      <c r="D30" s="271" t="s">
        <v>950</v>
      </c>
      <c r="E30" s="291"/>
      <c r="F30" s="271" t="s">
        <v>997</v>
      </c>
      <c r="G30" s="271">
        <v>6</v>
      </c>
      <c r="H30" s="271">
        <v>10</v>
      </c>
      <c r="I30" s="271">
        <f t="shared" si="0"/>
        <v>8</v>
      </c>
      <c r="J30" s="271"/>
      <c r="K30" s="294"/>
      <c r="L30" s="271"/>
    </row>
    <row r="31" spans="2:12" ht="95.25" customHeight="1" x14ac:dyDescent="0.3">
      <c r="B31" s="280" t="s">
        <v>24</v>
      </c>
      <c r="C31" s="271" t="s">
        <v>819</v>
      </c>
      <c r="D31" s="271" t="s">
        <v>951</v>
      </c>
      <c r="E31" s="291"/>
      <c r="F31" s="271" t="s">
        <v>997</v>
      </c>
      <c r="G31" s="271">
        <v>18</v>
      </c>
      <c r="H31" s="271">
        <v>24</v>
      </c>
      <c r="I31" s="271">
        <f t="shared" si="0"/>
        <v>21</v>
      </c>
      <c r="J31" s="271"/>
      <c r="K31" s="294"/>
      <c r="L31" s="271"/>
    </row>
    <row r="32" spans="2:12" ht="39.6" x14ac:dyDescent="0.3">
      <c r="B32" s="280" t="s">
        <v>24</v>
      </c>
      <c r="C32" s="271" t="s">
        <v>820</v>
      </c>
      <c r="D32" s="271" t="s">
        <v>999</v>
      </c>
      <c r="E32" s="291"/>
      <c r="F32" s="271" t="s">
        <v>997</v>
      </c>
      <c r="G32" s="271">
        <v>14</v>
      </c>
      <c r="H32" s="271">
        <v>18</v>
      </c>
      <c r="I32" s="271">
        <f t="shared" si="0"/>
        <v>16</v>
      </c>
      <c r="J32" s="271"/>
      <c r="K32" s="294"/>
      <c r="L32" s="271"/>
    </row>
    <row r="33" spans="2:15" ht="39.6" x14ac:dyDescent="0.3">
      <c r="B33" s="280" t="s">
        <v>24</v>
      </c>
      <c r="C33" s="271" t="s">
        <v>821</v>
      </c>
      <c r="D33" s="271" t="s">
        <v>952</v>
      </c>
      <c r="E33" s="291"/>
      <c r="F33" s="271" t="s">
        <v>542</v>
      </c>
      <c r="G33" s="271">
        <v>1</v>
      </c>
      <c r="H33" s="271">
        <v>3</v>
      </c>
      <c r="I33" s="271">
        <f t="shared" si="0"/>
        <v>2</v>
      </c>
      <c r="J33" s="271"/>
      <c r="K33" s="294"/>
      <c r="L33" s="271"/>
    </row>
    <row r="34" spans="2:15" ht="66" x14ac:dyDescent="0.3">
      <c r="B34" s="280" t="s">
        <v>190</v>
      </c>
      <c r="C34" s="271" t="s">
        <v>822</v>
      </c>
      <c r="D34" s="271" t="s">
        <v>953</v>
      </c>
      <c r="E34" s="291"/>
      <c r="F34" s="271"/>
      <c r="G34" s="271"/>
      <c r="H34" s="271"/>
      <c r="I34" s="271"/>
      <c r="J34" s="271"/>
      <c r="K34" s="294"/>
      <c r="L34" s="271" t="s">
        <v>995</v>
      </c>
    </row>
    <row r="35" spans="2:15" ht="118.8" x14ac:dyDescent="0.3">
      <c r="B35" s="280" t="s">
        <v>190</v>
      </c>
      <c r="C35" s="271" t="s">
        <v>823</v>
      </c>
      <c r="D35" s="271" t="s">
        <v>954</v>
      </c>
      <c r="E35" s="291"/>
      <c r="F35" s="271"/>
      <c r="G35" s="271">
        <v>10</v>
      </c>
      <c r="H35" s="271">
        <v>14</v>
      </c>
      <c r="I35" s="271">
        <f>+AVERAGE(G35,H35)</f>
        <v>12</v>
      </c>
      <c r="J35" s="271"/>
      <c r="K35" s="294"/>
      <c r="L35" s="271"/>
    </row>
    <row r="36" spans="2:15" ht="52.8" x14ac:dyDescent="0.3">
      <c r="B36" s="280" t="s">
        <v>190</v>
      </c>
      <c r="C36" s="271" t="s">
        <v>824</v>
      </c>
      <c r="D36" s="271" t="s">
        <v>955</v>
      </c>
      <c r="E36" s="291"/>
      <c r="F36" s="271"/>
      <c r="G36" s="274"/>
      <c r="H36" s="274"/>
      <c r="I36" s="274"/>
      <c r="J36" s="271"/>
      <c r="K36" s="294"/>
      <c r="L36" s="271" t="s">
        <v>1001</v>
      </c>
    </row>
    <row r="37" spans="2:15" ht="26.4" x14ac:dyDescent="0.3">
      <c r="B37" s="280" t="s">
        <v>190</v>
      </c>
      <c r="C37" s="271" t="s">
        <v>825</v>
      </c>
      <c r="D37" s="285" t="s">
        <v>956</v>
      </c>
      <c r="E37" s="291"/>
      <c r="F37" s="271"/>
      <c r="G37" s="274"/>
      <c r="H37" s="274"/>
      <c r="I37" s="274"/>
      <c r="J37" s="271"/>
      <c r="K37" s="294"/>
      <c r="L37" s="271" t="s">
        <v>1002</v>
      </c>
    </row>
    <row r="38" spans="2:15" ht="66" x14ac:dyDescent="0.3">
      <c r="B38" s="280" t="s">
        <v>190</v>
      </c>
      <c r="C38" s="271" t="s">
        <v>826</v>
      </c>
      <c r="D38" s="271" t="s">
        <v>957</v>
      </c>
      <c r="E38" s="291"/>
      <c r="F38" s="271"/>
      <c r="G38" s="271">
        <v>0.5</v>
      </c>
      <c r="H38" s="271">
        <v>1.5</v>
      </c>
      <c r="I38" s="271">
        <f>+AVERAGE(G38,H38)</f>
        <v>1</v>
      </c>
      <c r="J38" s="271"/>
      <c r="K38" s="294"/>
      <c r="L38" s="271"/>
    </row>
    <row r="39" spans="2:15" ht="92.4" x14ac:dyDescent="0.3">
      <c r="B39" s="280" t="s">
        <v>480</v>
      </c>
      <c r="C39" s="271" t="s">
        <v>827</v>
      </c>
      <c r="D39" s="271" t="s">
        <v>958</v>
      </c>
      <c r="E39" s="291"/>
      <c r="F39" s="760"/>
      <c r="G39" s="760">
        <v>130</v>
      </c>
      <c r="H39" s="760">
        <v>150</v>
      </c>
      <c r="I39" s="760">
        <f>78+7+16+39</f>
        <v>140</v>
      </c>
      <c r="J39" s="271"/>
      <c r="K39" s="294"/>
      <c r="L39" s="271"/>
      <c r="N39" t="s">
        <v>1008</v>
      </c>
      <c r="O39">
        <v>78</v>
      </c>
    </row>
    <row r="40" spans="2:15" ht="39.6" x14ac:dyDescent="0.3">
      <c r="B40" s="280" t="s">
        <v>480</v>
      </c>
      <c r="C40" s="271" t="s">
        <v>828</v>
      </c>
      <c r="D40" s="271" t="s">
        <v>959</v>
      </c>
      <c r="E40" s="291"/>
      <c r="F40" s="769"/>
      <c r="G40" s="769"/>
      <c r="H40" s="769"/>
      <c r="I40" s="769"/>
      <c r="J40" s="271"/>
      <c r="K40" s="294"/>
      <c r="L40" s="271"/>
      <c r="N40" t="s">
        <v>1009</v>
      </c>
      <c r="O40">
        <v>7</v>
      </c>
    </row>
    <row r="41" spans="2:15" ht="52.8" x14ac:dyDescent="0.3">
      <c r="B41" s="280" t="s">
        <v>480</v>
      </c>
      <c r="C41" s="271" t="s">
        <v>829</v>
      </c>
      <c r="D41" s="271" t="s">
        <v>960</v>
      </c>
      <c r="E41" s="291"/>
      <c r="F41" s="769"/>
      <c r="G41" s="769"/>
      <c r="H41" s="769"/>
      <c r="I41" s="769"/>
      <c r="J41" s="271"/>
      <c r="K41" s="294"/>
      <c r="L41" s="271"/>
      <c r="N41" t="s">
        <v>1049</v>
      </c>
      <c r="O41">
        <v>16</v>
      </c>
    </row>
    <row r="42" spans="2:15" ht="79.2" x14ac:dyDescent="0.3">
      <c r="B42" s="280" t="s">
        <v>480</v>
      </c>
      <c r="C42" s="271" t="s">
        <v>830</v>
      </c>
      <c r="D42" s="271" t="s">
        <v>961</v>
      </c>
      <c r="E42" s="291"/>
      <c r="F42" s="761"/>
      <c r="G42" s="761"/>
      <c r="H42" s="761"/>
      <c r="I42" s="761"/>
      <c r="J42" s="271"/>
      <c r="K42" s="294"/>
      <c r="L42" s="271"/>
    </row>
    <row r="43" spans="2:15" ht="52.8" x14ac:dyDescent="0.3">
      <c r="B43" s="280" t="s">
        <v>480</v>
      </c>
      <c r="C43" s="271" t="s">
        <v>880</v>
      </c>
      <c r="D43" s="271" t="s">
        <v>962</v>
      </c>
      <c r="E43" s="291"/>
      <c r="F43" s="271" t="s">
        <v>997</v>
      </c>
      <c r="G43" s="271">
        <v>6</v>
      </c>
      <c r="H43" s="271">
        <v>10</v>
      </c>
      <c r="I43" s="271">
        <f>+AVERAGE(G43,H43)</f>
        <v>8</v>
      </c>
      <c r="J43" s="271"/>
      <c r="K43" s="294"/>
      <c r="L43" s="271"/>
    </row>
    <row r="44" spans="2:15" ht="39.6" x14ac:dyDescent="0.3">
      <c r="B44" s="280" t="s">
        <v>63</v>
      </c>
      <c r="C44" s="271" t="s">
        <v>831</v>
      </c>
      <c r="D44" s="271" t="s">
        <v>963</v>
      </c>
      <c r="E44" s="291"/>
      <c r="F44" s="271"/>
      <c r="G44" s="271"/>
      <c r="H44" s="271"/>
      <c r="I44" s="271"/>
      <c r="J44" s="271"/>
      <c r="K44" s="294"/>
      <c r="L44" s="271"/>
    </row>
    <row r="45" spans="2:15" ht="54" customHeight="1" x14ac:dyDescent="0.3">
      <c r="B45" s="280" t="s">
        <v>63</v>
      </c>
      <c r="C45" s="271" t="s">
        <v>832</v>
      </c>
      <c r="D45" s="271" t="s">
        <v>964</v>
      </c>
      <c r="E45" s="291"/>
      <c r="F45" s="271"/>
      <c r="G45" s="271"/>
      <c r="H45" s="271"/>
      <c r="I45" s="271"/>
      <c r="J45" s="271"/>
      <c r="K45" s="294"/>
      <c r="L45" s="271"/>
    </row>
    <row r="46" spans="2:15" ht="66" x14ac:dyDescent="0.3">
      <c r="B46" s="280" t="s">
        <v>63</v>
      </c>
      <c r="C46" s="271" t="s">
        <v>833</v>
      </c>
      <c r="D46" s="271" t="s">
        <v>965</v>
      </c>
      <c r="E46" s="291"/>
      <c r="F46" s="271"/>
      <c r="G46" s="271"/>
      <c r="H46" s="271"/>
      <c r="I46" s="271"/>
      <c r="J46" s="271"/>
      <c r="K46" s="294"/>
      <c r="L46" s="271"/>
    </row>
    <row r="47" spans="2:15" ht="55.95" customHeight="1" x14ac:dyDescent="0.3">
      <c r="B47" s="762" t="s">
        <v>517</v>
      </c>
      <c r="C47" s="767" t="s">
        <v>1057</v>
      </c>
      <c r="D47" s="767" t="s">
        <v>1004</v>
      </c>
      <c r="E47" s="291"/>
      <c r="F47" s="271"/>
      <c r="G47" s="271">
        <v>60</v>
      </c>
      <c r="H47" s="271">
        <v>68</v>
      </c>
      <c r="I47" s="271">
        <f>+AVERAGE(G47,H47)</f>
        <v>64</v>
      </c>
      <c r="J47" s="271"/>
      <c r="K47" s="294"/>
      <c r="L47" s="271"/>
    </row>
    <row r="48" spans="2:15" ht="69.599999999999994" customHeight="1" x14ac:dyDescent="0.3">
      <c r="B48" s="763"/>
      <c r="C48" s="768"/>
      <c r="D48" s="768"/>
      <c r="E48" s="291"/>
      <c r="F48" s="271"/>
      <c r="G48" s="271">
        <v>60</v>
      </c>
      <c r="H48" s="271">
        <v>68</v>
      </c>
      <c r="I48" s="271">
        <f>+AVERAGE(G48,H48)</f>
        <v>64</v>
      </c>
      <c r="J48" s="271"/>
      <c r="K48" s="294"/>
      <c r="L48" s="271"/>
    </row>
    <row r="49" spans="2:16" ht="66" x14ac:dyDescent="0.3">
      <c r="B49" s="280" t="s">
        <v>517</v>
      </c>
      <c r="C49" s="271" t="s">
        <v>902</v>
      </c>
      <c r="D49" s="271" t="s">
        <v>966</v>
      </c>
      <c r="E49" s="291"/>
      <c r="F49" s="271"/>
      <c r="G49" s="271">
        <v>16</v>
      </c>
      <c r="H49" s="271">
        <v>24</v>
      </c>
      <c r="I49" s="271">
        <f>+AVERAGE(G49,H49)</f>
        <v>20</v>
      </c>
      <c r="J49" s="271"/>
      <c r="K49" s="294"/>
      <c r="L49" s="271"/>
    </row>
    <row r="50" spans="2:16" ht="26.4" x14ac:dyDescent="0.3">
      <c r="B50" s="280" t="s">
        <v>517</v>
      </c>
      <c r="C50" s="271" t="s">
        <v>904</v>
      </c>
      <c r="D50" s="285" t="s">
        <v>967</v>
      </c>
      <c r="E50" s="291"/>
      <c r="F50" s="271"/>
      <c r="G50" s="271">
        <v>4</v>
      </c>
      <c r="H50" s="271">
        <v>8</v>
      </c>
      <c r="I50" s="271">
        <f>+AVERAGE(G50,H50)</f>
        <v>6</v>
      </c>
      <c r="J50" s="271"/>
      <c r="K50" s="294"/>
      <c r="L50" s="271"/>
    </row>
    <row r="51" spans="2:16" ht="66" x14ac:dyDescent="0.3">
      <c r="B51" s="280" t="s">
        <v>517</v>
      </c>
      <c r="C51" s="271" t="s">
        <v>906</v>
      </c>
      <c r="D51" s="271" t="s">
        <v>968</v>
      </c>
      <c r="E51" s="291"/>
      <c r="F51" s="271"/>
      <c r="G51" s="274"/>
      <c r="H51" s="274"/>
      <c r="I51" s="274"/>
      <c r="J51" s="271"/>
      <c r="K51" s="294"/>
      <c r="L51" s="271" t="s">
        <v>1005</v>
      </c>
    </row>
    <row r="52" spans="2:16" ht="92.4" x14ac:dyDescent="0.3">
      <c r="B52" s="280" t="s">
        <v>291</v>
      </c>
      <c r="C52" s="271" t="s">
        <v>834</v>
      </c>
      <c r="D52" s="765" t="s">
        <v>969</v>
      </c>
      <c r="E52" s="291"/>
      <c r="F52" s="271"/>
      <c r="G52" s="271"/>
      <c r="H52" s="271"/>
      <c r="I52" s="271"/>
      <c r="J52" s="271"/>
      <c r="K52" s="294"/>
      <c r="L52" s="271"/>
    </row>
    <row r="53" spans="2:16" ht="92.4" x14ac:dyDescent="0.3">
      <c r="B53" s="280" t="s">
        <v>291</v>
      </c>
      <c r="C53" s="271" t="s">
        <v>835</v>
      </c>
      <c r="D53" s="766"/>
      <c r="E53" s="291"/>
      <c r="F53" s="271"/>
      <c r="G53" s="271"/>
      <c r="H53" s="271"/>
      <c r="I53" s="271"/>
      <c r="J53" s="271"/>
      <c r="K53" s="294"/>
      <c r="L53" s="271"/>
    </row>
    <row r="54" spans="2:16" ht="52.8" x14ac:dyDescent="0.3">
      <c r="B54" s="280" t="s">
        <v>291</v>
      </c>
      <c r="C54" s="271" t="s">
        <v>836</v>
      </c>
      <c r="D54" s="766"/>
      <c r="E54" s="291"/>
      <c r="F54" s="271"/>
      <c r="G54" s="271"/>
      <c r="H54" s="271"/>
      <c r="I54" s="271"/>
      <c r="J54" s="271"/>
      <c r="K54" s="294"/>
      <c r="L54" s="271"/>
    </row>
    <row r="55" spans="2:16" ht="26.4" x14ac:dyDescent="0.3">
      <c r="B55" s="280" t="s">
        <v>527</v>
      </c>
      <c r="C55" s="271" t="s">
        <v>837</v>
      </c>
      <c r="D55" s="271" t="s">
        <v>970</v>
      </c>
      <c r="E55" s="291"/>
      <c r="F55" s="271"/>
      <c r="G55" s="271"/>
      <c r="H55" s="271"/>
      <c r="I55" s="271"/>
      <c r="J55" s="271"/>
      <c r="K55" s="294"/>
      <c r="L55" s="271"/>
    </row>
    <row r="56" spans="2:16" ht="52.8" x14ac:dyDescent="0.3">
      <c r="B56" s="280" t="s">
        <v>527</v>
      </c>
      <c r="C56" s="271" t="s">
        <v>838</v>
      </c>
      <c r="D56" s="271" t="s">
        <v>971</v>
      </c>
      <c r="E56" s="291"/>
      <c r="F56" s="271"/>
      <c r="G56" s="271"/>
      <c r="H56" s="271"/>
      <c r="I56" s="271"/>
      <c r="J56" s="271"/>
      <c r="K56" s="294"/>
      <c r="L56" s="271"/>
    </row>
    <row r="57" spans="2:16" ht="26.4" x14ac:dyDescent="0.3">
      <c r="B57" s="280" t="s">
        <v>527</v>
      </c>
      <c r="C57" s="271" t="s">
        <v>839</v>
      </c>
      <c r="D57" s="271" t="s">
        <v>972</v>
      </c>
      <c r="E57" s="291"/>
      <c r="F57" s="271"/>
      <c r="G57" s="271"/>
      <c r="H57" s="271"/>
      <c r="I57" s="271"/>
      <c r="J57" s="271"/>
      <c r="K57" s="294"/>
      <c r="L57" s="271"/>
    </row>
    <row r="58" spans="2:16" ht="26.4" x14ac:dyDescent="0.3">
      <c r="B58" s="280" t="s">
        <v>527</v>
      </c>
      <c r="C58" s="271" t="s">
        <v>840</v>
      </c>
      <c r="D58" s="271" t="s">
        <v>973</v>
      </c>
      <c r="E58" s="291"/>
      <c r="F58" s="271"/>
      <c r="G58" s="271"/>
      <c r="H58" s="271"/>
      <c r="I58" s="271"/>
      <c r="J58" s="271"/>
      <c r="K58" s="294"/>
      <c r="L58" s="271"/>
    </row>
    <row r="59" spans="2:16" ht="79.2" x14ac:dyDescent="0.3">
      <c r="B59" s="280" t="s">
        <v>527</v>
      </c>
      <c r="C59" s="271" t="s">
        <v>841</v>
      </c>
      <c r="D59" s="271" t="s">
        <v>974</v>
      </c>
      <c r="E59" s="291"/>
      <c r="F59" s="271"/>
      <c r="G59" s="271"/>
      <c r="H59" s="271"/>
      <c r="I59" s="271"/>
      <c r="J59" s="271"/>
      <c r="K59" s="294"/>
      <c r="L59" s="271"/>
    </row>
    <row r="60" spans="2:16" ht="66" x14ac:dyDescent="0.3">
      <c r="B60" s="280" t="s">
        <v>527</v>
      </c>
      <c r="C60" s="271" t="s">
        <v>842</v>
      </c>
      <c r="D60" s="271" t="s">
        <v>975</v>
      </c>
      <c r="E60" s="291"/>
      <c r="F60" s="271"/>
      <c r="G60" s="271"/>
      <c r="H60" s="271"/>
      <c r="I60" s="271"/>
      <c r="J60" s="271"/>
      <c r="K60" s="294"/>
      <c r="L60" s="271"/>
    </row>
    <row r="61" spans="2:16" ht="26.4" x14ac:dyDescent="0.3">
      <c r="B61" s="280" t="s">
        <v>590</v>
      </c>
      <c r="C61" s="271" t="s">
        <v>843</v>
      </c>
      <c r="D61" s="271" t="s">
        <v>976</v>
      </c>
      <c r="E61" s="291"/>
      <c r="F61" s="271"/>
      <c r="G61" s="271">
        <v>64</v>
      </c>
      <c r="H61" s="271">
        <v>72</v>
      </c>
      <c r="I61" s="271">
        <f>+AVERAGE(G61,H61)</f>
        <v>68</v>
      </c>
      <c r="J61" s="271"/>
      <c r="K61" s="294"/>
      <c r="L61" s="271"/>
    </row>
    <row r="62" spans="2:16" ht="79.2" x14ac:dyDescent="0.3">
      <c r="B62" s="280" t="s">
        <v>590</v>
      </c>
      <c r="C62" s="271" t="s">
        <v>844</v>
      </c>
      <c r="D62" s="271" t="s">
        <v>977</v>
      </c>
      <c r="E62" s="291"/>
      <c r="F62" s="271"/>
      <c r="G62" s="274"/>
      <c r="H62" s="274"/>
      <c r="I62" s="274"/>
      <c r="J62" s="271"/>
      <c r="K62" s="294"/>
      <c r="L62" s="271" t="s">
        <v>1006</v>
      </c>
    </row>
    <row r="63" spans="2:16" ht="79.2" x14ac:dyDescent="0.3">
      <c r="B63" s="280" t="s">
        <v>590</v>
      </c>
      <c r="C63" s="271" t="s">
        <v>845</v>
      </c>
      <c r="D63" s="271" t="s">
        <v>978</v>
      </c>
      <c r="E63" s="291"/>
      <c r="F63" s="271"/>
      <c r="G63" s="271"/>
      <c r="H63" s="271"/>
      <c r="I63" s="271"/>
      <c r="J63" s="271"/>
      <c r="K63" s="294"/>
      <c r="L63" s="271"/>
    </row>
    <row r="64" spans="2:16" ht="92.4" x14ac:dyDescent="0.3">
      <c r="B64" s="280" t="s">
        <v>590</v>
      </c>
      <c r="C64" s="271" t="s">
        <v>846</v>
      </c>
      <c r="D64" s="271" t="s">
        <v>979</v>
      </c>
      <c r="E64" s="291"/>
      <c r="F64" s="271"/>
      <c r="G64" s="271"/>
      <c r="H64" s="271"/>
      <c r="I64" s="271"/>
      <c r="J64" s="271"/>
      <c r="K64" s="294"/>
      <c r="L64" s="271"/>
      <c r="O64" t="s">
        <v>1044</v>
      </c>
      <c r="P64" t="s">
        <v>1045</v>
      </c>
    </row>
    <row r="65" spans="2:15" ht="92.4" x14ac:dyDescent="0.3">
      <c r="B65" s="280" t="s">
        <v>1012</v>
      </c>
      <c r="C65" s="271" t="s">
        <v>1034</v>
      </c>
      <c r="D65" s="271" t="s">
        <v>1040</v>
      </c>
      <c r="E65" s="291"/>
      <c r="F65" s="271"/>
      <c r="G65" s="271">
        <v>50</v>
      </c>
      <c r="H65" s="271">
        <v>70</v>
      </c>
      <c r="I65" s="271">
        <f>+O65</f>
        <v>60</v>
      </c>
      <c r="J65" s="271"/>
      <c r="K65" s="294"/>
      <c r="L65" s="271"/>
      <c r="N65" t="s">
        <v>1028</v>
      </c>
      <c r="O65">
        <v>60</v>
      </c>
    </row>
    <row r="66" spans="2:15" ht="26.4" x14ac:dyDescent="0.3">
      <c r="B66" s="280" t="s">
        <v>1012</v>
      </c>
      <c r="C66" s="271" t="s">
        <v>1035</v>
      </c>
      <c r="D66" s="271" t="s">
        <v>1041</v>
      </c>
      <c r="E66" s="291"/>
      <c r="F66" s="274"/>
      <c r="G66" s="274"/>
      <c r="H66" s="274"/>
      <c r="I66" s="274"/>
      <c r="J66" s="271"/>
      <c r="K66" s="294"/>
      <c r="L66" s="271" t="s">
        <v>1046</v>
      </c>
      <c r="N66" t="s">
        <v>1029</v>
      </c>
      <c r="O66" t="s">
        <v>1046</v>
      </c>
    </row>
    <row r="67" spans="2:15" ht="26.4" x14ac:dyDescent="0.3">
      <c r="B67" s="280" t="s">
        <v>1012</v>
      </c>
      <c r="C67" s="271" t="s">
        <v>1037</v>
      </c>
      <c r="D67" s="271" t="s">
        <v>1042</v>
      </c>
      <c r="E67" s="291"/>
      <c r="F67" s="760"/>
      <c r="G67" s="758">
        <v>10</v>
      </c>
      <c r="H67" s="758">
        <v>30</v>
      </c>
      <c r="I67" s="758">
        <f>+O67</f>
        <v>20</v>
      </c>
      <c r="J67" s="271"/>
      <c r="K67" s="294"/>
      <c r="L67" s="271"/>
      <c r="N67" t="s">
        <v>1030</v>
      </c>
      <c r="O67" s="757">
        <v>20</v>
      </c>
    </row>
    <row r="68" spans="2:15" ht="26.4" x14ac:dyDescent="0.3">
      <c r="B68" s="280" t="s">
        <v>1012</v>
      </c>
      <c r="C68" s="271" t="s">
        <v>1039</v>
      </c>
      <c r="D68" s="271" t="s">
        <v>1043</v>
      </c>
      <c r="E68" s="291"/>
      <c r="F68" s="761"/>
      <c r="G68" s="759"/>
      <c r="H68" s="759"/>
      <c r="I68" s="759"/>
      <c r="J68" s="271"/>
      <c r="K68" s="294"/>
      <c r="L68" s="271"/>
      <c r="N68" t="s">
        <v>1031</v>
      </c>
      <c r="O68" s="757"/>
    </row>
    <row r="69" spans="2:15" ht="26.4" x14ac:dyDescent="0.3">
      <c r="B69" s="280" t="s">
        <v>596</v>
      </c>
      <c r="C69" s="271" t="s">
        <v>847</v>
      </c>
      <c r="D69" s="271" t="s">
        <v>980</v>
      </c>
      <c r="E69" s="291"/>
      <c r="F69" s="760" t="s">
        <v>543</v>
      </c>
      <c r="G69" s="758">
        <v>14</v>
      </c>
      <c r="H69" s="758">
        <v>18</v>
      </c>
      <c r="I69" s="758">
        <f t="shared" ref="I69:I71" si="1">+AVERAGE(G69,H69)</f>
        <v>16</v>
      </c>
      <c r="J69" s="271"/>
      <c r="K69" s="294"/>
      <c r="L69" s="271"/>
    </row>
    <row r="70" spans="2:15" ht="26.4" x14ac:dyDescent="0.3">
      <c r="B70" s="280" t="s">
        <v>596</v>
      </c>
      <c r="C70" s="271" t="s">
        <v>848</v>
      </c>
      <c r="D70" s="271" t="s">
        <v>981</v>
      </c>
      <c r="E70" s="291"/>
      <c r="F70" s="761"/>
      <c r="G70" s="759"/>
      <c r="H70" s="759"/>
      <c r="I70" s="759" t="e">
        <f t="shared" si="1"/>
        <v>#DIV/0!</v>
      </c>
      <c r="J70" s="271"/>
      <c r="K70" s="294"/>
      <c r="L70" s="271"/>
    </row>
    <row r="71" spans="2:15" ht="39.6" x14ac:dyDescent="0.3">
      <c r="B71" s="280" t="s">
        <v>596</v>
      </c>
      <c r="C71" s="271" t="s">
        <v>849</v>
      </c>
      <c r="D71" s="271" t="s">
        <v>982</v>
      </c>
      <c r="E71" s="291"/>
      <c r="F71" s="271" t="s">
        <v>543</v>
      </c>
      <c r="G71" s="296">
        <v>10</v>
      </c>
      <c r="H71" s="296">
        <v>16</v>
      </c>
      <c r="I71" s="296">
        <f t="shared" si="1"/>
        <v>13</v>
      </c>
      <c r="J71" s="271"/>
      <c r="K71" s="294"/>
      <c r="L71" s="271"/>
    </row>
    <row r="72" spans="2:15" ht="66" x14ac:dyDescent="0.3">
      <c r="B72" s="280" t="s">
        <v>596</v>
      </c>
      <c r="C72" s="271" t="s">
        <v>850</v>
      </c>
      <c r="D72" s="271" t="s">
        <v>983</v>
      </c>
      <c r="E72" s="291"/>
      <c r="F72" s="271" t="s">
        <v>543</v>
      </c>
      <c r="G72" s="296">
        <v>35</v>
      </c>
      <c r="H72" s="296">
        <v>45</v>
      </c>
      <c r="I72" s="296">
        <f t="shared" ref="I72:I73" si="2">+AVERAGE(G72,H72)</f>
        <v>40</v>
      </c>
      <c r="J72" s="271"/>
      <c r="K72" s="294"/>
      <c r="L72" s="271"/>
    </row>
    <row r="73" spans="2:15" ht="39.6" x14ac:dyDescent="0.3">
      <c r="B73" s="280" t="s">
        <v>596</v>
      </c>
      <c r="C73" s="271" t="s">
        <v>851</v>
      </c>
      <c r="D73" s="271" t="s">
        <v>984</v>
      </c>
      <c r="E73" s="291"/>
      <c r="F73" s="271" t="s">
        <v>543</v>
      </c>
      <c r="G73" s="296">
        <v>15</v>
      </c>
      <c r="H73" s="296">
        <v>25</v>
      </c>
      <c r="I73" s="296">
        <f t="shared" si="2"/>
        <v>20</v>
      </c>
      <c r="J73" s="271"/>
      <c r="K73" s="294"/>
      <c r="L73" s="271"/>
    </row>
    <row r="74" spans="2:15" ht="79.2" x14ac:dyDescent="0.3">
      <c r="B74" s="280" t="s">
        <v>596</v>
      </c>
      <c r="C74" s="271" t="s">
        <v>913</v>
      </c>
      <c r="D74" s="271" t="s">
        <v>985</v>
      </c>
      <c r="E74" s="291"/>
      <c r="F74" s="271"/>
      <c r="G74" s="295"/>
      <c r="H74" s="295"/>
      <c r="I74" s="295"/>
      <c r="J74" s="271"/>
      <c r="K74" s="294"/>
      <c r="L74" s="271" t="s">
        <v>1048</v>
      </c>
    </row>
    <row r="75" spans="2:15" ht="26.4" x14ac:dyDescent="0.3">
      <c r="B75" s="280" t="s">
        <v>596</v>
      </c>
      <c r="C75" s="271" t="s">
        <v>915</v>
      </c>
      <c r="D75" s="271" t="s">
        <v>986</v>
      </c>
      <c r="E75" s="291"/>
      <c r="F75" s="271"/>
      <c r="G75" s="274"/>
      <c r="H75" s="274"/>
      <c r="I75" s="274"/>
      <c r="J75" s="271"/>
      <c r="K75" s="294"/>
      <c r="L75" s="271" t="s">
        <v>1048</v>
      </c>
    </row>
    <row r="76" spans="2:15" ht="39.6" x14ac:dyDescent="0.3">
      <c r="B76" s="280" t="s">
        <v>530</v>
      </c>
      <c r="C76" s="271" t="s">
        <v>852</v>
      </c>
      <c r="D76" s="271" t="s">
        <v>987</v>
      </c>
      <c r="E76" s="291"/>
      <c r="F76" s="271"/>
      <c r="G76" s="271"/>
      <c r="H76" s="271"/>
      <c r="I76" s="271"/>
      <c r="J76" s="271"/>
      <c r="K76" s="294"/>
      <c r="L76" s="271"/>
    </row>
    <row r="77" spans="2:15" ht="39.6" x14ac:dyDescent="0.3">
      <c r="B77" s="280" t="s">
        <v>530</v>
      </c>
      <c r="C77" s="271" t="s">
        <v>853</v>
      </c>
      <c r="D77" s="271" t="s">
        <v>988</v>
      </c>
      <c r="E77" s="291"/>
      <c r="F77" s="271"/>
      <c r="G77" s="271"/>
      <c r="H77" s="271"/>
      <c r="I77" s="271"/>
      <c r="J77" s="271"/>
      <c r="K77" s="294"/>
      <c r="L77" s="271"/>
    </row>
    <row r="78" spans="2:15" ht="26.4" x14ac:dyDescent="0.3">
      <c r="B78" s="280" t="s">
        <v>530</v>
      </c>
      <c r="C78" s="271" t="s">
        <v>854</v>
      </c>
      <c r="D78" s="271" t="s">
        <v>989</v>
      </c>
      <c r="E78" s="291"/>
      <c r="F78" s="271"/>
      <c r="G78" s="271"/>
      <c r="H78" s="271"/>
      <c r="I78" s="271"/>
      <c r="J78" s="271"/>
      <c r="K78" s="294"/>
      <c r="L78" s="271"/>
    </row>
    <row r="79" spans="2:15" ht="52.8" x14ac:dyDescent="0.3">
      <c r="B79" s="280" t="s">
        <v>530</v>
      </c>
      <c r="C79" s="271" t="s">
        <v>855</v>
      </c>
      <c r="D79" s="271" t="s">
        <v>990</v>
      </c>
      <c r="E79" s="291"/>
      <c r="F79" s="271"/>
      <c r="G79" s="271"/>
      <c r="H79" s="271"/>
      <c r="I79" s="271"/>
      <c r="J79" s="271"/>
      <c r="K79" s="294"/>
      <c r="L79" s="271"/>
    </row>
    <row r="80" spans="2:15" x14ac:dyDescent="0.3">
      <c r="B80" s="280" t="s">
        <v>530</v>
      </c>
      <c r="C80" s="274"/>
      <c r="D80" s="274"/>
      <c r="E80" s="274"/>
      <c r="F80" s="274"/>
      <c r="G80" s="274"/>
      <c r="H80" s="274"/>
      <c r="I80" s="274"/>
      <c r="J80" s="274"/>
      <c r="K80" s="288"/>
      <c r="L80" s="271"/>
    </row>
    <row r="81" spans="2:13" ht="57" customHeight="1" x14ac:dyDescent="0.3">
      <c r="B81" s="280" t="s">
        <v>530</v>
      </c>
      <c r="C81" s="271" t="s">
        <v>929</v>
      </c>
      <c r="D81" s="271" t="s">
        <v>991</v>
      </c>
      <c r="E81" s="291"/>
      <c r="F81" s="271"/>
      <c r="G81" s="271"/>
      <c r="H81" s="271"/>
      <c r="I81" s="271"/>
      <c r="J81" s="271"/>
      <c r="K81" s="294"/>
      <c r="L81" s="271"/>
    </row>
    <row r="82" spans="2:13" ht="92.4" x14ac:dyDescent="0.3">
      <c r="B82" s="280" t="s">
        <v>709</v>
      </c>
      <c r="C82" s="271" t="s">
        <v>858</v>
      </c>
      <c r="D82" s="271" t="s">
        <v>992</v>
      </c>
      <c r="E82" s="291"/>
      <c r="F82" s="271"/>
      <c r="G82" s="271"/>
      <c r="H82" s="271"/>
      <c r="I82" s="271"/>
      <c r="J82" s="271"/>
      <c r="K82" s="294"/>
      <c r="L82" s="271"/>
      <c r="M82" t="s">
        <v>996</v>
      </c>
    </row>
    <row r="83" spans="2:13" ht="52.8" x14ac:dyDescent="0.3">
      <c r="B83" s="280" t="s">
        <v>709</v>
      </c>
      <c r="C83" s="271" t="s">
        <v>859</v>
      </c>
      <c r="D83" s="271" t="s">
        <v>993</v>
      </c>
      <c r="E83" s="291"/>
      <c r="F83" s="271"/>
      <c r="G83" s="271"/>
      <c r="H83" s="271"/>
      <c r="I83" s="271"/>
      <c r="J83" s="271"/>
      <c r="K83" s="294"/>
      <c r="L83" s="271"/>
    </row>
  </sheetData>
  <mergeCells count="19">
    <mergeCell ref="B47:B48"/>
    <mergeCell ref="G6:I6"/>
    <mergeCell ref="G25:I25"/>
    <mergeCell ref="D52:D54"/>
    <mergeCell ref="D47:D48"/>
    <mergeCell ref="C47:C48"/>
    <mergeCell ref="F39:F42"/>
    <mergeCell ref="G39:G42"/>
    <mergeCell ref="H39:H42"/>
    <mergeCell ref="I39:I42"/>
    <mergeCell ref="O67:O68"/>
    <mergeCell ref="I67:I68"/>
    <mergeCell ref="H67:H68"/>
    <mergeCell ref="G67:G68"/>
    <mergeCell ref="F69:F70"/>
    <mergeCell ref="G69:G70"/>
    <mergeCell ref="H69:H70"/>
    <mergeCell ref="I69:I70"/>
    <mergeCell ref="F67:F68"/>
  </mergeCells>
  <dataValidations count="3">
    <dataValidation type="list" allowBlank="1" showInputMessage="1" showErrorMessage="1" sqref="F81:F83" xr:uid="{00000000-0002-0000-0100-000000000000}">
      <formula1>$D$7:$D$11</formula1>
    </dataValidation>
    <dataValidation type="list" allowBlank="1" showInputMessage="1" showErrorMessage="1" sqref="F69 F27:F39 F43:F67 F71:F79 F15" xr:uid="{00000000-0002-0000-0100-000001000000}">
      <formula1>$D$7:$D$16</formula1>
    </dataValidation>
    <dataValidation type="list" allowBlank="1" showInputMessage="1" showErrorMessage="1" sqref="F8:F13" xr:uid="{00000000-0002-0000-0100-000002000000}">
      <formula1>#REF!</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00B050"/>
  </sheetPr>
  <dimension ref="B2:J41"/>
  <sheetViews>
    <sheetView showGridLines="0" workbookViewId="0"/>
  </sheetViews>
  <sheetFormatPr defaultRowHeight="14.4" x14ac:dyDescent="0.3"/>
  <cols>
    <col min="1" max="1" width="5" customWidth="1"/>
    <col min="3" max="3" width="46.5546875" customWidth="1"/>
    <col min="5" max="5" width="15.109375" customWidth="1"/>
    <col min="6" max="6" width="46.5546875" customWidth="1"/>
    <col min="7" max="8" width="15.109375" customWidth="1"/>
    <col min="9" max="9" width="28.33203125" customWidth="1"/>
    <col min="11" max="15" width="15.109375" customWidth="1"/>
  </cols>
  <sheetData>
    <row r="2" spans="2:10" x14ac:dyDescent="0.3">
      <c r="B2" s="225" t="s">
        <v>505</v>
      </c>
    </row>
    <row r="3" spans="2:10" x14ac:dyDescent="0.3">
      <c r="B3" s="225" t="s">
        <v>506</v>
      </c>
    </row>
    <row r="4" spans="2:10" ht="15" thickBot="1" x14ac:dyDescent="0.35"/>
    <row r="5" spans="2:10" ht="21" thickBot="1" x14ac:dyDescent="0.4">
      <c r="B5" s="8" t="s">
        <v>23</v>
      </c>
      <c r="C5" s="9"/>
      <c r="D5" s="10" t="s">
        <v>24</v>
      </c>
      <c r="E5" s="36"/>
    </row>
    <row r="7" spans="2:10" ht="16.2" thickBot="1" x14ac:dyDescent="0.35">
      <c r="B7" s="65" t="s">
        <v>507</v>
      </c>
    </row>
    <row r="8" spans="2:10" ht="42" thickBot="1" x14ac:dyDescent="0.35">
      <c r="B8" s="32" t="s">
        <v>1</v>
      </c>
      <c r="C8" s="32" t="s">
        <v>28</v>
      </c>
      <c r="D8" s="32" t="s">
        <v>29</v>
      </c>
      <c r="E8" s="32" t="s">
        <v>30</v>
      </c>
      <c r="F8" s="32" t="s">
        <v>31</v>
      </c>
      <c r="G8" s="32" t="s">
        <v>32</v>
      </c>
      <c r="H8" s="32" t="s">
        <v>33</v>
      </c>
      <c r="I8" s="32" t="s">
        <v>417</v>
      </c>
    </row>
    <row r="9" spans="2:10" ht="25.2" x14ac:dyDescent="0.3">
      <c r="B9" s="12">
        <v>1</v>
      </c>
      <c r="C9" s="12" t="s">
        <v>34</v>
      </c>
      <c r="D9" s="13" t="s">
        <v>35</v>
      </c>
      <c r="E9" s="13" t="s">
        <v>19</v>
      </c>
      <c r="F9" s="33" t="s">
        <v>36</v>
      </c>
      <c r="G9" s="14" t="s">
        <v>37</v>
      </c>
      <c r="H9" s="168" t="s">
        <v>418</v>
      </c>
      <c r="I9" s="173" t="s">
        <v>420</v>
      </c>
    </row>
    <row r="10" spans="2:10" ht="37.799999999999997" x14ac:dyDescent="0.3">
      <c r="B10" s="15">
        <v>2</v>
      </c>
      <c r="C10" s="15" t="s">
        <v>38</v>
      </c>
      <c r="D10" s="16" t="s">
        <v>35</v>
      </c>
      <c r="E10" s="16" t="s">
        <v>19</v>
      </c>
      <c r="F10" s="34"/>
      <c r="G10" s="17" t="s">
        <v>37</v>
      </c>
      <c r="H10" s="169" t="s">
        <v>419</v>
      </c>
      <c r="I10" s="87" t="s">
        <v>421</v>
      </c>
      <c r="J10" s="11"/>
    </row>
    <row r="11" spans="2:10" ht="75.599999999999994" x14ac:dyDescent="0.3">
      <c r="B11" s="18">
        <v>3</v>
      </c>
      <c r="C11" s="18" t="s">
        <v>39</v>
      </c>
      <c r="D11" s="19" t="s">
        <v>35</v>
      </c>
      <c r="E11" s="19" t="s">
        <v>19</v>
      </c>
      <c r="F11" s="35" t="s">
        <v>40</v>
      </c>
      <c r="G11" s="20" t="s">
        <v>37</v>
      </c>
      <c r="H11" s="170" t="s">
        <v>422</v>
      </c>
      <c r="I11" s="87" t="s">
        <v>478</v>
      </c>
    </row>
    <row r="12" spans="2:10" ht="37.799999999999997" x14ac:dyDescent="0.3">
      <c r="B12" s="15">
        <v>4</v>
      </c>
      <c r="C12" s="15" t="s">
        <v>42</v>
      </c>
      <c r="D12" s="16" t="s">
        <v>35</v>
      </c>
      <c r="E12" s="16" t="s">
        <v>19</v>
      </c>
      <c r="F12" s="34"/>
      <c r="G12" s="17" t="s">
        <v>37</v>
      </c>
      <c r="H12" s="169" t="s">
        <v>422</v>
      </c>
      <c r="I12" s="87" t="s">
        <v>478</v>
      </c>
    </row>
    <row r="13" spans="2:10" ht="37.799999999999997" x14ac:dyDescent="0.3">
      <c r="B13" s="21">
        <v>5</v>
      </c>
      <c r="C13" s="21" t="s">
        <v>43</v>
      </c>
      <c r="D13" s="21" t="s">
        <v>35</v>
      </c>
      <c r="E13" s="22" t="s">
        <v>44</v>
      </c>
      <c r="F13" s="23" t="s">
        <v>45</v>
      </c>
      <c r="G13" s="24" t="s">
        <v>35</v>
      </c>
      <c r="H13" s="171" t="s">
        <v>424</v>
      </c>
      <c r="I13" s="63" t="s">
        <v>423</v>
      </c>
    </row>
    <row r="14" spans="2:10" ht="75.599999999999994" x14ac:dyDescent="0.3">
      <c r="B14" s="21">
        <v>6</v>
      </c>
      <c r="C14" s="21" t="s">
        <v>46</v>
      </c>
      <c r="D14" s="21" t="s">
        <v>35</v>
      </c>
      <c r="E14" s="22" t="s">
        <v>47</v>
      </c>
      <c r="F14" s="25" t="s">
        <v>40</v>
      </c>
      <c r="G14" s="24" t="s">
        <v>37</v>
      </c>
      <c r="H14" s="171" t="s">
        <v>433</v>
      </c>
      <c r="I14" s="63" t="s">
        <v>479</v>
      </c>
    </row>
    <row r="15" spans="2:10" ht="25.2" x14ac:dyDescent="0.3">
      <c r="B15" s="21">
        <v>7</v>
      </c>
      <c r="C15" s="21" t="s">
        <v>49</v>
      </c>
      <c r="D15" s="21" t="s">
        <v>35</v>
      </c>
      <c r="E15" s="22" t="s">
        <v>47</v>
      </c>
      <c r="F15" s="25" t="s">
        <v>36</v>
      </c>
      <c r="G15" s="24" t="s">
        <v>37</v>
      </c>
      <c r="H15" s="171" t="s">
        <v>13</v>
      </c>
      <c r="I15" s="63" t="s">
        <v>425</v>
      </c>
    </row>
    <row r="16" spans="2:10" ht="37.799999999999997" x14ac:dyDescent="0.3">
      <c r="B16" s="21">
        <v>8</v>
      </c>
      <c r="C16" s="21" t="s">
        <v>50</v>
      </c>
      <c r="D16" s="21" t="s">
        <v>35</v>
      </c>
      <c r="E16" s="22" t="s">
        <v>47</v>
      </c>
      <c r="F16" s="25" t="s">
        <v>51</v>
      </c>
      <c r="G16" s="24" t="s">
        <v>37</v>
      </c>
      <c r="H16" s="171" t="s">
        <v>7</v>
      </c>
      <c r="I16" s="63" t="s">
        <v>426</v>
      </c>
    </row>
    <row r="17" spans="2:9" ht="37.799999999999997" x14ac:dyDescent="0.3">
      <c r="B17" s="21">
        <v>9</v>
      </c>
      <c r="C17" s="21" t="s">
        <v>52</v>
      </c>
      <c r="D17" s="22" t="s">
        <v>35</v>
      </c>
      <c r="E17" s="22" t="s">
        <v>53</v>
      </c>
      <c r="F17" s="25" t="s">
        <v>36</v>
      </c>
      <c r="G17" s="24" t="s">
        <v>37</v>
      </c>
      <c r="H17" s="171" t="s">
        <v>13</v>
      </c>
      <c r="I17" s="63" t="s">
        <v>425</v>
      </c>
    </row>
    <row r="18" spans="2:9" ht="50.4" x14ac:dyDescent="0.3">
      <c r="B18" s="21">
        <v>10</v>
      </c>
      <c r="C18" s="21" t="s">
        <v>54</v>
      </c>
      <c r="D18" s="21" t="s">
        <v>35</v>
      </c>
      <c r="E18" s="22" t="s">
        <v>55</v>
      </c>
      <c r="F18" s="23" t="s">
        <v>45</v>
      </c>
      <c r="G18" s="24" t="s">
        <v>35</v>
      </c>
      <c r="H18" s="171" t="s">
        <v>428</v>
      </c>
      <c r="I18" s="63" t="s">
        <v>427</v>
      </c>
    </row>
    <row r="19" spans="2:9" ht="37.799999999999997" x14ac:dyDescent="0.3">
      <c r="B19" s="21">
        <v>11</v>
      </c>
      <c r="C19" s="21" t="s">
        <v>56</v>
      </c>
      <c r="D19" s="22" t="s">
        <v>35</v>
      </c>
      <c r="E19" s="22" t="s">
        <v>53</v>
      </c>
      <c r="F19" s="23" t="s">
        <v>57</v>
      </c>
      <c r="G19" s="24" t="s">
        <v>35</v>
      </c>
      <c r="H19" s="171" t="s">
        <v>20</v>
      </c>
      <c r="I19" s="63" t="s">
        <v>429</v>
      </c>
    </row>
    <row r="20" spans="2:9" ht="50.4" x14ac:dyDescent="0.3">
      <c r="B20" s="21">
        <v>12</v>
      </c>
      <c r="C20" s="21" t="s">
        <v>58</v>
      </c>
      <c r="D20" s="22" t="s">
        <v>35</v>
      </c>
      <c r="E20" s="22" t="s">
        <v>53</v>
      </c>
      <c r="F20" s="23" t="s">
        <v>45</v>
      </c>
      <c r="G20" s="24" t="s">
        <v>35</v>
      </c>
      <c r="H20" s="171" t="s">
        <v>428</v>
      </c>
      <c r="I20" s="63" t="s">
        <v>427</v>
      </c>
    </row>
    <row r="21" spans="2:9" ht="75.599999999999994" x14ac:dyDescent="0.3">
      <c r="B21" s="21">
        <v>13</v>
      </c>
      <c r="C21" s="21" t="s">
        <v>59</v>
      </c>
      <c r="D21" s="21" t="s">
        <v>35</v>
      </c>
      <c r="E21" s="22" t="s">
        <v>47</v>
      </c>
      <c r="F21" s="25" t="s">
        <v>40</v>
      </c>
      <c r="G21" s="24" t="s">
        <v>37</v>
      </c>
      <c r="H21" s="171" t="s">
        <v>430</v>
      </c>
      <c r="I21" s="63" t="s">
        <v>431</v>
      </c>
    </row>
    <row r="22" spans="2:9" ht="50.4" x14ac:dyDescent="0.3">
      <c r="B22" s="21">
        <v>14</v>
      </c>
      <c r="C22" s="21" t="s">
        <v>60</v>
      </c>
      <c r="D22" s="21" t="s">
        <v>35</v>
      </c>
      <c r="E22" s="22" t="s">
        <v>47</v>
      </c>
      <c r="F22" s="25" t="s">
        <v>51</v>
      </c>
      <c r="G22" s="24" t="s">
        <v>37</v>
      </c>
      <c r="H22" s="171" t="s">
        <v>419</v>
      </c>
      <c r="I22" s="63" t="s">
        <v>432</v>
      </c>
    </row>
    <row r="23" spans="2:9" ht="51" thickBot="1" x14ac:dyDescent="0.35">
      <c r="B23" s="26">
        <v>15</v>
      </c>
      <c r="C23" s="26" t="s">
        <v>61</v>
      </c>
      <c r="D23" s="27" t="s">
        <v>35</v>
      </c>
      <c r="E23" s="27" t="s">
        <v>53</v>
      </c>
      <c r="F23" s="28" t="s">
        <v>45</v>
      </c>
      <c r="G23" s="29" t="s">
        <v>35</v>
      </c>
      <c r="H23" s="172" t="s">
        <v>428</v>
      </c>
      <c r="I23" s="64" t="s">
        <v>427</v>
      </c>
    </row>
    <row r="25" spans="2:9" ht="16.2" thickBot="1" x14ac:dyDescent="0.35">
      <c r="B25" s="66" t="s">
        <v>0</v>
      </c>
      <c r="C25" s="1"/>
      <c r="D25" s="1"/>
      <c r="E25" s="1"/>
    </row>
    <row r="26" spans="2:9" ht="26.4" thickBot="1" x14ac:dyDescent="0.35">
      <c r="B26" s="30" t="s">
        <v>1</v>
      </c>
      <c r="C26" s="781" t="s">
        <v>2</v>
      </c>
      <c r="D26" s="782"/>
      <c r="E26" s="31" t="s">
        <v>3</v>
      </c>
      <c r="F26" s="30" t="s">
        <v>62</v>
      </c>
    </row>
    <row r="27" spans="2:9" ht="29.25" customHeight="1" x14ac:dyDescent="0.3">
      <c r="B27" s="2" t="s">
        <v>4</v>
      </c>
      <c r="C27" s="783" t="s">
        <v>5</v>
      </c>
      <c r="D27" s="783"/>
      <c r="E27" s="3" t="s">
        <v>6</v>
      </c>
      <c r="F27" s="222" t="s">
        <v>486</v>
      </c>
    </row>
    <row r="28" spans="2:9" ht="54.75" customHeight="1" x14ac:dyDescent="0.3">
      <c r="B28" s="4" t="s">
        <v>7</v>
      </c>
      <c r="C28" s="774" t="s">
        <v>8</v>
      </c>
      <c r="D28" s="774"/>
      <c r="E28" s="5" t="s">
        <v>9</v>
      </c>
      <c r="F28" s="222" t="s">
        <v>473</v>
      </c>
    </row>
    <row r="29" spans="2:9" ht="44.25" customHeight="1" x14ac:dyDescent="0.3">
      <c r="B29" s="4" t="s">
        <v>10</v>
      </c>
      <c r="C29" s="774" t="s">
        <v>11</v>
      </c>
      <c r="D29" s="774"/>
      <c r="E29" s="5" t="s">
        <v>12</v>
      </c>
      <c r="F29" s="220" t="s">
        <v>471</v>
      </c>
    </row>
    <row r="30" spans="2:9" ht="43.5" customHeight="1" x14ac:dyDescent="0.3">
      <c r="B30" s="4" t="s">
        <v>13</v>
      </c>
      <c r="C30" s="774" t="s">
        <v>14</v>
      </c>
      <c r="D30" s="774"/>
      <c r="E30" s="5" t="s">
        <v>6</v>
      </c>
      <c r="F30" s="220" t="s">
        <v>472</v>
      </c>
    </row>
    <row r="31" spans="2:9" ht="30" customHeight="1" x14ac:dyDescent="0.3">
      <c r="B31" s="770" t="s">
        <v>15</v>
      </c>
      <c r="C31" s="777" t="s">
        <v>16</v>
      </c>
      <c r="D31" s="778"/>
      <c r="E31" s="772" t="s">
        <v>6</v>
      </c>
      <c r="F31" s="223" t="s">
        <v>474</v>
      </c>
    </row>
    <row r="32" spans="2:9" ht="30" customHeight="1" x14ac:dyDescent="0.3">
      <c r="B32" s="771"/>
      <c r="C32" s="779"/>
      <c r="D32" s="780"/>
      <c r="E32" s="773"/>
      <c r="F32" s="224" t="s">
        <v>475</v>
      </c>
    </row>
    <row r="33" spans="2:6" ht="33" customHeight="1" x14ac:dyDescent="0.3">
      <c r="B33" s="4" t="s">
        <v>17</v>
      </c>
      <c r="C33" s="774" t="s">
        <v>18</v>
      </c>
      <c r="D33" s="774"/>
      <c r="E33" s="5" t="s">
        <v>19</v>
      </c>
      <c r="F33" s="222" t="s">
        <v>476</v>
      </c>
    </row>
    <row r="34" spans="2:6" ht="258" customHeight="1" thickBot="1" x14ac:dyDescent="0.35">
      <c r="B34" s="6" t="s">
        <v>20</v>
      </c>
      <c r="C34" s="775" t="s">
        <v>21</v>
      </c>
      <c r="D34" s="776"/>
      <c r="E34" s="7" t="s">
        <v>22</v>
      </c>
      <c r="F34" s="221" t="s">
        <v>477</v>
      </c>
    </row>
    <row r="36" spans="2:6" s="11" customFormat="1" ht="13.8" x14ac:dyDescent="0.25"/>
    <row r="37" spans="2:6" s="11" customFormat="1" ht="13.8" x14ac:dyDescent="0.25"/>
    <row r="38" spans="2:6" s="11" customFormat="1" ht="13.8" x14ac:dyDescent="0.25"/>
    <row r="39" spans="2:6" s="11" customFormat="1" ht="13.8" x14ac:dyDescent="0.25"/>
    <row r="40" spans="2:6" s="11" customFormat="1" ht="13.8" x14ac:dyDescent="0.25"/>
    <row r="41" spans="2:6" s="11" customFormat="1" ht="13.8" x14ac:dyDescent="0.25"/>
  </sheetData>
  <mergeCells count="10">
    <mergeCell ref="C26:D26"/>
    <mergeCell ref="C27:D27"/>
    <mergeCell ref="C28:D28"/>
    <mergeCell ref="C29:D29"/>
    <mergeCell ref="C30:D30"/>
    <mergeCell ref="B31:B32"/>
    <mergeCell ref="E31:E32"/>
    <mergeCell ref="C33:D33"/>
    <mergeCell ref="C34:D34"/>
    <mergeCell ref="C31:D32"/>
  </mergeCells>
  <hyperlinks>
    <hyperlink ref="F27" r:id="rId1" xr:uid="{00000000-0004-0000-0200-000000000000}"/>
    <hyperlink ref="F28" r:id="rId2" display="Click Here" xr:uid="{00000000-0004-0000-0200-000001000000}"/>
    <hyperlink ref="F33" r:id="rId3" display="Click Here" xr:uid="{00000000-0004-0000-0200-000002000000}"/>
    <hyperlink ref="F31" r:id="rId4" display="..\..\Category 2 DAK\Assets\01.Fixed assets\01.FA Sch II-depreciation 17-18.xlsx" xr:uid="{00000000-0004-0000-0200-000003000000}"/>
    <hyperlink ref="F32" r:id="rId5" display="Refer Depreciation workings as per Companies Act" xr:uid="{00000000-0004-0000-0200-000004000000}"/>
  </hyperlinks>
  <pageMargins left="0.7" right="0.7" top="0.75" bottom="0.75" header="0.3" footer="0.3"/>
  <pageSetup paperSize="9" orientation="portrait" verticalDpi="0"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265"/>
  <sheetViews>
    <sheetView workbookViewId="0"/>
  </sheetViews>
  <sheetFormatPr defaultRowHeight="14.4" x14ac:dyDescent="0.3"/>
  <cols>
    <col min="2" max="2" width="24.33203125" style="289" bestFit="1" customWidth="1"/>
    <col min="3" max="3" width="26.6640625" style="289" bestFit="1" customWidth="1"/>
    <col min="4" max="6" width="9" bestFit="1" customWidth="1"/>
    <col min="7" max="7" width="12.109375" bestFit="1" customWidth="1"/>
    <col min="8" max="8" width="12.6640625" bestFit="1" customWidth="1"/>
    <col min="12" max="12" width="35.109375" customWidth="1"/>
  </cols>
  <sheetData>
    <row r="2" spans="2:13" x14ac:dyDescent="0.3">
      <c r="D2" s="784" t="s">
        <v>544</v>
      </c>
      <c r="E2" s="784"/>
      <c r="F2" s="784"/>
      <c r="G2" s="335"/>
      <c r="H2" s="335"/>
    </row>
    <row r="3" spans="2:13" ht="26.4" x14ac:dyDescent="0.3">
      <c r="B3" s="336" t="s">
        <v>1282</v>
      </c>
      <c r="C3" s="336" t="s">
        <v>1275</v>
      </c>
      <c r="D3" s="336" t="s">
        <v>547</v>
      </c>
      <c r="E3" s="336" t="s">
        <v>548</v>
      </c>
      <c r="F3" s="336" t="s">
        <v>549</v>
      </c>
      <c r="G3" s="336" t="s">
        <v>550</v>
      </c>
      <c r="H3" s="337" t="s">
        <v>1280</v>
      </c>
      <c r="J3" s="345" t="s">
        <v>1286</v>
      </c>
      <c r="K3" s="345" t="s">
        <v>1281</v>
      </c>
      <c r="L3" s="345" t="s">
        <v>1288</v>
      </c>
      <c r="M3" s="345" t="s">
        <v>1281</v>
      </c>
    </row>
    <row r="4" spans="2:13" x14ac:dyDescent="0.3">
      <c r="B4" s="333" t="s">
        <v>24</v>
      </c>
      <c r="C4" s="333"/>
      <c r="D4" s="340" t="e">
        <f>SUMIF(#REF!,'NET Summary'!$B4,#REF!)</f>
        <v>#REF!</v>
      </c>
      <c r="E4" s="340" t="e">
        <f>SUMIF(#REF!,'NET Summary'!$B4,#REF!)</f>
        <v>#REF!</v>
      </c>
      <c r="F4" s="340" t="e">
        <f>SUMIF(#REF!,'NET Summary'!$B4,#REF!)</f>
        <v>#REF!</v>
      </c>
      <c r="G4" s="340" t="e">
        <f>SUMIF(#REF!,'NET Summary'!$B4,#REF!)</f>
        <v>#REF!</v>
      </c>
      <c r="H4" s="340" t="e">
        <f>SUMIF(#REF!,'NET Summary'!$B4,#REF!)</f>
        <v>#REF!</v>
      </c>
      <c r="M4" s="218" t="e">
        <f>F4/8</f>
        <v>#REF!</v>
      </c>
    </row>
    <row r="5" spans="2:13" x14ac:dyDescent="0.3">
      <c r="B5" s="334"/>
      <c r="C5" s="334" t="s">
        <v>1283</v>
      </c>
      <c r="D5" s="351"/>
      <c r="E5" s="351"/>
      <c r="F5" s="351"/>
      <c r="G5" s="351"/>
      <c r="H5" s="351"/>
      <c r="J5">
        <v>96</v>
      </c>
      <c r="K5">
        <f>SUM(J5/8)</f>
        <v>12</v>
      </c>
      <c r="L5" t="s">
        <v>997</v>
      </c>
      <c r="M5" s="218"/>
    </row>
    <row r="6" spans="2:13" x14ac:dyDescent="0.3">
      <c r="B6" s="334"/>
      <c r="C6" s="334" t="s">
        <v>1284</v>
      </c>
      <c r="D6" s="351"/>
      <c r="E6" s="351"/>
      <c r="F6" s="351"/>
      <c r="G6" s="351"/>
      <c r="H6" s="351"/>
      <c r="J6">
        <v>12</v>
      </c>
      <c r="K6">
        <f t="shared" ref="K6:K8" si="0">SUM(J6/8)</f>
        <v>1.5</v>
      </c>
      <c r="L6" s="218" t="s">
        <v>1289</v>
      </c>
    </row>
    <row r="7" spans="2:13" x14ac:dyDescent="0.3">
      <c r="B7" s="334"/>
      <c r="C7" s="334" t="s">
        <v>1285</v>
      </c>
      <c r="D7" s="351"/>
      <c r="E7" s="351"/>
      <c r="F7" s="351"/>
      <c r="G7" s="351"/>
      <c r="H7" s="351"/>
      <c r="J7">
        <v>4</v>
      </c>
      <c r="K7">
        <f t="shared" si="0"/>
        <v>0.5</v>
      </c>
      <c r="L7" s="218" t="s">
        <v>1289</v>
      </c>
      <c r="M7" s="218"/>
    </row>
    <row r="8" spans="2:13" x14ac:dyDescent="0.3">
      <c r="B8" s="334"/>
      <c r="C8" s="334" t="s">
        <v>1287</v>
      </c>
      <c r="D8" s="351"/>
      <c r="E8" s="351"/>
      <c r="F8" s="351"/>
      <c r="G8" s="351"/>
      <c r="H8" s="351"/>
      <c r="J8">
        <v>16</v>
      </c>
      <c r="K8">
        <f t="shared" si="0"/>
        <v>2</v>
      </c>
      <c r="L8" t="s">
        <v>542</v>
      </c>
      <c r="M8" s="218"/>
    </row>
    <row r="9" spans="2:13" x14ac:dyDescent="0.3">
      <c r="B9" s="334" t="s">
        <v>527</v>
      </c>
      <c r="C9" s="334"/>
      <c r="D9" s="339" t="e">
        <f>SUMIF(#REF!,'NET Summary'!$B9,#REF!)</f>
        <v>#REF!</v>
      </c>
      <c r="E9" s="339" t="e">
        <f>SUMIF(#REF!,'NET Summary'!$B9,#REF!)</f>
        <v>#REF!</v>
      </c>
      <c r="F9" s="339" t="e">
        <f>SUMIF(#REF!,'NET Summary'!$B9,#REF!)</f>
        <v>#REF!</v>
      </c>
      <c r="G9" s="339" t="e">
        <f>SUMIF(#REF!,'NET Summary'!$B9,#REF!)</f>
        <v>#REF!</v>
      </c>
      <c r="H9" s="339" t="e">
        <f>SUMIF(#REF!,'NET Summary'!$B9,#REF!)</f>
        <v>#REF!</v>
      </c>
      <c r="M9" s="218" t="e">
        <f t="shared" ref="M9:M68" si="1">F9/8</f>
        <v>#REF!</v>
      </c>
    </row>
    <row r="10" spans="2:13" x14ac:dyDescent="0.3">
      <c r="B10" s="334"/>
      <c r="C10" s="334" t="s">
        <v>1290</v>
      </c>
      <c r="D10" s="351"/>
      <c r="E10" s="351"/>
      <c r="F10" s="351"/>
      <c r="G10" s="351"/>
      <c r="H10" s="351"/>
      <c r="J10">
        <v>16</v>
      </c>
      <c r="K10">
        <f t="shared" ref="K10:K12" si="2">SUM(J10/8)</f>
        <v>2</v>
      </c>
      <c r="L10" t="s">
        <v>1059</v>
      </c>
      <c r="M10" s="218"/>
    </row>
    <row r="11" spans="2:13" x14ac:dyDescent="0.3">
      <c r="B11" s="334"/>
      <c r="C11" s="334" t="s">
        <v>1291</v>
      </c>
      <c r="D11" s="351"/>
      <c r="E11" s="351"/>
      <c r="F11" s="351"/>
      <c r="G11" s="351"/>
      <c r="H11" s="351"/>
      <c r="J11">
        <v>4</v>
      </c>
      <c r="K11">
        <f t="shared" si="2"/>
        <v>0.5</v>
      </c>
      <c r="L11" t="s">
        <v>1269</v>
      </c>
      <c r="M11" s="218"/>
    </row>
    <row r="12" spans="2:13" x14ac:dyDescent="0.3">
      <c r="B12" s="334"/>
      <c r="C12" s="334" t="s">
        <v>1292</v>
      </c>
      <c r="D12" s="351"/>
      <c r="E12" s="351"/>
      <c r="F12" s="351"/>
      <c r="G12" s="351"/>
      <c r="H12" s="351"/>
      <c r="J12">
        <v>4</v>
      </c>
      <c r="K12">
        <f t="shared" si="2"/>
        <v>0.5</v>
      </c>
      <c r="L12" t="s">
        <v>1269</v>
      </c>
      <c r="M12" s="218"/>
    </row>
    <row r="13" spans="2:13" x14ac:dyDescent="0.3">
      <c r="B13" s="334"/>
      <c r="C13" s="334" t="s">
        <v>1293</v>
      </c>
      <c r="D13" s="351"/>
      <c r="E13" s="351"/>
      <c r="F13" s="351"/>
      <c r="G13" s="351"/>
      <c r="H13" s="351"/>
      <c r="J13">
        <v>8</v>
      </c>
      <c r="K13">
        <f t="shared" ref="K13" si="3">SUM(J13/8)</f>
        <v>1</v>
      </c>
      <c r="L13" t="s">
        <v>542</v>
      </c>
      <c r="M13" s="218"/>
    </row>
    <row r="14" spans="2:13" x14ac:dyDescent="0.3">
      <c r="B14" s="334" t="s">
        <v>1012</v>
      </c>
      <c r="C14" s="334"/>
      <c r="D14" s="339" t="e">
        <f>SUMIF(#REF!,'NET Summary'!$B14,#REF!)</f>
        <v>#REF!</v>
      </c>
      <c r="E14" s="339" t="e">
        <f>SUMIF(#REF!,'NET Summary'!$B14,#REF!)</f>
        <v>#REF!</v>
      </c>
      <c r="F14" s="339" t="e">
        <f>SUMIF(#REF!,'NET Summary'!$B14,#REF!)</f>
        <v>#REF!</v>
      </c>
      <c r="G14" s="339" t="e">
        <f>SUMIF(#REF!,'NET Summary'!$B14,#REF!)</f>
        <v>#REF!</v>
      </c>
      <c r="H14" s="339" t="e">
        <f>SUMIF(#REF!,'NET Summary'!$B14,#REF!)</f>
        <v>#REF!</v>
      </c>
      <c r="M14" s="218" t="e">
        <f t="shared" si="1"/>
        <v>#REF!</v>
      </c>
    </row>
    <row r="15" spans="2:13" x14ac:dyDescent="0.3">
      <c r="B15" s="334"/>
      <c r="C15" s="334" t="s">
        <v>1326</v>
      </c>
      <c r="D15" s="351"/>
      <c r="E15" s="351"/>
      <c r="F15" s="351"/>
      <c r="G15" s="351"/>
      <c r="H15" s="351"/>
      <c r="J15">
        <f>K15*8</f>
        <v>72</v>
      </c>
      <c r="K15">
        <v>9</v>
      </c>
      <c r="L15" t="s">
        <v>1289</v>
      </c>
      <c r="M15" s="218"/>
    </row>
    <row r="16" spans="2:13" x14ac:dyDescent="0.3">
      <c r="B16" s="334"/>
      <c r="C16" s="334" t="s">
        <v>1327</v>
      </c>
      <c r="D16" s="351"/>
      <c r="E16" s="351"/>
      <c r="F16" s="351"/>
      <c r="G16" s="351"/>
      <c r="H16" s="351"/>
      <c r="J16">
        <f t="shared" ref="J16:J22" si="4">K16*8</f>
        <v>24</v>
      </c>
      <c r="K16">
        <v>3</v>
      </c>
      <c r="L16" t="s">
        <v>1269</v>
      </c>
      <c r="M16" s="218"/>
    </row>
    <row r="17" spans="2:15" x14ac:dyDescent="0.3">
      <c r="B17" s="334"/>
      <c r="C17" s="334" t="s">
        <v>1329</v>
      </c>
      <c r="D17" s="351"/>
      <c r="E17" s="351"/>
      <c r="F17" s="351"/>
      <c r="G17" s="351"/>
      <c r="H17" s="351"/>
      <c r="J17">
        <f t="shared" si="4"/>
        <v>16</v>
      </c>
      <c r="K17">
        <v>2</v>
      </c>
      <c r="L17" t="s">
        <v>997</v>
      </c>
      <c r="M17" s="218"/>
    </row>
    <row r="18" spans="2:15" x14ac:dyDescent="0.3">
      <c r="B18" s="334"/>
      <c r="C18" s="334" t="s">
        <v>1329</v>
      </c>
      <c r="D18" s="351"/>
      <c r="E18" s="351"/>
      <c r="F18" s="351"/>
      <c r="G18" s="351"/>
      <c r="H18" s="351"/>
      <c r="J18">
        <f t="shared" si="4"/>
        <v>16</v>
      </c>
      <c r="K18">
        <v>2</v>
      </c>
      <c r="L18" t="s">
        <v>1289</v>
      </c>
      <c r="M18" s="218"/>
    </row>
    <row r="19" spans="2:15" x14ac:dyDescent="0.3">
      <c r="B19" s="334"/>
      <c r="C19" s="334" t="s">
        <v>1330</v>
      </c>
      <c r="D19" s="351"/>
      <c r="E19" s="351"/>
      <c r="F19" s="351"/>
      <c r="G19" s="351"/>
      <c r="H19" s="351"/>
      <c r="J19">
        <f t="shared" si="4"/>
        <v>40</v>
      </c>
      <c r="K19">
        <v>5</v>
      </c>
      <c r="L19" t="s">
        <v>997</v>
      </c>
      <c r="M19" s="218"/>
    </row>
    <row r="20" spans="2:15" x14ac:dyDescent="0.3">
      <c r="B20" s="334"/>
      <c r="C20" s="334" t="s">
        <v>1331</v>
      </c>
      <c r="D20" s="351"/>
      <c r="E20" s="351"/>
      <c r="F20" s="351"/>
      <c r="G20" s="351"/>
      <c r="H20" s="351"/>
      <c r="J20">
        <f t="shared" si="4"/>
        <v>12</v>
      </c>
      <c r="K20">
        <v>1.5</v>
      </c>
      <c r="L20" t="s">
        <v>997</v>
      </c>
      <c r="M20" s="218"/>
    </row>
    <row r="21" spans="2:15" x14ac:dyDescent="0.3">
      <c r="B21" s="334"/>
      <c r="C21" s="334" t="s">
        <v>1328</v>
      </c>
      <c r="D21" s="351"/>
      <c r="E21" s="351"/>
      <c r="F21" s="351"/>
      <c r="G21" s="351"/>
      <c r="H21" s="351"/>
      <c r="J21">
        <f t="shared" si="4"/>
        <v>80</v>
      </c>
      <c r="K21">
        <v>10</v>
      </c>
      <c r="L21" t="s">
        <v>543</v>
      </c>
      <c r="M21" s="218"/>
    </row>
    <row r="22" spans="2:15" x14ac:dyDescent="0.3">
      <c r="B22" s="334"/>
      <c r="C22" s="334" t="s">
        <v>1332</v>
      </c>
      <c r="D22" s="351"/>
      <c r="E22" s="351"/>
      <c r="F22" s="351"/>
      <c r="G22" s="351"/>
      <c r="H22" s="351"/>
      <c r="J22">
        <f t="shared" si="4"/>
        <v>16</v>
      </c>
      <c r="K22">
        <v>2</v>
      </c>
      <c r="L22" t="s">
        <v>543</v>
      </c>
      <c r="M22" s="218"/>
    </row>
    <row r="23" spans="2:15" x14ac:dyDescent="0.3">
      <c r="B23" s="334"/>
      <c r="C23" s="334" t="s">
        <v>1333</v>
      </c>
      <c r="D23" s="351"/>
      <c r="E23" s="351"/>
      <c r="F23" s="351"/>
      <c r="G23" s="351"/>
      <c r="H23" s="351"/>
      <c r="J23">
        <v>24</v>
      </c>
      <c r="K23">
        <v>3</v>
      </c>
      <c r="L23" t="s">
        <v>542</v>
      </c>
      <c r="M23" s="218"/>
    </row>
    <row r="24" spans="2:15" x14ac:dyDescent="0.3">
      <c r="B24" s="334"/>
      <c r="C24" s="334" t="s">
        <v>1333</v>
      </c>
      <c r="D24" s="351"/>
      <c r="E24" s="351"/>
      <c r="F24" s="351"/>
      <c r="G24" s="351"/>
      <c r="H24" s="351"/>
      <c r="J24">
        <v>24</v>
      </c>
      <c r="K24">
        <v>3</v>
      </c>
      <c r="L24" t="s">
        <v>1334</v>
      </c>
      <c r="M24" s="218"/>
    </row>
    <row r="25" spans="2:15" x14ac:dyDescent="0.3">
      <c r="B25" s="338" t="s">
        <v>190</v>
      </c>
      <c r="C25" s="338"/>
      <c r="D25" s="339" t="e">
        <f>SUMIF(#REF!,'NET Summary'!$B25,#REF!)</f>
        <v>#REF!</v>
      </c>
      <c r="E25" s="339" t="e">
        <f>SUMIF(#REF!,'NET Summary'!$B25,#REF!)</f>
        <v>#REF!</v>
      </c>
      <c r="F25" s="339" t="e">
        <f>SUMIF(#REF!,'NET Summary'!$B25,#REF!)</f>
        <v>#REF!</v>
      </c>
      <c r="G25" s="339" t="e">
        <f>SUMIF(#REF!,'NET Summary'!$B25,#REF!)</f>
        <v>#REF!</v>
      </c>
      <c r="H25" s="339" t="e">
        <f>SUMIF(#REF!,'NET Summary'!$B25,#REF!)</f>
        <v>#REF!</v>
      </c>
      <c r="M25" s="218" t="e">
        <f t="shared" si="1"/>
        <v>#REF!</v>
      </c>
    </row>
    <row r="26" spans="2:15" x14ac:dyDescent="0.3">
      <c r="B26" s="338"/>
      <c r="C26" s="338" t="s">
        <v>1294</v>
      </c>
      <c r="D26" s="351"/>
      <c r="E26" s="351"/>
      <c r="F26" s="351"/>
      <c r="G26" s="351"/>
      <c r="H26" s="351"/>
      <c r="J26">
        <v>16</v>
      </c>
      <c r="K26">
        <f t="shared" ref="K26:K29" si="5">SUM(J26/8)</f>
        <v>2</v>
      </c>
      <c r="L26" t="s">
        <v>1289</v>
      </c>
      <c r="M26" s="218"/>
    </row>
    <row r="27" spans="2:15" x14ac:dyDescent="0.3">
      <c r="B27" s="338"/>
      <c r="C27" s="338" t="s">
        <v>1295</v>
      </c>
      <c r="D27" s="351"/>
      <c r="E27" s="351"/>
      <c r="F27" s="351"/>
      <c r="G27" s="351"/>
      <c r="H27" s="351"/>
      <c r="J27">
        <v>4</v>
      </c>
      <c r="K27">
        <f t="shared" si="5"/>
        <v>0.5</v>
      </c>
      <c r="L27" t="s">
        <v>542</v>
      </c>
      <c r="M27" s="218"/>
    </row>
    <row r="28" spans="2:15" x14ac:dyDescent="0.3">
      <c r="B28" s="338" t="s">
        <v>480</v>
      </c>
      <c r="C28" s="338"/>
      <c r="D28" s="339" t="e">
        <f>SUMIF(#REF!,'NET Summary'!$B28,#REF!)</f>
        <v>#REF!</v>
      </c>
      <c r="E28" s="339" t="e">
        <f>SUMIF(#REF!,'NET Summary'!$B28,#REF!)</f>
        <v>#REF!</v>
      </c>
      <c r="F28" s="339" t="e">
        <f>SUMIF(#REF!,'NET Summary'!$B28,#REF!)</f>
        <v>#REF!</v>
      </c>
      <c r="G28" s="339" t="e">
        <f>SUMIF(#REF!,'NET Summary'!$B28,#REF!)</f>
        <v>#REF!</v>
      </c>
      <c r="H28" s="339" t="e">
        <f>SUMIF(#REF!,'NET Summary'!$B28,#REF!)</f>
        <v>#REF!</v>
      </c>
      <c r="M28" s="218" t="e">
        <f t="shared" si="1"/>
        <v>#REF!</v>
      </c>
    </row>
    <row r="29" spans="2:15" x14ac:dyDescent="0.3">
      <c r="B29" s="338"/>
      <c r="C29" s="338" t="s">
        <v>1296</v>
      </c>
      <c r="D29" s="351"/>
      <c r="E29" s="351"/>
      <c r="F29" s="351"/>
      <c r="G29" s="351"/>
      <c r="H29" s="351"/>
      <c r="J29">
        <v>40</v>
      </c>
      <c r="K29">
        <f t="shared" si="5"/>
        <v>5</v>
      </c>
      <c r="L29" t="s">
        <v>1205</v>
      </c>
      <c r="M29" s="218"/>
    </row>
    <row r="30" spans="2:15" x14ac:dyDescent="0.3">
      <c r="B30" s="338"/>
      <c r="C30" s="338" t="s">
        <v>1297</v>
      </c>
      <c r="D30" s="351"/>
      <c r="E30" s="351"/>
      <c r="F30" s="351"/>
      <c r="G30" s="351"/>
      <c r="H30" s="351"/>
      <c r="J30">
        <v>8</v>
      </c>
      <c r="K30">
        <f t="shared" ref="K30:K38" si="6">SUM(J30/8)</f>
        <v>1</v>
      </c>
      <c r="L30" t="s">
        <v>542</v>
      </c>
      <c r="M30" s="218"/>
    </row>
    <row r="31" spans="2:15" x14ac:dyDescent="0.3">
      <c r="B31" s="338" t="s">
        <v>63</v>
      </c>
      <c r="C31" s="338"/>
      <c r="D31" s="339" t="e">
        <f>SUMIF(#REF!,'NET Summary'!$B31,#REF!)</f>
        <v>#REF!</v>
      </c>
      <c r="E31" s="339" t="e">
        <f>SUMIF(#REF!,'NET Summary'!$B31,#REF!)</f>
        <v>#REF!</v>
      </c>
      <c r="F31" s="339" t="e">
        <f>SUMIF(#REF!,'NET Summary'!$B31,#REF!)</f>
        <v>#REF!</v>
      </c>
      <c r="G31" s="339" t="e">
        <f>SUMIF(#REF!,'NET Summary'!$B31,#REF!)</f>
        <v>#REF!</v>
      </c>
      <c r="H31" s="339" t="e">
        <f>SUMIF(#REF!,'NET Summary'!$B31,#REF!)</f>
        <v>#REF!</v>
      </c>
      <c r="M31" s="218" t="e">
        <f t="shared" si="1"/>
        <v>#REF!</v>
      </c>
    </row>
    <row r="32" spans="2:15" x14ac:dyDescent="0.3">
      <c r="B32" s="338"/>
      <c r="C32" s="338" t="s">
        <v>1298</v>
      </c>
      <c r="D32" s="351"/>
      <c r="E32" s="351"/>
      <c r="F32" s="351"/>
      <c r="G32" s="351"/>
      <c r="H32" s="351"/>
      <c r="J32">
        <f>14*8</f>
        <v>112</v>
      </c>
      <c r="K32">
        <f t="shared" si="6"/>
        <v>14</v>
      </c>
      <c r="L32" t="s">
        <v>1299</v>
      </c>
      <c r="M32" s="218"/>
      <c r="O32">
        <f>J32/2</f>
        <v>56</v>
      </c>
    </row>
    <row r="33" spans="2:13" x14ac:dyDescent="0.3">
      <c r="B33" s="338"/>
      <c r="C33" s="338" t="s">
        <v>1300</v>
      </c>
      <c r="D33" s="351"/>
      <c r="E33" s="351"/>
      <c r="F33" s="351"/>
      <c r="G33" s="351"/>
      <c r="H33" s="351"/>
      <c r="J33">
        <f>12*8</f>
        <v>96</v>
      </c>
      <c r="K33">
        <f t="shared" si="6"/>
        <v>12</v>
      </c>
      <c r="L33" t="s">
        <v>1302</v>
      </c>
      <c r="M33" s="218"/>
    </row>
    <row r="34" spans="2:13" x14ac:dyDescent="0.3">
      <c r="B34" s="338"/>
      <c r="C34" s="338" t="s">
        <v>1301</v>
      </c>
      <c r="D34" s="351"/>
      <c r="E34" s="351"/>
      <c r="F34" s="351"/>
      <c r="G34" s="351"/>
      <c r="H34" s="351"/>
      <c r="J34">
        <v>24</v>
      </c>
      <c r="K34">
        <f t="shared" si="6"/>
        <v>3</v>
      </c>
      <c r="L34" t="s">
        <v>1299</v>
      </c>
      <c r="M34" s="218"/>
    </row>
    <row r="35" spans="2:13" x14ac:dyDescent="0.3">
      <c r="B35" s="338"/>
      <c r="C35" s="338" t="s">
        <v>1303</v>
      </c>
      <c r="D35" s="351"/>
      <c r="E35" s="351"/>
      <c r="F35" s="351"/>
      <c r="G35" s="351"/>
      <c r="H35" s="351"/>
      <c r="J35">
        <v>16</v>
      </c>
      <c r="K35">
        <f t="shared" si="6"/>
        <v>2</v>
      </c>
      <c r="L35" t="s">
        <v>1299</v>
      </c>
      <c r="M35" s="218"/>
    </row>
    <row r="36" spans="2:13" x14ac:dyDescent="0.3">
      <c r="B36" s="338"/>
      <c r="C36" s="338" t="s">
        <v>1304</v>
      </c>
      <c r="D36" s="351"/>
      <c r="E36" s="351"/>
      <c r="F36" s="351"/>
      <c r="G36" s="351"/>
      <c r="H36" s="351"/>
      <c r="J36">
        <v>16</v>
      </c>
      <c r="K36">
        <f t="shared" si="6"/>
        <v>2</v>
      </c>
      <c r="L36" t="s">
        <v>542</v>
      </c>
      <c r="M36" s="218"/>
    </row>
    <row r="37" spans="2:13" x14ac:dyDescent="0.3">
      <c r="B37" s="338"/>
      <c r="C37" s="338" t="s">
        <v>1304</v>
      </c>
      <c r="D37" s="351"/>
      <c r="E37" s="351"/>
      <c r="F37" s="351"/>
      <c r="G37" s="351"/>
      <c r="H37" s="351"/>
      <c r="J37">
        <v>32</v>
      </c>
      <c r="K37">
        <f t="shared" si="6"/>
        <v>4</v>
      </c>
      <c r="L37" t="s">
        <v>1305</v>
      </c>
      <c r="M37" s="218"/>
    </row>
    <row r="38" spans="2:13" x14ac:dyDescent="0.3">
      <c r="B38" s="338"/>
      <c r="C38" s="338" t="s">
        <v>1306</v>
      </c>
      <c r="D38" s="351"/>
      <c r="E38" s="351"/>
      <c r="F38" s="351"/>
      <c r="G38" s="351"/>
      <c r="H38" s="351"/>
      <c r="J38">
        <v>24</v>
      </c>
      <c r="K38">
        <f t="shared" si="6"/>
        <v>3</v>
      </c>
      <c r="L38" t="s">
        <v>1305</v>
      </c>
      <c r="M38" s="218"/>
    </row>
    <row r="39" spans="2:13" x14ac:dyDescent="0.3">
      <c r="B39" s="338" t="s">
        <v>517</v>
      </c>
      <c r="C39" s="338"/>
      <c r="D39" s="339" t="e">
        <f>SUMIF(#REF!,'NET Summary'!$B39,#REF!)</f>
        <v>#REF!</v>
      </c>
      <c r="E39" s="339" t="e">
        <f>SUMIF(#REF!,'NET Summary'!$B39,#REF!)</f>
        <v>#REF!</v>
      </c>
      <c r="F39" s="339" t="e">
        <f>SUMIF(#REF!,'NET Summary'!$B39,#REF!)</f>
        <v>#REF!</v>
      </c>
      <c r="G39" s="339" t="e">
        <f>SUMIF(#REF!,'NET Summary'!$B39,#REF!)</f>
        <v>#REF!</v>
      </c>
      <c r="H39" s="339" t="e">
        <f>SUMIF(#REF!,'NET Summary'!$B39,#REF!)</f>
        <v>#REF!</v>
      </c>
      <c r="M39" s="218" t="e">
        <f t="shared" si="1"/>
        <v>#REF!</v>
      </c>
    </row>
    <row r="40" spans="2:13" x14ac:dyDescent="0.3">
      <c r="B40" s="338"/>
      <c r="C40" s="338" t="s">
        <v>1307</v>
      </c>
      <c r="D40" s="351"/>
      <c r="E40" s="351"/>
      <c r="F40" s="351"/>
      <c r="G40" s="351"/>
      <c r="H40" s="351"/>
      <c r="J40">
        <f>K40*8</f>
        <v>8</v>
      </c>
      <c r="K40">
        <v>1</v>
      </c>
      <c r="L40" t="s">
        <v>1289</v>
      </c>
      <c r="M40" s="218"/>
    </row>
    <row r="41" spans="2:13" x14ac:dyDescent="0.3">
      <c r="B41" s="338"/>
      <c r="C41" s="338" t="s">
        <v>1308</v>
      </c>
      <c r="D41" s="351"/>
      <c r="E41" s="351"/>
      <c r="F41" s="351"/>
      <c r="G41" s="351"/>
      <c r="H41" s="351"/>
      <c r="J41">
        <f t="shared" ref="J41:J60" si="7">K41*8</f>
        <v>16</v>
      </c>
      <c r="K41">
        <v>2</v>
      </c>
      <c r="L41" t="s">
        <v>1289</v>
      </c>
      <c r="M41" s="218"/>
    </row>
    <row r="42" spans="2:13" x14ac:dyDescent="0.3">
      <c r="B42" s="338"/>
      <c r="C42" s="338" t="s">
        <v>1309</v>
      </c>
      <c r="D42" s="351"/>
      <c r="E42" s="351"/>
      <c r="F42" s="351"/>
      <c r="G42" s="351"/>
      <c r="H42" s="351"/>
      <c r="J42">
        <f t="shared" si="7"/>
        <v>8</v>
      </c>
      <c r="K42">
        <v>1</v>
      </c>
      <c r="L42" t="s">
        <v>543</v>
      </c>
      <c r="M42" s="218"/>
    </row>
    <row r="43" spans="2:13" x14ac:dyDescent="0.3">
      <c r="B43" s="338"/>
      <c r="C43" s="338" t="s">
        <v>1310</v>
      </c>
      <c r="D43" s="351"/>
      <c r="E43" s="351"/>
      <c r="F43" s="351"/>
      <c r="G43" s="351"/>
      <c r="H43" s="351"/>
      <c r="J43">
        <f t="shared" si="7"/>
        <v>8</v>
      </c>
      <c r="K43">
        <v>1</v>
      </c>
      <c r="L43" t="s">
        <v>543</v>
      </c>
      <c r="M43" s="218"/>
    </row>
    <row r="44" spans="2:13" x14ac:dyDescent="0.3">
      <c r="B44" s="338"/>
      <c r="C44" s="338" t="s">
        <v>1310</v>
      </c>
      <c r="D44" s="351"/>
      <c r="E44" s="351"/>
      <c r="F44" s="351"/>
      <c r="G44" s="351"/>
      <c r="H44" s="351"/>
      <c r="J44">
        <f t="shared" si="7"/>
        <v>8</v>
      </c>
      <c r="K44">
        <v>1</v>
      </c>
      <c r="L44" t="s">
        <v>542</v>
      </c>
      <c r="M44" s="218"/>
    </row>
    <row r="45" spans="2:13" x14ac:dyDescent="0.3">
      <c r="B45" s="338" t="s">
        <v>590</v>
      </c>
      <c r="C45" s="338"/>
      <c r="D45" s="339" t="e">
        <f>SUMIF(#REF!,'NET Summary'!$B45,#REF!)</f>
        <v>#REF!</v>
      </c>
      <c r="E45" s="339" t="e">
        <f>SUMIF(#REF!,'NET Summary'!$B45,#REF!)</f>
        <v>#REF!</v>
      </c>
      <c r="F45" s="339" t="e">
        <f>SUMIF(#REF!,'NET Summary'!$B45,#REF!)</f>
        <v>#REF!</v>
      </c>
      <c r="G45" s="339" t="e">
        <f>SUMIF(#REF!,'NET Summary'!$B45,#REF!)</f>
        <v>#REF!</v>
      </c>
      <c r="H45" s="339" t="e">
        <f>SUMIF(#REF!,'NET Summary'!$B45,#REF!)</f>
        <v>#REF!</v>
      </c>
      <c r="M45" s="218" t="e">
        <f t="shared" si="1"/>
        <v>#REF!</v>
      </c>
    </row>
    <row r="46" spans="2:13" x14ac:dyDescent="0.3">
      <c r="B46" s="338"/>
      <c r="C46" s="338" t="s">
        <v>1311</v>
      </c>
      <c r="D46" s="351"/>
      <c r="E46" s="351"/>
      <c r="F46" s="351"/>
      <c r="G46" s="351"/>
      <c r="H46" s="351"/>
      <c r="J46">
        <f t="shared" si="7"/>
        <v>8</v>
      </c>
      <c r="K46">
        <v>1</v>
      </c>
      <c r="L46" t="s">
        <v>1289</v>
      </c>
      <c r="M46" s="218"/>
    </row>
    <row r="47" spans="2:13" x14ac:dyDescent="0.3">
      <c r="B47" s="338"/>
      <c r="C47" s="338" t="s">
        <v>1312</v>
      </c>
      <c r="D47" s="351"/>
      <c r="E47" s="351"/>
      <c r="F47" s="351"/>
      <c r="G47" s="351"/>
      <c r="H47" s="351"/>
      <c r="J47">
        <f t="shared" si="7"/>
        <v>16</v>
      </c>
      <c r="K47">
        <v>2</v>
      </c>
      <c r="L47" t="s">
        <v>1289</v>
      </c>
      <c r="M47" s="218"/>
    </row>
    <row r="48" spans="2:13" x14ac:dyDescent="0.3">
      <c r="B48" s="338"/>
      <c r="C48" s="338" t="s">
        <v>1313</v>
      </c>
      <c r="D48" s="351"/>
      <c r="E48" s="351"/>
      <c r="F48" s="351"/>
      <c r="G48" s="351"/>
      <c r="H48" s="351"/>
      <c r="J48">
        <f t="shared" si="7"/>
        <v>8</v>
      </c>
      <c r="K48">
        <v>1</v>
      </c>
      <c r="L48" t="s">
        <v>543</v>
      </c>
      <c r="M48" s="218"/>
    </row>
    <row r="49" spans="2:13" x14ac:dyDescent="0.3">
      <c r="B49" s="338"/>
      <c r="C49" s="338" t="s">
        <v>1314</v>
      </c>
      <c r="D49" s="351"/>
      <c r="E49" s="351"/>
      <c r="F49" s="351"/>
      <c r="G49" s="351"/>
      <c r="H49" s="351"/>
      <c r="J49">
        <f t="shared" si="7"/>
        <v>8</v>
      </c>
      <c r="K49">
        <v>1</v>
      </c>
      <c r="L49" t="s">
        <v>543</v>
      </c>
      <c r="M49" s="218"/>
    </row>
    <row r="50" spans="2:13" x14ac:dyDescent="0.3">
      <c r="B50" s="338"/>
      <c r="C50" s="338" t="s">
        <v>1314</v>
      </c>
      <c r="D50" s="351"/>
      <c r="E50" s="351"/>
      <c r="F50" s="351"/>
      <c r="G50" s="351"/>
      <c r="H50" s="351"/>
      <c r="J50">
        <f t="shared" si="7"/>
        <v>8</v>
      </c>
      <c r="K50">
        <v>1</v>
      </c>
      <c r="L50" t="s">
        <v>542</v>
      </c>
      <c r="M50" s="218"/>
    </row>
    <row r="51" spans="2:13" x14ac:dyDescent="0.3">
      <c r="B51" s="338" t="s">
        <v>596</v>
      </c>
      <c r="C51" s="338"/>
      <c r="D51" s="339" t="e">
        <f>SUMIF(#REF!,'NET Summary'!$B51,#REF!)</f>
        <v>#REF!</v>
      </c>
      <c r="E51" s="339" t="e">
        <f>SUMIF(#REF!,'NET Summary'!$B51,#REF!)</f>
        <v>#REF!</v>
      </c>
      <c r="F51" s="339" t="e">
        <f>SUMIF(#REF!,'NET Summary'!$B51,#REF!)</f>
        <v>#REF!</v>
      </c>
      <c r="G51" s="339" t="e">
        <f>SUMIF(#REF!,'NET Summary'!$B51,#REF!)</f>
        <v>#REF!</v>
      </c>
      <c r="H51" s="339" t="e">
        <f>SUMIF(#REF!,'NET Summary'!$B51,#REF!)</f>
        <v>#REF!</v>
      </c>
      <c r="M51" s="218" t="e">
        <f t="shared" si="1"/>
        <v>#REF!</v>
      </c>
    </row>
    <row r="52" spans="2:13" x14ac:dyDescent="0.3">
      <c r="B52" s="338"/>
      <c r="C52" s="338" t="s">
        <v>1318</v>
      </c>
      <c r="D52" s="351"/>
      <c r="E52" s="351"/>
      <c r="F52" s="351"/>
      <c r="G52" s="351"/>
      <c r="H52" s="351"/>
      <c r="J52">
        <f t="shared" si="7"/>
        <v>8</v>
      </c>
      <c r="K52">
        <v>1</v>
      </c>
      <c r="L52" t="s">
        <v>1289</v>
      </c>
      <c r="M52" s="218"/>
    </row>
    <row r="53" spans="2:13" x14ac:dyDescent="0.3">
      <c r="B53" s="338"/>
      <c r="C53" s="338" t="s">
        <v>1319</v>
      </c>
      <c r="D53" s="351"/>
      <c r="E53" s="351"/>
      <c r="F53" s="351"/>
      <c r="G53" s="351"/>
      <c r="H53" s="351"/>
      <c r="J53">
        <f t="shared" si="7"/>
        <v>16</v>
      </c>
      <c r="K53">
        <v>2</v>
      </c>
      <c r="L53" t="s">
        <v>1289</v>
      </c>
      <c r="M53" s="218"/>
    </row>
    <row r="54" spans="2:13" x14ac:dyDescent="0.3">
      <c r="B54" s="338"/>
      <c r="C54" s="338" t="s">
        <v>1315</v>
      </c>
      <c r="D54" s="351"/>
      <c r="E54" s="351"/>
      <c r="F54" s="351"/>
      <c r="G54" s="351"/>
      <c r="H54" s="351"/>
      <c r="J54">
        <f t="shared" si="7"/>
        <v>16</v>
      </c>
      <c r="K54">
        <v>2</v>
      </c>
      <c r="L54" t="s">
        <v>1289</v>
      </c>
      <c r="M54" s="218"/>
    </row>
    <row r="55" spans="2:13" x14ac:dyDescent="0.3">
      <c r="B55" s="338"/>
      <c r="C55" s="338" t="s">
        <v>1316</v>
      </c>
      <c r="D55" s="351"/>
      <c r="E55" s="351"/>
      <c r="F55" s="351"/>
      <c r="G55" s="351"/>
      <c r="H55" s="351"/>
      <c r="J55">
        <f t="shared" si="7"/>
        <v>8</v>
      </c>
      <c r="K55">
        <v>1</v>
      </c>
      <c r="L55" t="s">
        <v>1289</v>
      </c>
      <c r="M55" s="218"/>
    </row>
    <row r="56" spans="2:13" x14ac:dyDescent="0.3">
      <c r="B56" s="338"/>
      <c r="C56" s="338" t="s">
        <v>1317</v>
      </c>
      <c r="D56" s="351"/>
      <c r="E56" s="351"/>
      <c r="F56" s="351"/>
      <c r="G56" s="351"/>
      <c r="H56" s="351"/>
      <c r="J56">
        <f t="shared" si="7"/>
        <v>8</v>
      </c>
      <c r="K56">
        <v>1</v>
      </c>
      <c r="L56" t="s">
        <v>543</v>
      </c>
      <c r="M56" s="218"/>
    </row>
    <row r="57" spans="2:13" x14ac:dyDescent="0.3">
      <c r="B57" s="338"/>
      <c r="C57" s="338" t="s">
        <v>1320</v>
      </c>
      <c r="D57" s="351"/>
      <c r="E57" s="351"/>
      <c r="F57" s="351"/>
      <c r="G57" s="351"/>
      <c r="H57" s="351"/>
      <c r="J57">
        <f t="shared" si="7"/>
        <v>16</v>
      </c>
      <c r="K57">
        <v>2</v>
      </c>
      <c r="L57" t="s">
        <v>542</v>
      </c>
      <c r="M57" s="218"/>
    </row>
    <row r="58" spans="2:13" x14ac:dyDescent="0.3">
      <c r="B58" s="338"/>
      <c r="C58" s="338" t="s">
        <v>1320</v>
      </c>
      <c r="D58" s="351"/>
      <c r="E58" s="351"/>
      <c r="F58" s="351"/>
      <c r="G58" s="351"/>
      <c r="H58" s="351"/>
      <c r="J58">
        <f t="shared" si="7"/>
        <v>16</v>
      </c>
      <c r="K58">
        <v>2</v>
      </c>
      <c r="L58" t="s">
        <v>543</v>
      </c>
      <c r="M58" s="218"/>
    </row>
    <row r="59" spans="2:13" x14ac:dyDescent="0.3">
      <c r="B59" s="338" t="s">
        <v>530</v>
      </c>
      <c r="C59" s="338"/>
      <c r="D59" s="339" t="e">
        <f>SUMIF(#REF!,'NET Summary'!$B59,#REF!)</f>
        <v>#REF!</v>
      </c>
      <c r="E59" s="339" t="e">
        <f>SUMIF(#REF!,'NET Summary'!$B59,#REF!)</f>
        <v>#REF!</v>
      </c>
      <c r="F59" s="339" t="e">
        <f>SUMIF(#REF!,'NET Summary'!$B59,#REF!)</f>
        <v>#REF!</v>
      </c>
      <c r="G59" s="339" t="e">
        <f>SUMIF(#REF!,'NET Summary'!$B59,#REF!)</f>
        <v>#REF!</v>
      </c>
      <c r="H59" s="339" t="e">
        <f>SUMIF(#REF!,'NET Summary'!$B59,#REF!)</f>
        <v>#REF!</v>
      </c>
      <c r="M59" s="218" t="e">
        <f t="shared" si="1"/>
        <v>#REF!</v>
      </c>
    </row>
    <row r="60" spans="2:13" x14ac:dyDescent="0.3">
      <c r="B60" s="338"/>
      <c r="C60" s="338" t="s">
        <v>1321</v>
      </c>
      <c r="D60" s="351"/>
      <c r="E60" s="351"/>
      <c r="F60" s="351"/>
      <c r="G60" s="351"/>
      <c r="H60" s="351"/>
      <c r="J60">
        <f t="shared" si="7"/>
        <v>40</v>
      </c>
      <c r="K60">
        <v>5</v>
      </c>
      <c r="L60" t="s">
        <v>1289</v>
      </c>
      <c r="M60" s="218"/>
    </row>
    <row r="61" spans="2:13" x14ac:dyDescent="0.3">
      <c r="B61" s="338"/>
      <c r="C61" s="338" t="s">
        <v>1322</v>
      </c>
      <c r="D61" s="351"/>
      <c r="E61" s="351"/>
      <c r="F61" s="351"/>
      <c r="G61" s="351"/>
      <c r="H61" s="351"/>
      <c r="J61">
        <v>4</v>
      </c>
      <c r="K61">
        <v>0.5</v>
      </c>
      <c r="L61" t="s">
        <v>542</v>
      </c>
      <c r="M61" s="218"/>
    </row>
    <row r="62" spans="2:13" x14ac:dyDescent="0.3">
      <c r="B62" s="338" t="s">
        <v>709</v>
      </c>
      <c r="C62" s="338"/>
      <c r="D62" s="339" t="e">
        <f>SUMIF(#REF!,'NET Summary'!$B62,#REF!)</f>
        <v>#REF!</v>
      </c>
      <c r="E62" s="339" t="e">
        <f>SUMIF(#REF!,'NET Summary'!$B62,#REF!)</f>
        <v>#REF!</v>
      </c>
      <c r="F62" s="339" t="e">
        <f>SUMIF(#REF!,'NET Summary'!$B62,#REF!)</f>
        <v>#REF!</v>
      </c>
      <c r="G62" s="339" t="e">
        <f>SUMIF(#REF!,'NET Summary'!$B62,#REF!)</f>
        <v>#REF!</v>
      </c>
      <c r="H62" s="339" t="e">
        <f>SUMIF(#REF!,'NET Summary'!$B62,#REF!)</f>
        <v>#REF!</v>
      </c>
      <c r="M62" s="218" t="e">
        <f t="shared" si="1"/>
        <v>#REF!</v>
      </c>
    </row>
    <row r="63" spans="2:13" x14ac:dyDescent="0.3">
      <c r="B63" s="338"/>
      <c r="C63" s="347" t="s">
        <v>1323</v>
      </c>
      <c r="D63" s="348"/>
      <c r="E63" s="348"/>
      <c r="F63" s="348"/>
      <c r="G63" s="348"/>
      <c r="H63" s="348"/>
      <c r="I63" s="255"/>
      <c r="J63" s="255">
        <v>8</v>
      </c>
      <c r="K63" s="255">
        <v>1</v>
      </c>
      <c r="L63" s="255" t="s">
        <v>997</v>
      </c>
      <c r="M63" s="349"/>
    </row>
    <row r="64" spans="2:13" x14ac:dyDescent="0.3">
      <c r="B64" s="338"/>
      <c r="C64" s="347" t="s">
        <v>1324</v>
      </c>
      <c r="D64" s="348"/>
      <c r="E64" s="348"/>
      <c r="F64" s="348"/>
      <c r="G64" s="348"/>
      <c r="H64" s="348"/>
      <c r="I64" s="255"/>
      <c r="J64" s="255">
        <v>40</v>
      </c>
      <c r="K64" s="255">
        <f>J64/8</f>
        <v>5</v>
      </c>
      <c r="L64" s="255" t="s">
        <v>1325</v>
      </c>
      <c r="M64" s="349"/>
    </row>
    <row r="65" spans="2:13" x14ac:dyDescent="0.3">
      <c r="B65" s="350" t="s">
        <v>1276</v>
      </c>
      <c r="C65" s="350"/>
      <c r="D65" s="348" t="e">
        <f>SUMIF(#REF!,'NET Summary'!$B65,#REF!)</f>
        <v>#REF!</v>
      </c>
      <c r="E65" s="348" t="e">
        <f>SUMIF(#REF!,'NET Summary'!$B65,#REF!)</f>
        <v>#REF!</v>
      </c>
      <c r="F65" s="348" t="e">
        <f>SUMIF(#REF!,'NET Summary'!$B65,#REF!)</f>
        <v>#REF!</v>
      </c>
      <c r="G65" s="348" t="e">
        <f>SUMIF(#REF!,'NET Summary'!$B65,#REF!)</f>
        <v>#REF!</v>
      </c>
      <c r="H65" s="348" t="e">
        <f>SUMIF(#REF!,'NET Summary'!$B65,#REF!)</f>
        <v>#REF!</v>
      </c>
      <c r="I65" s="255"/>
      <c r="J65" s="255">
        <v>40</v>
      </c>
      <c r="K65" s="255">
        <f>J65/8</f>
        <v>5</v>
      </c>
      <c r="L65" s="255" t="s">
        <v>997</v>
      </c>
      <c r="M65" s="349" t="e">
        <f t="shared" si="1"/>
        <v>#REF!</v>
      </c>
    </row>
    <row r="66" spans="2:13" x14ac:dyDescent="0.3">
      <c r="B66" s="350" t="s">
        <v>1279</v>
      </c>
      <c r="C66" s="350"/>
      <c r="D66" s="348" t="e">
        <f>SUMIF(#REF!,'NET Summary'!$B66,#REF!)</f>
        <v>#REF!</v>
      </c>
      <c r="E66" s="348" t="e">
        <f>SUMIF(#REF!,'NET Summary'!$B66,#REF!)</f>
        <v>#REF!</v>
      </c>
      <c r="F66" s="348" t="e">
        <f>SUMIF(#REF!,'NET Summary'!$B66,#REF!)</f>
        <v>#REF!</v>
      </c>
      <c r="G66" s="348" t="e">
        <f>SUMIF(#REF!,'NET Summary'!$B66,#REF!)</f>
        <v>#REF!</v>
      </c>
      <c r="H66" s="348" t="e">
        <f>SUMIF(#REF!,'NET Summary'!$B66,#REF!)</f>
        <v>#REF!</v>
      </c>
      <c r="I66" s="255"/>
      <c r="J66" s="255">
        <v>12</v>
      </c>
      <c r="K66" s="255">
        <f>J66/8</f>
        <v>1.5</v>
      </c>
      <c r="L66" s="255" t="s">
        <v>997</v>
      </c>
      <c r="M66" s="349" t="e">
        <f t="shared" si="1"/>
        <v>#REF!</v>
      </c>
    </row>
    <row r="67" spans="2:13" x14ac:dyDescent="0.3">
      <c r="B67" s="341" t="s">
        <v>1277</v>
      </c>
      <c r="C67" s="341"/>
      <c r="D67" s="339" t="e">
        <f>SUMIF(#REF!,'NET Summary'!$B67,#REF!)</f>
        <v>#REF!</v>
      </c>
      <c r="E67" s="339" t="e">
        <f>SUMIF(#REF!,'NET Summary'!$B67,#REF!)</f>
        <v>#REF!</v>
      </c>
      <c r="F67" s="339" t="e">
        <f>SUMIF(#REF!,'NET Summary'!$B67,#REF!)</f>
        <v>#REF!</v>
      </c>
      <c r="G67" s="339" t="e">
        <f>SUMIF(#REF!,'NET Summary'!$B67,#REF!)</f>
        <v>#REF!</v>
      </c>
      <c r="H67" s="339" t="e">
        <f>SUMIF(#REF!,'NET Summary'!$B67,#REF!)</f>
        <v>#REF!</v>
      </c>
      <c r="M67" s="218" t="e">
        <f t="shared" si="1"/>
        <v>#REF!</v>
      </c>
    </row>
    <row r="68" spans="2:13" x14ac:dyDescent="0.3">
      <c r="B68" s="341" t="s">
        <v>1278</v>
      </c>
      <c r="C68" s="341"/>
      <c r="D68" s="339" t="e">
        <f>SUMIF(#REF!,'NET Summary'!$B68,#REF!)</f>
        <v>#REF!</v>
      </c>
      <c r="E68" s="339" t="e">
        <f>SUMIF(#REF!,'NET Summary'!$B68,#REF!)</f>
        <v>#REF!</v>
      </c>
      <c r="F68" s="339" t="e">
        <f>SUMIF(#REF!,'NET Summary'!$B68,#REF!)</f>
        <v>#REF!</v>
      </c>
      <c r="G68" s="339" t="e">
        <f>SUMIF(#REF!,'NET Summary'!$B68,#REF!)</f>
        <v>#REF!</v>
      </c>
      <c r="H68" s="339" t="e">
        <f>SUMIF(#REF!,'NET Summary'!$B68,#REF!)</f>
        <v>#REF!</v>
      </c>
      <c r="M68" s="218" t="e">
        <f t="shared" si="1"/>
        <v>#REF!</v>
      </c>
    </row>
    <row r="69" spans="2:13" x14ac:dyDescent="0.3">
      <c r="B69" s="343" t="s">
        <v>1050</v>
      </c>
      <c r="C69" s="343"/>
      <c r="D69" s="212"/>
      <c r="E69" s="212"/>
      <c r="F69" s="344"/>
      <c r="G69" s="212"/>
      <c r="H69" s="342" t="e">
        <f>SUM(H4:H68)</f>
        <v>#REF!</v>
      </c>
    </row>
    <row r="70" spans="2:13" x14ac:dyDescent="0.3">
      <c r="B70"/>
      <c r="C70"/>
    </row>
    <row r="71" spans="2:13" x14ac:dyDescent="0.3">
      <c r="B71" s="346"/>
      <c r="C71" s="346"/>
      <c r="F71" s="218"/>
    </row>
    <row r="72" spans="2:13" x14ac:dyDescent="0.3">
      <c r="B72"/>
      <c r="C72"/>
    </row>
    <row r="73" spans="2:13" x14ac:dyDescent="0.3">
      <c r="B73"/>
      <c r="C73"/>
      <c r="F73" s="218"/>
      <c r="G73" s="218"/>
    </row>
    <row r="74" spans="2:13" x14ac:dyDescent="0.3">
      <c r="B74"/>
      <c r="C74"/>
    </row>
    <row r="75" spans="2:13" x14ac:dyDescent="0.3">
      <c r="B75"/>
      <c r="C75"/>
    </row>
    <row r="76" spans="2:13" x14ac:dyDescent="0.3">
      <c r="B76"/>
      <c r="C76"/>
    </row>
    <row r="77" spans="2:13" x14ac:dyDescent="0.3">
      <c r="B77"/>
      <c r="C77"/>
    </row>
    <row r="78" spans="2:13" x14ac:dyDescent="0.3">
      <c r="B78"/>
      <c r="C78"/>
    </row>
    <row r="79" spans="2:13" x14ac:dyDescent="0.3">
      <c r="B79"/>
      <c r="C79"/>
    </row>
    <row r="80" spans="2:13" x14ac:dyDescent="0.3">
      <c r="B80"/>
      <c r="C80"/>
    </row>
    <row r="81" spans="2:3" x14ac:dyDescent="0.3">
      <c r="B81"/>
      <c r="C81"/>
    </row>
    <row r="82" spans="2:3" x14ac:dyDescent="0.3">
      <c r="B82"/>
      <c r="C82"/>
    </row>
    <row r="83" spans="2:3" x14ac:dyDescent="0.3">
      <c r="B83"/>
      <c r="C83"/>
    </row>
    <row r="84" spans="2:3" x14ac:dyDescent="0.3">
      <c r="B84"/>
      <c r="C84"/>
    </row>
    <row r="85" spans="2:3" x14ac:dyDescent="0.3">
      <c r="B85"/>
      <c r="C85"/>
    </row>
    <row r="86" spans="2:3" x14ac:dyDescent="0.3">
      <c r="B86"/>
      <c r="C86"/>
    </row>
    <row r="87" spans="2:3" x14ac:dyDescent="0.3">
      <c r="B87"/>
      <c r="C87"/>
    </row>
    <row r="88" spans="2:3" x14ac:dyDescent="0.3">
      <c r="B88"/>
      <c r="C88"/>
    </row>
    <row r="89" spans="2:3" x14ac:dyDescent="0.3">
      <c r="B89"/>
      <c r="C89"/>
    </row>
    <row r="90" spans="2:3" x14ac:dyDescent="0.3">
      <c r="B90"/>
      <c r="C90"/>
    </row>
    <row r="91" spans="2:3" x14ac:dyDescent="0.3">
      <c r="B91"/>
      <c r="C91"/>
    </row>
    <row r="92" spans="2:3" x14ac:dyDescent="0.3">
      <c r="B92"/>
      <c r="C92"/>
    </row>
    <row r="93" spans="2:3" x14ac:dyDescent="0.3">
      <c r="B93"/>
      <c r="C93"/>
    </row>
    <row r="94" spans="2:3" x14ac:dyDescent="0.3">
      <c r="B94"/>
      <c r="C94"/>
    </row>
    <row r="95" spans="2:3" x14ac:dyDescent="0.3">
      <c r="B95"/>
      <c r="C95"/>
    </row>
    <row r="96" spans="2:3" x14ac:dyDescent="0.3">
      <c r="B96"/>
      <c r="C96"/>
    </row>
    <row r="97" spans="2:3" x14ac:dyDescent="0.3">
      <c r="B97"/>
      <c r="C97"/>
    </row>
    <row r="98" spans="2:3" x14ac:dyDescent="0.3">
      <c r="B98"/>
      <c r="C98"/>
    </row>
    <row r="99" spans="2:3" x14ac:dyDescent="0.3">
      <c r="B99"/>
      <c r="C99"/>
    </row>
    <row r="100" spans="2:3" x14ac:dyDescent="0.3">
      <c r="B100"/>
      <c r="C100"/>
    </row>
    <row r="101" spans="2:3" x14ac:dyDescent="0.3">
      <c r="B101"/>
      <c r="C101"/>
    </row>
    <row r="102" spans="2:3" x14ac:dyDescent="0.3">
      <c r="B102"/>
      <c r="C102"/>
    </row>
    <row r="103" spans="2:3" x14ac:dyDescent="0.3">
      <c r="B103"/>
      <c r="C103"/>
    </row>
    <row r="104" spans="2:3" x14ac:dyDescent="0.3">
      <c r="B104"/>
      <c r="C104"/>
    </row>
    <row r="105" spans="2:3" x14ac:dyDescent="0.3">
      <c r="B105"/>
      <c r="C105"/>
    </row>
    <row r="106" spans="2:3" x14ac:dyDescent="0.3">
      <c r="B106"/>
      <c r="C106"/>
    </row>
    <row r="107" spans="2:3" x14ac:dyDescent="0.3">
      <c r="B107"/>
      <c r="C107"/>
    </row>
    <row r="108" spans="2:3" x14ac:dyDescent="0.3">
      <c r="B108"/>
      <c r="C108"/>
    </row>
    <row r="109" spans="2:3" x14ac:dyDescent="0.3">
      <c r="B109"/>
      <c r="C109"/>
    </row>
    <row r="110" spans="2:3" x14ac:dyDescent="0.3">
      <c r="B110"/>
      <c r="C110"/>
    </row>
    <row r="111" spans="2:3" x14ac:dyDescent="0.3">
      <c r="B111"/>
      <c r="C111"/>
    </row>
    <row r="112" spans="2:3" x14ac:dyDescent="0.3">
      <c r="B112"/>
      <c r="C112"/>
    </row>
    <row r="113" spans="2:3" x14ac:dyDescent="0.3">
      <c r="B113"/>
      <c r="C113"/>
    </row>
    <row r="114" spans="2:3" x14ac:dyDescent="0.3">
      <c r="B114"/>
      <c r="C114"/>
    </row>
    <row r="115" spans="2:3" x14ac:dyDescent="0.3">
      <c r="B115"/>
      <c r="C115"/>
    </row>
    <row r="116" spans="2:3" x14ac:dyDescent="0.3">
      <c r="B116"/>
      <c r="C116"/>
    </row>
    <row r="117" spans="2:3" x14ac:dyDescent="0.3">
      <c r="B117"/>
      <c r="C117"/>
    </row>
    <row r="118" spans="2:3" x14ac:dyDescent="0.3">
      <c r="B118"/>
      <c r="C118"/>
    </row>
    <row r="119" spans="2:3" x14ac:dyDescent="0.3">
      <c r="B119"/>
      <c r="C119"/>
    </row>
    <row r="120" spans="2:3" x14ac:dyDescent="0.3">
      <c r="B120"/>
      <c r="C120"/>
    </row>
    <row r="121" spans="2:3" x14ac:dyDescent="0.3">
      <c r="B121"/>
      <c r="C121"/>
    </row>
    <row r="122" spans="2:3" x14ac:dyDescent="0.3">
      <c r="B122"/>
      <c r="C122"/>
    </row>
    <row r="123" spans="2:3" x14ac:dyDescent="0.3">
      <c r="B123"/>
      <c r="C123"/>
    </row>
    <row r="124" spans="2:3" x14ac:dyDescent="0.3">
      <c r="B124"/>
      <c r="C124"/>
    </row>
    <row r="125" spans="2:3" x14ac:dyDescent="0.3">
      <c r="B125"/>
      <c r="C125"/>
    </row>
    <row r="126" spans="2:3" x14ac:dyDescent="0.3">
      <c r="B126"/>
      <c r="C126"/>
    </row>
    <row r="127" spans="2:3" x14ac:dyDescent="0.3">
      <c r="B127"/>
      <c r="C127"/>
    </row>
    <row r="128" spans="2:3" x14ac:dyDescent="0.3">
      <c r="B128"/>
      <c r="C128"/>
    </row>
    <row r="129" spans="2:3" x14ac:dyDescent="0.3">
      <c r="B129"/>
      <c r="C129"/>
    </row>
    <row r="130" spans="2:3" x14ac:dyDescent="0.3">
      <c r="B130"/>
      <c r="C130"/>
    </row>
    <row r="131" spans="2:3" x14ac:dyDescent="0.3">
      <c r="B131"/>
      <c r="C131"/>
    </row>
    <row r="132" spans="2:3" x14ac:dyDescent="0.3">
      <c r="B132"/>
      <c r="C132"/>
    </row>
    <row r="133" spans="2:3" x14ac:dyDescent="0.3">
      <c r="B133"/>
      <c r="C133"/>
    </row>
    <row r="134" spans="2:3" x14ac:dyDescent="0.3">
      <c r="B134"/>
      <c r="C134"/>
    </row>
    <row r="135" spans="2:3" x14ac:dyDescent="0.3">
      <c r="B135"/>
      <c r="C135"/>
    </row>
    <row r="136" spans="2:3" x14ac:dyDescent="0.3">
      <c r="B136"/>
      <c r="C136"/>
    </row>
    <row r="137" spans="2:3" x14ac:dyDescent="0.3">
      <c r="B137"/>
      <c r="C137"/>
    </row>
    <row r="138" spans="2:3" x14ac:dyDescent="0.3">
      <c r="B138"/>
      <c r="C138"/>
    </row>
    <row r="139" spans="2:3" x14ac:dyDescent="0.3">
      <c r="B139"/>
      <c r="C139"/>
    </row>
    <row r="140" spans="2:3" x14ac:dyDescent="0.3">
      <c r="B140"/>
      <c r="C140"/>
    </row>
    <row r="141" spans="2:3" x14ac:dyDescent="0.3">
      <c r="B141"/>
      <c r="C141"/>
    </row>
    <row r="142" spans="2:3" x14ac:dyDescent="0.3">
      <c r="B142"/>
      <c r="C142"/>
    </row>
    <row r="143" spans="2:3" x14ac:dyDescent="0.3">
      <c r="B143"/>
      <c r="C143"/>
    </row>
    <row r="144" spans="2:3" x14ac:dyDescent="0.3">
      <c r="B144"/>
      <c r="C144"/>
    </row>
    <row r="145" spans="2:3" x14ac:dyDescent="0.3">
      <c r="B145"/>
      <c r="C145"/>
    </row>
    <row r="146" spans="2:3" x14ac:dyDescent="0.3">
      <c r="B146"/>
      <c r="C146"/>
    </row>
    <row r="147" spans="2:3" x14ac:dyDescent="0.3">
      <c r="B147"/>
      <c r="C147"/>
    </row>
    <row r="148" spans="2:3" x14ac:dyDescent="0.3">
      <c r="B148"/>
      <c r="C148"/>
    </row>
    <row r="149" spans="2:3" x14ac:dyDescent="0.3">
      <c r="B149"/>
      <c r="C149"/>
    </row>
    <row r="150" spans="2:3" x14ac:dyDescent="0.3">
      <c r="B150"/>
      <c r="C150"/>
    </row>
    <row r="151" spans="2:3" x14ac:dyDescent="0.3">
      <c r="B151"/>
      <c r="C151"/>
    </row>
    <row r="152" spans="2:3" x14ac:dyDescent="0.3">
      <c r="B152"/>
      <c r="C152"/>
    </row>
    <row r="153" spans="2:3" x14ac:dyDescent="0.3">
      <c r="B153"/>
      <c r="C153"/>
    </row>
    <row r="154" spans="2:3" x14ac:dyDescent="0.3">
      <c r="B154"/>
      <c r="C154"/>
    </row>
    <row r="155" spans="2:3" x14ac:dyDescent="0.3">
      <c r="B155"/>
      <c r="C155"/>
    </row>
    <row r="156" spans="2:3" x14ac:dyDescent="0.3">
      <c r="B156"/>
      <c r="C156"/>
    </row>
    <row r="157" spans="2:3" x14ac:dyDescent="0.3">
      <c r="B157"/>
      <c r="C157"/>
    </row>
    <row r="158" spans="2:3" x14ac:dyDescent="0.3">
      <c r="B158"/>
      <c r="C158"/>
    </row>
    <row r="159" spans="2:3" x14ac:dyDescent="0.3">
      <c r="B159"/>
      <c r="C159"/>
    </row>
    <row r="160" spans="2:3" x14ac:dyDescent="0.3">
      <c r="B160"/>
      <c r="C160"/>
    </row>
    <row r="161" spans="2:3" x14ac:dyDescent="0.3">
      <c r="B161"/>
      <c r="C161"/>
    </row>
    <row r="162" spans="2:3" x14ac:dyDescent="0.3">
      <c r="B162"/>
      <c r="C162"/>
    </row>
    <row r="163" spans="2:3" x14ac:dyDescent="0.3">
      <c r="B163"/>
      <c r="C163"/>
    </row>
    <row r="164" spans="2:3" x14ac:dyDescent="0.3">
      <c r="B164"/>
      <c r="C164"/>
    </row>
    <row r="165" spans="2:3" x14ac:dyDescent="0.3">
      <c r="B165"/>
      <c r="C165"/>
    </row>
    <row r="166" spans="2:3" x14ac:dyDescent="0.3">
      <c r="B166"/>
      <c r="C166"/>
    </row>
    <row r="167" spans="2:3" x14ac:dyDescent="0.3">
      <c r="B167"/>
      <c r="C167"/>
    </row>
    <row r="168" spans="2:3" x14ac:dyDescent="0.3">
      <c r="B168"/>
      <c r="C168"/>
    </row>
    <row r="169" spans="2:3" x14ac:dyDescent="0.3">
      <c r="B169"/>
      <c r="C169"/>
    </row>
    <row r="170" spans="2:3" x14ac:dyDescent="0.3">
      <c r="B170"/>
      <c r="C170"/>
    </row>
    <row r="171" spans="2:3" x14ac:dyDescent="0.3">
      <c r="B171"/>
      <c r="C171"/>
    </row>
    <row r="172" spans="2:3" x14ac:dyDescent="0.3">
      <c r="B172"/>
      <c r="C172"/>
    </row>
    <row r="173" spans="2:3" x14ac:dyDescent="0.3">
      <c r="B173"/>
      <c r="C173"/>
    </row>
    <row r="174" spans="2:3" x14ac:dyDescent="0.3">
      <c r="B174"/>
      <c r="C174"/>
    </row>
    <row r="175" spans="2:3" x14ac:dyDescent="0.3">
      <c r="B175"/>
      <c r="C175"/>
    </row>
    <row r="176" spans="2:3" x14ac:dyDescent="0.3">
      <c r="B176"/>
      <c r="C176"/>
    </row>
    <row r="177" spans="2:3" x14ac:dyDescent="0.3">
      <c r="B177"/>
      <c r="C177"/>
    </row>
    <row r="178" spans="2:3" x14ac:dyDescent="0.3">
      <c r="B178"/>
      <c r="C178"/>
    </row>
    <row r="179" spans="2:3" x14ac:dyDescent="0.3">
      <c r="B179"/>
      <c r="C179"/>
    </row>
    <row r="180" spans="2:3" x14ac:dyDescent="0.3">
      <c r="B180"/>
      <c r="C180"/>
    </row>
    <row r="181" spans="2:3" x14ac:dyDescent="0.3">
      <c r="B181"/>
      <c r="C181"/>
    </row>
    <row r="182" spans="2:3" x14ac:dyDescent="0.3">
      <c r="B182"/>
      <c r="C182"/>
    </row>
    <row r="183" spans="2:3" x14ac:dyDescent="0.3">
      <c r="B183"/>
      <c r="C183"/>
    </row>
    <row r="184" spans="2:3" x14ac:dyDescent="0.3">
      <c r="B184"/>
      <c r="C184"/>
    </row>
    <row r="185" spans="2:3" x14ac:dyDescent="0.3">
      <c r="B185"/>
      <c r="C185"/>
    </row>
    <row r="186" spans="2:3" x14ac:dyDescent="0.3">
      <c r="B186"/>
      <c r="C186"/>
    </row>
    <row r="187" spans="2:3" x14ac:dyDescent="0.3">
      <c r="B187"/>
      <c r="C187"/>
    </row>
    <row r="188" spans="2:3" x14ac:dyDescent="0.3">
      <c r="B188"/>
      <c r="C188"/>
    </row>
    <row r="189" spans="2:3" x14ac:dyDescent="0.3">
      <c r="B189"/>
      <c r="C189"/>
    </row>
    <row r="190" spans="2:3" x14ac:dyDescent="0.3">
      <c r="B190"/>
      <c r="C190"/>
    </row>
    <row r="191" spans="2:3" x14ac:dyDescent="0.3">
      <c r="B191"/>
      <c r="C191"/>
    </row>
    <row r="192" spans="2:3" x14ac:dyDescent="0.3">
      <c r="B192"/>
      <c r="C192"/>
    </row>
    <row r="193" spans="2:3" x14ac:dyDescent="0.3">
      <c r="B193"/>
      <c r="C193"/>
    </row>
    <row r="194" spans="2:3" x14ac:dyDescent="0.3">
      <c r="B194"/>
      <c r="C194"/>
    </row>
    <row r="195" spans="2:3" x14ac:dyDescent="0.3">
      <c r="B195"/>
      <c r="C195"/>
    </row>
    <row r="196" spans="2:3" x14ac:dyDescent="0.3">
      <c r="B196"/>
      <c r="C196"/>
    </row>
    <row r="197" spans="2:3" x14ac:dyDescent="0.3">
      <c r="B197"/>
      <c r="C197"/>
    </row>
    <row r="198" spans="2:3" x14ac:dyDescent="0.3">
      <c r="B198"/>
      <c r="C198"/>
    </row>
    <row r="199" spans="2:3" x14ac:dyDescent="0.3">
      <c r="B199"/>
      <c r="C199"/>
    </row>
    <row r="200" spans="2:3" x14ac:dyDescent="0.3">
      <c r="B200"/>
      <c r="C200"/>
    </row>
    <row r="201" spans="2:3" x14ac:dyDescent="0.3">
      <c r="B201"/>
      <c r="C201"/>
    </row>
    <row r="202" spans="2:3" x14ac:dyDescent="0.3">
      <c r="B202"/>
      <c r="C202"/>
    </row>
    <row r="203" spans="2:3" x14ac:dyDescent="0.3">
      <c r="B203"/>
      <c r="C203"/>
    </row>
    <row r="204" spans="2:3" x14ac:dyDescent="0.3">
      <c r="B204"/>
      <c r="C204"/>
    </row>
    <row r="205" spans="2:3" x14ac:dyDescent="0.3">
      <c r="B205"/>
      <c r="C205"/>
    </row>
    <row r="206" spans="2:3" x14ac:dyDescent="0.3">
      <c r="B206"/>
      <c r="C206"/>
    </row>
    <row r="207" spans="2:3" x14ac:dyDescent="0.3">
      <c r="B207"/>
      <c r="C207"/>
    </row>
    <row r="208" spans="2:3" x14ac:dyDescent="0.3">
      <c r="B208"/>
      <c r="C208"/>
    </row>
    <row r="209" spans="2:3" x14ac:dyDescent="0.3">
      <c r="B209"/>
      <c r="C209"/>
    </row>
    <row r="210" spans="2:3" x14ac:dyDescent="0.3">
      <c r="B210"/>
      <c r="C210"/>
    </row>
    <row r="211" spans="2:3" x14ac:dyDescent="0.3">
      <c r="B211"/>
      <c r="C211"/>
    </row>
    <row r="212" spans="2:3" x14ac:dyDescent="0.3">
      <c r="B212"/>
      <c r="C212"/>
    </row>
    <row r="213" spans="2:3" x14ac:dyDescent="0.3">
      <c r="B213"/>
      <c r="C213"/>
    </row>
    <row r="214" spans="2:3" x14ac:dyDescent="0.3">
      <c r="B214"/>
      <c r="C214"/>
    </row>
    <row r="215" spans="2:3" x14ac:dyDescent="0.3">
      <c r="B215"/>
      <c r="C215"/>
    </row>
    <row r="216" spans="2:3" x14ac:dyDescent="0.3">
      <c r="B216"/>
      <c r="C216"/>
    </row>
    <row r="217" spans="2:3" x14ac:dyDescent="0.3">
      <c r="B217"/>
      <c r="C217"/>
    </row>
    <row r="218" spans="2:3" x14ac:dyDescent="0.3">
      <c r="B218"/>
      <c r="C218"/>
    </row>
    <row r="219" spans="2:3" x14ac:dyDescent="0.3">
      <c r="B219"/>
      <c r="C219"/>
    </row>
    <row r="220" spans="2:3" x14ac:dyDescent="0.3">
      <c r="B220"/>
      <c r="C220"/>
    </row>
    <row r="221" spans="2:3" x14ac:dyDescent="0.3">
      <c r="B221"/>
      <c r="C221"/>
    </row>
    <row r="222" spans="2:3" x14ac:dyDescent="0.3">
      <c r="B222"/>
      <c r="C222"/>
    </row>
    <row r="223" spans="2:3" x14ac:dyDescent="0.3">
      <c r="B223"/>
      <c r="C223"/>
    </row>
    <row r="224" spans="2:3" x14ac:dyDescent="0.3">
      <c r="B224"/>
      <c r="C224"/>
    </row>
    <row r="225" spans="2:3" x14ac:dyDescent="0.3">
      <c r="B225"/>
      <c r="C225"/>
    </row>
    <row r="226" spans="2:3" x14ac:dyDescent="0.3">
      <c r="B226"/>
      <c r="C226"/>
    </row>
    <row r="227" spans="2:3" x14ac:dyDescent="0.3">
      <c r="B227"/>
      <c r="C227"/>
    </row>
    <row r="228" spans="2:3" x14ac:dyDescent="0.3">
      <c r="B228"/>
      <c r="C228"/>
    </row>
    <row r="229" spans="2:3" x14ac:dyDescent="0.3">
      <c r="B229"/>
      <c r="C229"/>
    </row>
    <row r="230" spans="2:3" x14ac:dyDescent="0.3">
      <c r="B230"/>
      <c r="C230"/>
    </row>
    <row r="231" spans="2:3" x14ac:dyDescent="0.3">
      <c r="B231"/>
      <c r="C231"/>
    </row>
    <row r="232" spans="2:3" x14ac:dyDescent="0.3">
      <c r="B232"/>
      <c r="C232"/>
    </row>
    <row r="233" spans="2:3" x14ac:dyDescent="0.3">
      <c r="B233"/>
      <c r="C233"/>
    </row>
    <row r="234" spans="2:3" x14ac:dyDescent="0.3">
      <c r="B234"/>
      <c r="C234"/>
    </row>
    <row r="235" spans="2:3" x14ac:dyDescent="0.3">
      <c r="B235"/>
      <c r="C235"/>
    </row>
    <row r="236" spans="2:3" x14ac:dyDescent="0.3">
      <c r="B236"/>
      <c r="C236"/>
    </row>
    <row r="237" spans="2:3" x14ac:dyDescent="0.3">
      <c r="B237"/>
      <c r="C237"/>
    </row>
    <row r="238" spans="2:3" x14ac:dyDescent="0.3">
      <c r="B238"/>
      <c r="C238"/>
    </row>
    <row r="239" spans="2:3" x14ac:dyDescent="0.3">
      <c r="B239"/>
      <c r="C239"/>
    </row>
    <row r="240" spans="2:3" x14ac:dyDescent="0.3">
      <c r="B240"/>
      <c r="C240"/>
    </row>
    <row r="241" spans="2:3" x14ac:dyDescent="0.3">
      <c r="B241"/>
      <c r="C241"/>
    </row>
    <row r="242" spans="2:3" x14ac:dyDescent="0.3">
      <c r="B242"/>
      <c r="C242"/>
    </row>
    <row r="243" spans="2:3" x14ac:dyDescent="0.3">
      <c r="B243"/>
      <c r="C243"/>
    </row>
    <row r="244" spans="2:3" x14ac:dyDescent="0.3">
      <c r="B244"/>
      <c r="C244"/>
    </row>
    <row r="245" spans="2:3" x14ac:dyDescent="0.3">
      <c r="B245"/>
      <c r="C245"/>
    </row>
    <row r="246" spans="2:3" x14ac:dyDescent="0.3">
      <c r="B246"/>
      <c r="C246"/>
    </row>
    <row r="247" spans="2:3" x14ac:dyDescent="0.3">
      <c r="B247"/>
      <c r="C247"/>
    </row>
    <row r="248" spans="2:3" x14ac:dyDescent="0.3">
      <c r="B248"/>
      <c r="C248"/>
    </row>
    <row r="249" spans="2:3" x14ac:dyDescent="0.3">
      <c r="B249"/>
      <c r="C249"/>
    </row>
    <row r="250" spans="2:3" x14ac:dyDescent="0.3">
      <c r="B250"/>
      <c r="C250"/>
    </row>
    <row r="251" spans="2:3" x14ac:dyDescent="0.3">
      <c r="B251"/>
      <c r="C251"/>
    </row>
    <row r="252" spans="2:3" x14ac:dyDescent="0.3">
      <c r="B252"/>
      <c r="C252"/>
    </row>
    <row r="253" spans="2:3" x14ac:dyDescent="0.3">
      <c r="B253"/>
      <c r="C253"/>
    </row>
    <row r="254" spans="2:3" x14ac:dyDescent="0.3">
      <c r="B254"/>
      <c r="C254"/>
    </row>
    <row r="255" spans="2:3" x14ac:dyDescent="0.3">
      <c r="B255"/>
      <c r="C255"/>
    </row>
    <row r="256" spans="2:3" x14ac:dyDescent="0.3">
      <c r="B256"/>
      <c r="C256"/>
    </row>
    <row r="257" spans="2:3" x14ac:dyDescent="0.3">
      <c r="B257"/>
      <c r="C257"/>
    </row>
    <row r="258" spans="2:3" x14ac:dyDescent="0.3">
      <c r="B258"/>
      <c r="C258"/>
    </row>
    <row r="259" spans="2:3" x14ac:dyDescent="0.3">
      <c r="B259"/>
      <c r="C259"/>
    </row>
    <row r="260" spans="2:3" x14ac:dyDescent="0.3">
      <c r="B260"/>
      <c r="C260"/>
    </row>
    <row r="261" spans="2:3" x14ac:dyDescent="0.3">
      <c r="B261"/>
      <c r="C261"/>
    </row>
    <row r="262" spans="2:3" x14ac:dyDescent="0.3">
      <c r="B262"/>
      <c r="C262"/>
    </row>
    <row r="263" spans="2:3" x14ac:dyDescent="0.3">
      <c r="B263"/>
      <c r="C263"/>
    </row>
    <row r="264" spans="2:3" x14ac:dyDescent="0.3">
      <c r="B264"/>
      <c r="C264"/>
    </row>
    <row r="265" spans="2:3" x14ac:dyDescent="0.3">
      <c r="B265"/>
      <c r="C265"/>
    </row>
  </sheetData>
  <mergeCells count="1">
    <mergeCell ref="D2:F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93AC9-D105-43F0-8258-52D21F276B07}">
  <dimension ref="B2:K31"/>
  <sheetViews>
    <sheetView topLeftCell="A4" zoomScale="110" zoomScaleNormal="110" workbookViewId="0">
      <pane xSplit="2" ySplit="1" topLeftCell="C5" activePane="bottomRight" state="frozen"/>
      <selection activeCell="A4" sqref="A4"/>
      <selection pane="topRight" activeCell="C4" sqref="C4"/>
      <selection pane="bottomLeft" activeCell="A5" sqref="A5"/>
      <selection pane="bottomRight" activeCell="A2" sqref="A2"/>
    </sheetView>
  </sheetViews>
  <sheetFormatPr defaultRowHeight="14.4" x14ac:dyDescent="0.3"/>
  <cols>
    <col min="1" max="1" width="1.33203125" customWidth="1"/>
    <col min="2" max="2" width="13.33203125" customWidth="1"/>
    <col min="3" max="3" width="49" customWidth="1"/>
    <col min="4" max="4" width="10.109375" customWidth="1"/>
    <col min="5" max="5" width="11.109375" customWidth="1"/>
    <col min="6" max="6" width="50.6640625" customWidth="1"/>
    <col min="7" max="7" width="49.44140625" bestFit="1" customWidth="1"/>
  </cols>
  <sheetData>
    <row r="2" spans="2:11" x14ac:dyDescent="0.3">
      <c r="B2" s="353" t="s">
        <v>1693</v>
      </c>
    </row>
    <row r="3" spans="2:11" ht="15" thickBot="1" x14ac:dyDescent="0.35">
      <c r="B3" s="353"/>
    </row>
    <row r="4" spans="2:11" s="307" customFormat="1" ht="51" customHeight="1" thickBot="1" x14ac:dyDescent="0.3">
      <c r="B4" s="524" t="s">
        <v>62</v>
      </c>
      <c r="C4" s="525" t="s">
        <v>28</v>
      </c>
      <c r="D4" s="525" t="s">
        <v>1456</v>
      </c>
      <c r="E4" s="525" t="s">
        <v>1457</v>
      </c>
      <c r="F4" s="525" t="s">
        <v>1458</v>
      </c>
      <c r="G4" s="526" t="s">
        <v>1459</v>
      </c>
      <c r="H4" s="267"/>
    </row>
    <row r="5" spans="2:11" s="307" customFormat="1" ht="124.8" thickBot="1" x14ac:dyDescent="0.3">
      <c r="B5" s="527" t="s">
        <v>1461</v>
      </c>
      <c r="C5" s="528" t="s">
        <v>1462</v>
      </c>
      <c r="D5" s="529" t="s">
        <v>37</v>
      </c>
      <c r="E5" s="529" t="s">
        <v>37</v>
      </c>
      <c r="F5" s="528" t="s">
        <v>1463</v>
      </c>
      <c r="G5" s="634" t="s">
        <v>1704</v>
      </c>
      <c r="H5" s="267" t="s">
        <v>1705</v>
      </c>
      <c r="K5" s="542"/>
    </row>
    <row r="6" spans="2:11" s="307" customFormat="1" ht="55.8" thickBot="1" x14ac:dyDescent="0.3">
      <c r="B6" s="527" t="s">
        <v>1461</v>
      </c>
      <c r="C6" s="636" t="s">
        <v>1466</v>
      </c>
      <c r="D6" s="535" t="s">
        <v>37</v>
      </c>
      <c r="E6" s="536" t="s">
        <v>37</v>
      </c>
      <c r="F6" s="636" t="s">
        <v>1467</v>
      </c>
      <c r="G6" s="635" t="s">
        <v>1706</v>
      </c>
    </row>
    <row r="7" spans="2:11" s="307" customFormat="1" ht="55.2" x14ac:dyDescent="0.25">
      <c r="B7" s="527" t="s">
        <v>1461</v>
      </c>
      <c r="C7" s="532" t="s">
        <v>1728</v>
      </c>
      <c r="D7" s="535" t="s">
        <v>37</v>
      </c>
      <c r="E7" s="536" t="s">
        <v>37</v>
      </c>
      <c r="F7" s="532" t="s">
        <v>1729</v>
      </c>
      <c r="G7" s="572" t="s">
        <v>1730</v>
      </c>
    </row>
    <row r="8" spans="2:11" s="307" customFormat="1" ht="138" x14ac:dyDescent="0.25">
      <c r="B8" s="531" t="s">
        <v>1468</v>
      </c>
      <c r="C8" s="532" t="s">
        <v>1707</v>
      </c>
      <c r="D8" s="535" t="s">
        <v>37</v>
      </c>
      <c r="E8" s="536" t="s">
        <v>37</v>
      </c>
      <c r="F8" s="532" t="s">
        <v>1470</v>
      </c>
      <c r="G8" s="537" t="s">
        <v>1708</v>
      </c>
    </row>
    <row r="9" spans="2:11" s="307" customFormat="1" ht="174.6" customHeight="1" x14ac:dyDescent="0.25">
      <c r="B9" s="531" t="s">
        <v>1468</v>
      </c>
      <c r="C9" s="532" t="s">
        <v>1472</v>
      </c>
      <c r="D9" s="535" t="s">
        <v>37</v>
      </c>
      <c r="E9" s="536" t="s">
        <v>37</v>
      </c>
      <c r="F9" s="532" t="s">
        <v>1709</v>
      </c>
      <c r="G9" s="537" t="s">
        <v>1474</v>
      </c>
    </row>
    <row r="10" spans="2:11" s="307" customFormat="1" ht="52.8" x14ac:dyDescent="0.25">
      <c r="B10" s="531" t="s">
        <v>1468</v>
      </c>
      <c r="C10" s="532" t="s">
        <v>1475</v>
      </c>
      <c r="D10" s="535" t="s">
        <v>37</v>
      </c>
      <c r="E10" s="536" t="s">
        <v>35</v>
      </c>
      <c r="F10" s="532" t="s">
        <v>1476</v>
      </c>
      <c r="G10" s="537" t="s">
        <v>1477</v>
      </c>
    </row>
    <row r="11" spans="2:11" s="307" customFormat="1" ht="179.4" x14ac:dyDescent="0.25">
      <c r="B11" s="531" t="s">
        <v>1468</v>
      </c>
      <c r="C11" s="532" t="s">
        <v>1478</v>
      </c>
      <c r="D11" s="532" t="s">
        <v>37</v>
      </c>
      <c r="E11" s="536" t="s">
        <v>37</v>
      </c>
      <c r="F11" s="532" t="s">
        <v>1479</v>
      </c>
      <c r="G11" s="537" t="s">
        <v>1480</v>
      </c>
      <c r="H11" s="542"/>
    </row>
    <row r="12" spans="2:11" s="307" customFormat="1" ht="82.8" x14ac:dyDescent="0.25">
      <c r="B12" s="531" t="s">
        <v>1461</v>
      </c>
      <c r="C12" s="532" t="s">
        <v>1695</v>
      </c>
      <c r="D12" s="535" t="s">
        <v>37</v>
      </c>
      <c r="E12" s="535" t="s">
        <v>37</v>
      </c>
      <c r="F12" s="532" t="s">
        <v>1698</v>
      </c>
      <c r="G12" s="537" t="s">
        <v>1703</v>
      </c>
      <c r="H12" s="542"/>
    </row>
    <row r="13" spans="2:11" s="307" customFormat="1" ht="55.8" thickBot="1" x14ac:dyDescent="0.3">
      <c r="B13" s="538" t="s">
        <v>1461</v>
      </c>
      <c r="C13" s="539" t="s">
        <v>1696</v>
      </c>
      <c r="D13" s="571" t="s">
        <v>37</v>
      </c>
      <c r="E13" s="571" t="s">
        <v>37</v>
      </c>
      <c r="F13" s="539" t="s">
        <v>1697</v>
      </c>
      <c r="G13" s="541" t="s">
        <v>1727</v>
      </c>
      <c r="H13" s="542"/>
    </row>
    <row r="14" spans="2:11" s="307" customFormat="1" ht="13.8" x14ac:dyDescent="0.25">
      <c r="B14" s="567"/>
      <c r="C14" s="568"/>
      <c r="D14" s="568"/>
      <c r="E14" s="536"/>
      <c r="F14" s="568"/>
      <c r="G14" s="569"/>
      <c r="H14" s="542"/>
    </row>
    <row r="15" spans="2:11" s="307" customFormat="1" ht="13.8" x14ac:dyDescent="0.25">
      <c r="B15" s="567"/>
      <c r="C15" s="568"/>
      <c r="D15" s="568"/>
      <c r="E15" s="536"/>
      <c r="F15" s="568"/>
      <c r="G15" s="569"/>
      <c r="H15" s="542"/>
    </row>
    <row r="18" spans="2:7" x14ac:dyDescent="0.3">
      <c r="B18" s="269" t="s">
        <v>1711</v>
      </c>
      <c r="C18" s="267"/>
    </row>
    <row r="19" spans="2:7" x14ac:dyDescent="0.3">
      <c r="B19" s="566" t="s">
        <v>1671</v>
      </c>
      <c r="C19" s="800" t="s">
        <v>1672</v>
      </c>
      <c r="D19" s="800"/>
      <c r="E19" s="800"/>
      <c r="F19" s="800"/>
      <c r="G19" s="566" t="s">
        <v>1686</v>
      </c>
    </row>
    <row r="20" spans="2:7" ht="48" customHeight="1" x14ac:dyDescent="0.3">
      <c r="B20" s="278" t="s">
        <v>1673</v>
      </c>
      <c r="C20" s="787" t="s">
        <v>1674</v>
      </c>
      <c r="D20" s="787"/>
      <c r="E20" s="787"/>
      <c r="F20" s="787"/>
      <c r="G20" s="563" t="s">
        <v>1687</v>
      </c>
    </row>
    <row r="21" spans="2:7" ht="73.2" customHeight="1" x14ac:dyDescent="0.3">
      <c r="B21" s="278" t="s">
        <v>1675</v>
      </c>
      <c r="C21" s="787" t="s">
        <v>1676</v>
      </c>
      <c r="D21" s="787"/>
      <c r="E21" s="787"/>
      <c r="F21" s="787"/>
      <c r="G21" s="564" t="s">
        <v>1688</v>
      </c>
    </row>
    <row r="22" spans="2:7" ht="32.4" customHeight="1" x14ac:dyDescent="0.3">
      <c r="B22" s="278" t="s">
        <v>1677</v>
      </c>
      <c r="C22" s="787" t="s">
        <v>1678</v>
      </c>
      <c r="D22" s="787"/>
      <c r="E22" s="787"/>
      <c r="F22" s="787"/>
      <c r="G22" s="564" t="s">
        <v>1689</v>
      </c>
    </row>
    <row r="23" spans="2:7" ht="31.95" customHeight="1" x14ac:dyDescent="0.3">
      <c r="B23" s="278" t="s">
        <v>1679</v>
      </c>
      <c r="C23" s="787" t="s">
        <v>1680</v>
      </c>
      <c r="D23" s="787"/>
      <c r="E23" s="787"/>
      <c r="F23" s="787"/>
      <c r="G23" s="565" t="s">
        <v>1690</v>
      </c>
    </row>
    <row r="24" spans="2:7" ht="45.6" customHeight="1" x14ac:dyDescent="0.3">
      <c r="B24" s="278" t="s">
        <v>1681</v>
      </c>
      <c r="C24" s="787" t="s">
        <v>1682</v>
      </c>
      <c r="D24" s="787"/>
      <c r="E24" s="787"/>
      <c r="F24" s="787"/>
      <c r="G24" s="564" t="s">
        <v>1691</v>
      </c>
    </row>
    <row r="25" spans="2:7" ht="55.8" customHeight="1" x14ac:dyDescent="0.3">
      <c r="B25" s="789" t="s">
        <v>1683</v>
      </c>
      <c r="C25" s="791" t="s">
        <v>1843</v>
      </c>
      <c r="D25" s="792"/>
      <c r="E25" s="792"/>
      <c r="F25" s="793"/>
      <c r="G25" s="637" t="s">
        <v>1844</v>
      </c>
    </row>
    <row r="26" spans="2:7" ht="55.8" customHeight="1" x14ac:dyDescent="0.3">
      <c r="B26" s="790"/>
      <c r="C26" s="794"/>
      <c r="D26" s="795"/>
      <c r="E26" s="795"/>
      <c r="F26" s="796"/>
      <c r="G26" s="563" t="s">
        <v>1710</v>
      </c>
    </row>
    <row r="27" spans="2:7" ht="31.95" customHeight="1" x14ac:dyDescent="0.3">
      <c r="B27" s="278" t="s">
        <v>1684</v>
      </c>
      <c r="C27" s="797" t="s">
        <v>1685</v>
      </c>
      <c r="D27" s="798"/>
      <c r="E27" s="798"/>
      <c r="F27" s="798"/>
      <c r="G27" s="799"/>
    </row>
    <row r="28" spans="2:7" ht="45.6" customHeight="1" x14ac:dyDescent="0.3">
      <c r="B28" s="278" t="s">
        <v>1699</v>
      </c>
      <c r="C28" s="787" t="s">
        <v>1700</v>
      </c>
      <c r="D28" s="787"/>
      <c r="E28" s="787"/>
      <c r="F28" s="787"/>
      <c r="G28" s="785" t="s">
        <v>1724</v>
      </c>
    </row>
    <row r="29" spans="2:7" ht="44.4" customHeight="1" x14ac:dyDescent="0.3">
      <c r="B29" s="278" t="s">
        <v>1701</v>
      </c>
      <c r="C29" s="787" t="s">
        <v>1702</v>
      </c>
      <c r="D29" s="787"/>
      <c r="E29" s="787"/>
      <c r="F29" s="787"/>
      <c r="G29" s="786"/>
    </row>
    <row r="30" spans="2:7" ht="22.2" customHeight="1" x14ac:dyDescent="0.3">
      <c r="B30" s="788" t="s">
        <v>1725</v>
      </c>
      <c r="C30" s="787" t="s">
        <v>1726</v>
      </c>
      <c r="D30" s="787"/>
      <c r="E30" s="787"/>
      <c r="F30" s="787"/>
      <c r="G30" s="573" t="s">
        <v>1731</v>
      </c>
    </row>
    <row r="31" spans="2:7" ht="22.2" customHeight="1" x14ac:dyDescent="0.3">
      <c r="B31" s="788"/>
      <c r="C31" s="787"/>
      <c r="D31" s="787"/>
      <c r="E31" s="787"/>
      <c r="F31" s="787"/>
      <c r="G31" s="570"/>
    </row>
  </sheetData>
  <mergeCells count="14">
    <mergeCell ref="C24:F24"/>
    <mergeCell ref="C19:F19"/>
    <mergeCell ref="C20:F20"/>
    <mergeCell ref="C21:F21"/>
    <mergeCell ref="C22:F22"/>
    <mergeCell ref="C23:F23"/>
    <mergeCell ref="G28:G29"/>
    <mergeCell ref="C30:F31"/>
    <mergeCell ref="B30:B31"/>
    <mergeCell ref="B25:B26"/>
    <mergeCell ref="C25:F26"/>
    <mergeCell ref="C28:F28"/>
    <mergeCell ref="C29:F29"/>
    <mergeCell ref="C27:G27"/>
  </mergeCells>
  <hyperlinks>
    <hyperlink ref="B10" r:id="rId1" display="Discussed in detail in wp [2020.02 Understanding the internal control]" xr:uid="{7FDDFAB7-0DE7-451F-B72E-1AB8A9179048}"/>
    <hyperlink ref="B9" r:id="rId2" display="Discussed in detail in wp [2020.02 Understanding the internal control]" xr:uid="{437EB16B-E134-46FA-8CCA-0577E1A8BA20}"/>
    <hyperlink ref="B8" r:id="rId3" display="Discussed in detail in wp [2020.02 Understanding the internal control]" xr:uid="{5A2FC222-7F85-4C9D-ABD6-90C2AB7A7E22}"/>
    <hyperlink ref="B11" r:id="rId4" display="Discussed in detail in wp [2020.02 Understanding the internal control]" xr:uid="{9B13A0B3-5B39-4428-B77A-7F769274F910}"/>
    <hyperlink ref="G20" r:id="rId5" location="'Audit Strategy'!B43" xr:uid="{8838EBB6-5EB5-415F-AB50-79D1D517BB76}"/>
    <hyperlink ref="G21" r:id="rId6" xr:uid="{DF4A1E45-51D8-44F5-8326-73E1D7D04347}"/>
    <hyperlink ref="G24" r:id="rId7" xr:uid="{DB14EA94-A2C0-4D7D-94CD-F6FB7E1AC916}"/>
    <hyperlink ref="G22" r:id="rId8" xr:uid="{99250166-5F02-464A-A261-7DA73BA7973F}"/>
    <hyperlink ref="G26" r:id="rId9" location="'FAP - MCOTABD detailed'!A1" display="2020%20Audit%20Plan.xlsx#'FAP - MCOTABD detailed'!A1" xr:uid="{C965663D-4AAC-4AF2-90B0-846C00382059}"/>
    <hyperlink ref="G28:G29" r:id="rId10" display="SA 560 - Subsequent events.docx" xr:uid="{C9EB4552-F560-46FC-888B-20B8F9A16369}"/>
    <hyperlink ref="B12" r:id="rId11" display="Discussed in detail in wp [2020.01 Understanding the entity]" xr:uid="{53F68183-6536-4E4F-A854-D70286D5CDAE}"/>
    <hyperlink ref="B13" r:id="rId12" display="Discussed in detail in wp [2020.01 Understanding the entity]" xr:uid="{EAAB941E-1B23-4442-9D27-EEAC9E37C47E}"/>
    <hyperlink ref="G30" r:id="rId13" display="..\3000 - Communications" xr:uid="{A96B4B32-3001-4627-94CE-9FC8CA10C0AC}"/>
    <hyperlink ref="B5" r:id="rId14" xr:uid="{308E3499-D996-4277-8D12-28A6DBDFFE68}"/>
    <hyperlink ref="B6" r:id="rId15" xr:uid="{945156B3-B67D-48BB-AF61-426CB06D75DE}"/>
    <hyperlink ref="B7" r:id="rId16" xr:uid="{71AAA042-F33B-455F-B50C-DD5E37D21D27}"/>
    <hyperlink ref="G6" r:id="rId17" location="'ITGC and Application Controls'!A1" xr:uid="{7FA1744D-F6BC-4B84-94EF-34E14BD89E07}"/>
    <hyperlink ref="G25" r:id="rId18" display="..\4000-Audit Execution\Misc\Internal Controls" xr:uid="{AB431E8E-3743-421A-A62C-0AD05D03011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1860-85CC-4F3F-86BF-7C7C806DA9F1}">
  <dimension ref="B2:U92"/>
  <sheetViews>
    <sheetView topLeftCell="A49" workbookViewId="0">
      <selection activeCell="Q67" sqref="Q67"/>
    </sheetView>
  </sheetViews>
  <sheetFormatPr defaultRowHeight="14.4" x14ac:dyDescent="0.3"/>
  <cols>
    <col min="2" max="2" width="26.21875" bestFit="1" customWidth="1"/>
    <col min="3" max="3" width="21" customWidth="1"/>
    <col min="4" max="8" width="3.21875" customWidth="1"/>
    <col min="9" max="9" width="10" customWidth="1"/>
    <col min="10" max="10" width="2.33203125" bestFit="1" customWidth="1"/>
    <col min="11" max="11" width="3" bestFit="1" customWidth="1"/>
    <col min="12" max="12" width="2.109375" bestFit="1" customWidth="1"/>
    <col min="13" max="14" width="3.44140625" bestFit="1" customWidth="1"/>
    <col min="15" max="15" width="4.5546875" bestFit="1" customWidth="1"/>
  </cols>
  <sheetData>
    <row r="2" spans="2:20" ht="43.2" customHeight="1" x14ac:dyDescent="0.3">
      <c r="B2" s="642" t="s">
        <v>23</v>
      </c>
      <c r="C2" s="642" t="s">
        <v>28</v>
      </c>
      <c r="D2" s="801" t="s">
        <v>1862</v>
      </c>
      <c r="E2" s="801"/>
      <c r="F2" s="801"/>
      <c r="G2" s="801"/>
      <c r="H2" s="801"/>
      <c r="I2" s="641" t="s">
        <v>1861</v>
      </c>
      <c r="J2" s="802" t="s">
        <v>1862</v>
      </c>
      <c r="K2" s="802"/>
      <c r="L2" s="802"/>
      <c r="M2" s="802"/>
      <c r="N2" s="802"/>
      <c r="O2" s="802"/>
    </row>
    <row r="3" spans="2:20" x14ac:dyDescent="0.3">
      <c r="B3" s="217" t="s">
        <v>24</v>
      </c>
      <c r="C3" s="217" t="s">
        <v>722</v>
      </c>
      <c r="D3" s="217" t="s">
        <v>1860</v>
      </c>
      <c r="E3" s="217" t="s">
        <v>1848</v>
      </c>
      <c r="F3" s="217" t="s">
        <v>1849</v>
      </c>
      <c r="G3" s="217"/>
      <c r="H3" s="217"/>
      <c r="I3" s="217">
        <v>5</v>
      </c>
      <c r="J3" s="217" t="s">
        <v>1208</v>
      </c>
      <c r="K3" s="217" t="s">
        <v>1847</v>
      </c>
      <c r="L3" s="217" t="s">
        <v>1098</v>
      </c>
      <c r="M3" s="217" t="s">
        <v>1852</v>
      </c>
      <c r="N3" s="217" t="s">
        <v>1097</v>
      </c>
      <c r="O3" s="217"/>
      <c r="Q3" t="str">
        <f>D3&amp;$C3</f>
        <v>P&amp;DRSKFA1 - Risk of understatement of fixed assets because assets acquired by the entity are not recorded.</v>
      </c>
      <c r="R3" t="str">
        <f>E3&amp;$C$3</f>
        <v xml:space="preserve"> CRSKFA1 - Risk of understatement of fixed assets because assets acquired by the entity are not recorded.</v>
      </c>
      <c r="S3" t="str">
        <f>F3&amp;$C$3</f>
        <v xml:space="preserve"> VRSKFA1 - Risk of understatement of fixed assets because assets acquired by the entity are not recorded.</v>
      </c>
    </row>
    <row r="4" spans="2:20" x14ac:dyDescent="0.3">
      <c r="B4" s="639" t="s">
        <v>24</v>
      </c>
      <c r="C4" s="639" t="s">
        <v>723</v>
      </c>
      <c r="D4" s="639" t="s">
        <v>1208</v>
      </c>
      <c r="E4" s="639" t="s">
        <v>1850</v>
      </c>
      <c r="F4" s="639" t="s">
        <v>1848</v>
      </c>
      <c r="G4" s="639" t="s">
        <v>1849</v>
      </c>
      <c r="H4" s="639"/>
      <c r="I4" s="639"/>
      <c r="J4" s="639"/>
      <c r="K4" s="639"/>
      <c r="L4" s="639"/>
      <c r="M4" s="639"/>
      <c r="N4" s="639"/>
      <c r="O4" s="639"/>
      <c r="Q4" t="str">
        <f>D4&amp;$C4</f>
        <v>ERSKFA2 - Risk of understatement of fixed assets because assets in use and still owned by the entity have been wrongly recorded as disposed.</v>
      </c>
      <c r="R4" t="str">
        <f>E4&amp;$C4</f>
        <v xml:space="preserve"> RRSKFA2 - Risk of understatement of fixed assets because assets in use and still owned by the entity have been wrongly recorded as disposed.</v>
      </c>
      <c r="S4" t="str">
        <f t="shared" ref="S4:T4" si="0">F4&amp;$C4</f>
        <v xml:space="preserve"> CRSKFA2 - Risk of understatement of fixed assets because assets in use and still owned by the entity have been wrongly recorded as disposed.</v>
      </c>
      <c r="T4" t="str">
        <f t="shared" si="0"/>
        <v xml:space="preserve"> VRSKFA2 - Risk of understatement of fixed assets because assets in use and still owned by the entity have been wrongly recorded as disposed.</v>
      </c>
    </row>
    <row r="5" spans="2:20" x14ac:dyDescent="0.3">
      <c r="B5" s="639" t="s">
        <v>24</v>
      </c>
      <c r="C5" s="639" t="s">
        <v>724</v>
      </c>
      <c r="D5" s="639" t="s">
        <v>1208</v>
      </c>
      <c r="E5" s="639" t="s">
        <v>1850</v>
      </c>
      <c r="F5" s="639" t="s">
        <v>1849</v>
      </c>
      <c r="G5" s="639" t="s">
        <v>1851</v>
      </c>
      <c r="H5" s="639"/>
      <c r="I5" s="639"/>
      <c r="J5" s="639"/>
      <c r="K5" s="639"/>
      <c r="L5" s="639"/>
      <c r="M5" s="639"/>
      <c r="N5" s="639"/>
      <c r="O5" s="639"/>
      <c r="Q5" t="str">
        <f t="shared" ref="Q5:Q9" si="1">D5&amp;$C5</f>
        <v>ERSKFA3 - Risk of understatement of fixed assets because fixed assets purchased have been expensed and not capitalised.</v>
      </c>
      <c r="R5" t="str">
        <f t="shared" ref="R5:R9" si="2">E5&amp;$C5</f>
        <v xml:space="preserve"> RRSKFA3 - Risk of understatement of fixed assets because fixed assets purchased have been expensed and not capitalised.</v>
      </c>
      <c r="S5" t="str">
        <f t="shared" ref="S5:S8" si="3">F5&amp;$C5</f>
        <v xml:space="preserve"> VRSKFA3 - Risk of understatement of fixed assets because fixed assets purchased have been expensed and not capitalised.</v>
      </c>
      <c r="T5" t="str">
        <f t="shared" ref="T5:T8" si="4">G5&amp;$C5</f>
        <v xml:space="preserve"> ARSKFA3 - Risk of understatement of fixed assets because fixed assets purchased have been expensed and not capitalised.</v>
      </c>
    </row>
    <row r="6" spans="2:20" x14ac:dyDescent="0.3">
      <c r="B6" s="639" t="s">
        <v>24</v>
      </c>
      <c r="C6" s="639" t="s">
        <v>1503</v>
      </c>
      <c r="D6" s="639" t="s">
        <v>1208</v>
      </c>
      <c r="E6" s="639" t="s">
        <v>1850</v>
      </c>
      <c r="F6" s="639" t="s">
        <v>1849</v>
      </c>
      <c r="G6" s="639" t="s">
        <v>1851</v>
      </c>
      <c r="H6" s="639"/>
      <c r="I6" s="639"/>
      <c r="J6" s="639"/>
      <c r="K6" s="639"/>
      <c r="L6" s="639"/>
      <c r="M6" s="639"/>
      <c r="N6" s="639"/>
      <c r="O6" s="639"/>
      <c r="Q6" t="str">
        <f t="shared" si="1"/>
        <v>ERSKFA4 - Risk of overstatement of fixed assets because repairs and maintenance expenses have been incorrectly capitalised as fixed assets.</v>
      </c>
      <c r="R6" t="str">
        <f t="shared" si="2"/>
        <v xml:space="preserve"> RRSKFA4 - Risk of overstatement of fixed assets because repairs and maintenance expenses have been incorrectly capitalised as fixed assets.</v>
      </c>
      <c r="S6" t="str">
        <f t="shared" si="3"/>
        <v xml:space="preserve"> VRSKFA4 - Risk of overstatement of fixed assets because repairs and maintenance expenses have been incorrectly capitalised as fixed assets.</v>
      </c>
      <c r="T6" t="str">
        <f t="shared" si="4"/>
        <v xml:space="preserve"> ARSKFA4 - Risk of overstatement of fixed assets because repairs and maintenance expenses have been incorrectly capitalised as fixed assets.</v>
      </c>
    </row>
    <row r="7" spans="2:20" x14ac:dyDescent="0.3">
      <c r="B7" s="639" t="s">
        <v>24</v>
      </c>
      <c r="C7" s="639" t="s">
        <v>1505</v>
      </c>
      <c r="D7" s="639" t="s">
        <v>1208</v>
      </c>
      <c r="E7" s="639" t="s">
        <v>1850</v>
      </c>
      <c r="F7" s="639"/>
      <c r="G7" s="639"/>
      <c r="H7" s="639"/>
      <c r="I7" s="639"/>
      <c r="J7" s="639"/>
      <c r="K7" s="639"/>
      <c r="L7" s="639"/>
      <c r="M7" s="639"/>
      <c r="N7" s="639"/>
      <c r="O7" s="639"/>
      <c r="Q7" t="str">
        <f t="shared" si="1"/>
        <v>ERSKFA5 - Risk of overstatement of fixed assets because assets disposed of have not been recorded in the fixed asset register / general ledger.</v>
      </c>
      <c r="R7" t="str">
        <f t="shared" si="2"/>
        <v xml:space="preserve"> RRSKFA5 - Risk of overstatement of fixed assets because assets disposed of have not been recorded in the fixed asset register / general ledger.</v>
      </c>
    </row>
    <row r="8" spans="2:20" x14ac:dyDescent="0.3">
      <c r="B8" s="639" t="s">
        <v>24</v>
      </c>
      <c r="C8" s="639" t="s">
        <v>1508</v>
      </c>
      <c r="D8" s="639" t="s">
        <v>1208</v>
      </c>
      <c r="E8" s="639" t="s">
        <v>1850</v>
      </c>
      <c r="F8" s="639" t="s">
        <v>1849</v>
      </c>
      <c r="G8" s="639" t="s">
        <v>1851</v>
      </c>
      <c r="H8" s="639"/>
      <c r="I8" s="639"/>
      <c r="J8" s="639"/>
      <c r="K8" s="639"/>
      <c r="L8" s="639"/>
      <c r="M8" s="639"/>
      <c r="N8" s="639"/>
      <c r="O8" s="639"/>
      <c r="Q8" t="str">
        <f t="shared" si="1"/>
        <v>ERSKFA6 - Risk of misstatement of fixed assets because initial measurement, subsequent measurement and impairment testing of fixed assets have not been done in the manner specified in the financial reporting framework</v>
      </c>
      <c r="R8" t="str">
        <f t="shared" si="2"/>
        <v xml:space="preserve"> RRSKFA6 - Risk of misstatement of fixed assets because initial measurement, subsequent measurement and impairment testing of fixed assets have not been done in the manner specified in the financial reporting framework</v>
      </c>
      <c r="S8" t="str">
        <f t="shared" si="3"/>
        <v xml:space="preserve"> VRSKFA6 - Risk of misstatement of fixed assets because initial measurement, subsequent measurement and impairment testing of fixed assets have not been done in the manner specified in the financial reporting framework</v>
      </c>
      <c r="T8" t="str">
        <f t="shared" si="4"/>
        <v xml:space="preserve"> ARSKFA6 - Risk of misstatement of fixed assets because initial measurement, subsequent measurement and impairment testing of fixed assets have not been done in the manner specified in the financial reporting framework</v>
      </c>
    </row>
    <row r="9" spans="2:20" x14ac:dyDescent="0.3">
      <c r="B9" s="639" t="s">
        <v>24</v>
      </c>
      <c r="C9" s="639" t="s">
        <v>1510</v>
      </c>
      <c r="D9" s="639" t="s">
        <v>1852</v>
      </c>
      <c r="E9" s="639" t="s">
        <v>1851</v>
      </c>
      <c r="F9" s="639"/>
      <c r="G9" s="639"/>
      <c r="H9" s="639"/>
      <c r="I9" s="639"/>
      <c r="J9" s="639"/>
      <c r="K9" s="639"/>
      <c r="L9" s="639"/>
      <c r="M9" s="639"/>
      <c r="N9" s="639"/>
      <c r="O9" s="639"/>
      <c r="Q9" t="str">
        <f t="shared" si="1"/>
        <v>VRSKFA7 - Risk of misstatement of fixed assets because the depreciation method and / or depreciation rate adopted are not in compliance with the applicable statutes</v>
      </c>
      <c r="R9" t="str">
        <f t="shared" si="2"/>
        <v xml:space="preserve"> ARSKFA7 - Risk of misstatement of fixed assets because the depreciation method and / or depreciation rate adopted are not in compliance with the applicable statutes</v>
      </c>
    </row>
    <row r="10" spans="2:20" x14ac:dyDescent="0.3">
      <c r="B10" s="639"/>
      <c r="C10" s="639"/>
      <c r="D10" s="639"/>
      <c r="E10" s="639"/>
      <c r="F10" s="639"/>
      <c r="G10" s="639"/>
      <c r="H10" s="639"/>
      <c r="I10" s="639"/>
      <c r="J10" s="639"/>
      <c r="K10" s="639"/>
      <c r="L10" s="639"/>
      <c r="M10" s="639"/>
      <c r="N10" s="639"/>
      <c r="O10" s="639"/>
    </row>
    <row r="11" spans="2:20" x14ac:dyDescent="0.3">
      <c r="B11" s="639" t="s">
        <v>190</v>
      </c>
      <c r="C11" s="639" t="s">
        <v>1514</v>
      </c>
      <c r="D11" s="639" t="s">
        <v>1208</v>
      </c>
      <c r="E11" s="639" t="s">
        <v>1850</v>
      </c>
      <c r="F11" s="639" t="s">
        <v>1849</v>
      </c>
      <c r="G11" s="639"/>
      <c r="H11" s="639"/>
      <c r="I11" s="639">
        <v>4</v>
      </c>
      <c r="J11" s="639" t="s">
        <v>1208</v>
      </c>
      <c r="K11" s="639" t="s">
        <v>1847</v>
      </c>
      <c r="L11" s="639" t="s">
        <v>1098</v>
      </c>
      <c r="M11" s="639" t="s">
        <v>1852</v>
      </c>
      <c r="N11" s="639"/>
      <c r="O11" s="639"/>
      <c r="Q11" t="str">
        <f t="shared" ref="Q11:Q16" si="5">D11&amp;$C11</f>
        <v>ERSKCB1 - Risk of overstatement of Cash balance (Eg: non-existent cash receipts have been recorded, cash payments omited to be recorded etc.)</v>
      </c>
      <c r="R11" t="str">
        <f t="shared" ref="R11:R16" si="6">E11&amp;$C11</f>
        <v xml:space="preserve"> RRSKCB1 - Risk of overstatement of Cash balance (Eg: non-existent cash receipts have been recorded, cash payments omited to be recorded etc.)</v>
      </c>
      <c r="S11" t="str">
        <f t="shared" ref="S11:S16" si="7">F11&amp;$C11</f>
        <v xml:space="preserve"> VRSKCB1 - Risk of overstatement of Cash balance (Eg: non-existent cash receipts have been recorded, cash payments omited to be recorded etc.)</v>
      </c>
    </row>
    <row r="12" spans="2:20" x14ac:dyDescent="0.3">
      <c r="B12" s="639" t="s">
        <v>190</v>
      </c>
      <c r="C12" s="639" t="s">
        <v>1519</v>
      </c>
      <c r="D12" s="639" t="s">
        <v>1208</v>
      </c>
      <c r="E12" s="639" t="s">
        <v>1850</v>
      </c>
      <c r="F12" s="639" t="s">
        <v>1849</v>
      </c>
      <c r="G12" s="639"/>
      <c r="H12" s="639"/>
      <c r="I12" s="639"/>
      <c r="J12" s="639"/>
      <c r="K12" s="639"/>
      <c r="L12" s="639"/>
      <c r="M12" s="639"/>
      <c r="N12" s="639"/>
      <c r="O12" s="639"/>
      <c r="Q12" t="str">
        <f t="shared" si="5"/>
        <v>ERSKCB2 - Risk of understatement of Cash balance (Eg: non-existent cash payments have been recorded, cash receipts omited to be recorded etc.)</v>
      </c>
      <c r="R12" t="str">
        <f t="shared" si="6"/>
        <v xml:space="preserve"> RRSKCB2 - Risk of understatement of Cash balance (Eg: non-existent cash payments have been recorded, cash receipts omited to be recorded etc.)</v>
      </c>
      <c r="S12" t="str">
        <f t="shared" si="7"/>
        <v xml:space="preserve"> VRSKCB2 - Risk of understatement of Cash balance (Eg: non-existent cash payments have been recorded, cash receipts omited to be recorded etc.)</v>
      </c>
    </row>
    <row r="13" spans="2:20" x14ac:dyDescent="0.3">
      <c r="B13" s="639" t="s">
        <v>190</v>
      </c>
      <c r="C13" s="639" t="s">
        <v>1520</v>
      </c>
      <c r="D13" s="639" t="s">
        <v>1208</v>
      </c>
      <c r="E13" s="639" t="s">
        <v>1850</v>
      </c>
      <c r="F13" s="639"/>
      <c r="G13" s="639"/>
      <c r="H13" s="639"/>
      <c r="I13" s="639"/>
      <c r="J13" s="639"/>
      <c r="K13" s="639"/>
      <c r="L13" s="639"/>
      <c r="M13" s="639"/>
      <c r="N13" s="639"/>
      <c r="O13" s="639"/>
      <c r="Q13" t="str">
        <f t="shared" si="5"/>
        <v>ERSKCB3 - Risk of misstatement of Cash because cash on hand has been misappropriated / stolen.</v>
      </c>
      <c r="R13" t="str">
        <f t="shared" si="6"/>
        <v xml:space="preserve"> RRSKCB3 - Risk of misstatement of Cash because cash on hand has been misappropriated / stolen.</v>
      </c>
    </row>
    <row r="14" spans="2:20" x14ac:dyDescent="0.3">
      <c r="B14" s="639" t="s">
        <v>190</v>
      </c>
      <c r="C14" s="639" t="s">
        <v>1524</v>
      </c>
      <c r="D14" s="639" t="s">
        <v>1208</v>
      </c>
      <c r="E14" s="639" t="s">
        <v>1850</v>
      </c>
      <c r="F14" s="639" t="s">
        <v>1853</v>
      </c>
      <c r="G14" s="639" t="s">
        <v>1852</v>
      </c>
      <c r="H14" s="639"/>
      <c r="I14" s="639"/>
      <c r="J14" s="639"/>
      <c r="K14" s="639"/>
      <c r="L14" s="639"/>
      <c r="M14" s="639"/>
      <c r="N14" s="639"/>
      <c r="O14" s="639"/>
      <c r="Q14" t="str">
        <f t="shared" si="5"/>
        <v>ERSKCB4 - Risk of overstatement of bank balance (Eg: non-existent bank receipts have been recorded, bank payments or charges omitted to be recorded etc)</v>
      </c>
      <c r="R14" t="str">
        <f t="shared" si="6"/>
        <v xml:space="preserve"> RRSKCB4 - Risk of overstatement of bank balance (Eg: non-existent bank receipts have been recorded, bank payments or charges omitted to be recorded etc)</v>
      </c>
      <c r="S14" t="str">
        <f t="shared" si="7"/>
        <v xml:space="preserve"> C RSKCB4 - Risk of overstatement of bank balance (Eg: non-existent bank receipts have been recorded, bank payments or charges omitted to be recorded etc)</v>
      </c>
      <c r="T14" t="str">
        <f t="shared" ref="T14:T15" si="8">G14&amp;$C14</f>
        <v>VRSKCB4 - Risk of overstatement of bank balance (Eg: non-existent bank receipts have been recorded, bank payments or charges omitted to be recorded etc)</v>
      </c>
    </row>
    <row r="15" spans="2:20" x14ac:dyDescent="0.3">
      <c r="B15" s="639" t="s">
        <v>190</v>
      </c>
      <c r="C15" s="639" t="s">
        <v>1529</v>
      </c>
      <c r="D15" s="639" t="s">
        <v>1208</v>
      </c>
      <c r="E15" s="639" t="s">
        <v>1850</v>
      </c>
      <c r="F15" s="639" t="s">
        <v>1848</v>
      </c>
      <c r="G15" s="639" t="s">
        <v>1849</v>
      </c>
      <c r="H15" s="639"/>
      <c r="I15" s="639"/>
      <c r="J15" s="639"/>
      <c r="K15" s="639"/>
      <c r="L15" s="639"/>
      <c r="M15" s="639"/>
      <c r="N15" s="639"/>
      <c r="O15" s="639"/>
      <c r="Q15" t="str">
        <f t="shared" si="5"/>
        <v>ERSKCB5 - Risk of understatement of bank balance (Eg: non-existent bank payments recorded, bank receipts omitted to be recorded etc)</v>
      </c>
      <c r="R15" t="str">
        <f t="shared" si="6"/>
        <v xml:space="preserve"> RRSKCB5 - Risk of understatement of bank balance (Eg: non-existent bank payments recorded, bank receipts omitted to be recorded etc)</v>
      </c>
      <c r="S15" t="str">
        <f t="shared" si="7"/>
        <v xml:space="preserve"> CRSKCB5 - Risk of understatement of bank balance (Eg: non-existent bank payments recorded, bank receipts omitted to be recorded etc)</v>
      </c>
      <c r="T15" t="str">
        <f t="shared" si="8"/>
        <v xml:space="preserve"> VRSKCB5 - Risk of understatement of bank balance (Eg: non-existent bank payments recorded, bank receipts omitted to be recorded etc)</v>
      </c>
    </row>
    <row r="16" spans="2:20" x14ac:dyDescent="0.3">
      <c r="B16" s="639" t="s">
        <v>190</v>
      </c>
      <c r="C16" s="639" t="s">
        <v>740</v>
      </c>
      <c r="D16" s="639" t="s">
        <v>1847</v>
      </c>
      <c r="E16" s="639" t="s">
        <v>1848</v>
      </c>
      <c r="F16" s="639" t="s">
        <v>1849</v>
      </c>
      <c r="G16" s="639"/>
      <c r="H16" s="639"/>
      <c r="I16" s="639"/>
      <c r="J16" s="639"/>
      <c r="K16" s="639"/>
      <c r="L16" s="639"/>
      <c r="M16" s="639"/>
      <c r="N16" s="639"/>
      <c r="O16" s="639"/>
      <c r="Q16" t="str">
        <f t="shared" si="5"/>
        <v>RRSKCB6 - Risk of understatement of Bank because interest accrued in the bank accounts have not been recorded by the entity.</v>
      </c>
      <c r="R16" t="str">
        <f t="shared" si="6"/>
        <v xml:space="preserve"> CRSKCB6 - Risk of understatement of Bank because interest accrued in the bank accounts have not been recorded by the entity.</v>
      </c>
      <c r="S16" t="str">
        <f t="shared" si="7"/>
        <v xml:space="preserve"> VRSKCB6 - Risk of understatement of Bank because interest accrued in the bank accounts have not been recorded by the entity.</v>
      </c>
    </row>
    <row r="17" spans="2:20" x14ac:dyDescent="0.3">
      <c r="B17" s="639"/>
      <c r="C17" s="639"/>
      <c r="D17" s="639"/>
      <c r="E17" s="639"/>
      <c r="F17" s="639"/>
      <c r="G17" s="639"/>
      <c r="H17" s="639"/>
      <c r="I17" s="639"/>
      <c r="J17" s="639"/>
      <c r="K17" s="639"/>
      <c r="L17" s="639"/>
      <c r="M17" s="639"/>
      <c r="N17" s="639"/>
      <c r="O17" s="639"/>
    </row>
    <row r="18" spans="2:20" x14ac:dyDescent="0.3">
      <c r="B18" s="639" t="s">
        <v>480</v>
      </c>
      <c r="C18" s="639" t="s">
        <v>742</v>
      </c>
      <c r="D18" s="639" t="s">
        <v>1590</v>
      </c>
      <c r="E18" s="639" t="s">
        <v>1848</v>
      </c>
      <c r="F18" s="639" t="s">
        <v>1851</v>
      </c>
      <c r="G18" s="639" t="s">
        <v>1854</v>
      </c>
      <c r="H18" s="639"/>
      <c r="I18" s="639">
        <v>6</v>
      </c>
      <c r="J18" s="639" t="s">
        <v>1590</v>
      </c>
      <c r="K18" s="639" t="s">
        <v>1856</v>
      </c>
      <c r="L18" s="639" t="s">
        <v>1098</v>
      </c>
      <c r="M18" s="639" t="s">
        <v>1097</v>
      </c>
      <c r="N18" s="639" t="s">
        <v>1653</v>
      </c>
      <c r="O18" s="639" t="s">
        <v>1859</v>
      </c>
      <c r="Q18" t="str">
        <f t="shared" ref="Q18:Q81" si="9">D18&amp;$C18</f>
        <v>ORSKPAY1 - Risk of misstatement of payroll expense due to recording of incorrect amount as payroll cost (i.e., due to updation of wrong salary cost in the payroll master file).</v>
      </c>
      <c r="R18" t="str">
        <f t="shared" ref="R18:R76" si="10">E18&amp;$C18</f>
        <v xml:space="preserve"> CRSKPAY1 - Risk of misstatement of payroll expense due to recording of incorrect amount as payroll cost (i.e., due to updation of wrong salary cost in the payroll master file).</v>
      </c>
      <c r="S18" t="str">
        <f t="shared" ref="S18:S71" si="11">F18&amp;$C18</f>
        <v xml:space="preserve"> ARSKPAY1 - Risk of misstatement of payroll expense due to recording of incorrect amount as payroll cost (i.e., due to updation of wrong salary cost in the payroll master file).</v>
      </c>
      <c r="T18" t="str">
        <f t="shared" ref="T18:T71" si="12">G18&amp;$C18</f>
        <v xml:space="preserve"> CORSKPAY1 - Risk of misstatement of payroll expense due to recording of incorrect amount as payroll cost (i.e., due to updation of wrong salary cost in the payroll master file).</v>
      </c>
    </row>
    <row r="19" spans="2:20" x14ac:dyDescent="0.3">
      <c r="B19" s="639" t="s">
        <v>480</v>
      </c>
      <c r="C19" s="639" t="s">
        <v>743</v>
      </c>
      <c r="D19" s="639" t="s">
        <v>1097</v>
      </c>
      <c r="E19" s="639" t="s">
        <v>1854</v>
      </c>
      <c r="F19" s="639"/>
      <c r="G19" s="639"/>
      <c r="H19" s="639"/>
      <c r="I19" s="639"/>
      <c r="J19" s="639"/>
      <c r="K19" s="639"/>
      <c r="L19" s="639"/>
      <c r="M19" s="639"/>
      <c r="N19" s="639"/>
      <c r="O19" s="639"/>
      <c r="Q19" t="str">
        <f t="shared" si="9"/>
        <v>ARSKPAY2 - Risk of misstatement of payroll expense due to recording of payroll cost in the wrong period.</v>
      </c>
      <c r="R19" t="str">
        <f t="shared" si="10"/>
        <v xml:space="preserve"> CORSKPAY2 - Risk of misstatement of payroll expense due to recording of payroll cost in the wrong period.</v>
      </c>
    </row>
    <row r="20" spans="2:20" x14ac:dyDescent="0.3">
      <c r="B20" s="639" t="s">
        <v>480</v>
      </c>
      <c r="C20" s="639" t="s">
        <v>744</v>
      </c>
      <c r="D20" s="639" t="s">
        <v>1098</v>
      </c>
      <c r="E20" s="639" t="s">
        <v>1851</v>
      </c>
      <c r="F20" s="639"/>
      <c r="G20" s="639"/>
      <c r="H20" s="639"/>
      <c r="I20" s="639"/>
      <c r="J20" s="639"/>
      <c r="K20" s="639"/>
      <c r="L20" s="639"/>
      <c r="M20" s="639"/>
      <c r="N20" s="639"/>
      <c r="O20" s="639"/>
      <c r="Q20" t="str">
        <f t="shared" si="9"/>
        <v>CRSKPAY3 - Risk of understatement of payroll cost because the withheld taxes and other deductions are not recorded (i.e., payroll cost is recorded for net payroll and not gross payroll).</v>
      </c>
      <c r="R20" t="str">
        <f t="shared" si="10"/>
        <v xml:space="preserve"> ARSKPAY3 - Risk of understatement of payroll cost because the withheld taxes and other deductions are not recorded (i.e., payroll cost is recorded for net payroll and not gross payroll).</v>
      </c>
    </row>
    <row r="21" spans="2:20" x14ac:dyDescent="0.3">
      <c r="B21" s="639" t="s">
        <v>480</v>
      </c>
      <c r="C21" s="639" t="s">
        <v>745</v>
      </c>
      <c r="D21" s="639" t="s">
        <v>1098</v>
      </c>
      <c r="E21" s="639" t="s">
        <v>1851</v>
      </c>
      <c r="F21" s="639"/>
      <c r="G21" s="639"/>
      <c r="H21" s="639"/>
      <c r="I21" s="639"/>
      <c r="J21" s="639"/>
      <c r="K21" s="639"/>
      <c r="L21" s="639"/>
      <c r="M21" s="639"/>
      <c r="N21" s="639"/>
      <c r="O21" s="639"/>
      <c r="Q21" t="str">
        <f t="shared" si="9"/>
        <v>CRSKPAY4 - Risk of misstatement of Provident Fund and ESI expense recorded because the statutory rate of contribution applied is incorrect or contribution has not been calculated for all employees due to processing errors.</v>
      </c>
      <c r="R21" t="str">
        <f t="shared" si="10"/>
        <v xml:space="preserve"> ARSKPAY4 - Risk of misstatement of Provident Fund and ESI expense recorded because the statutory rate of contribution applied is incorrect or contribution has not been calculated for all employees due to processing errors.</v>
      </c>
    </row>
    <row r="22" spans="2:20" x14ac:dyDescent="0.3">
      <c r="B22" s="639" t="s">
        <v>480</v>
      </c>
      <c r="C22" s="639" t="s">
        <v>1533</v>
      </c>
      <c r="D22" s="639" t="s">
        <v>1098</v>
      </c>
      <c r="E22" s="639" t="s">
        <v>1851</v>
      </c>
      <c r="F22" s="639" t="s">
        <v>1855</v>
      </c>
      <c r="G22" s="639"/>
      <c r="H22" s="639"/>
      <c r="I22" s="639"/>
      <c r="J22" s="639"/>
      <c r="K22" s="639"/>
      <c r="L22" s="639"/>
      <c r="M22" s="639"/>
      <c r="N22" s="639"/>
      <c r="O22" s="639"/>
      <c r="Q22" t="str">
        <f t="shared" si="9"/>
        <v>CRSKPAY5 - Risk of misstatement of leave salary expense and accrual because the leave, salary and other relevant data provided for actuarial valuation is incorrect and disclosures required as per the financial reporting framework are not given</v>
      </c>
      <c r="R22" t="str">
        <f t="shared" si="10"/>
        <v xml:space="preserve"> ARSKPAY5 - Risk of misstatement of leave salary expense and accrual because the leave, salary and other relevant data provided for actuarial valuation is incorrect and disclosures required as per the financial reporting framework are not given</v>
      </c>
      <c r="S22" t="str">
        <f t="shared" si="11"/>
        <v xml:space="preserve"> CLRSKPAY5 - Risk of misstatement of leave salary expense and accrual because the leave, salary and other relevant data provided for actuarial valuation is incorrect and disclosures required as per the financial reporting framework are not given</v>
      </c>
    </row>
    <row r="23" spans="2:20" x14ac:dyDescent="0.3">
      <c r="B23" s="639" t="s">
        <v>480</v>
      </c>
      <c r="C23" s="639" t="s">
        <v>1789</v>
      </c>
      <c r="D23" s="639" t="s">
        <v>1856</v>
      </c>
      <c r="E23" s="639" t="s">
        <v>1860</v>
      </c>
      <c r="F23" s="639"/>
      <c r="G23" s="639"/>
      <c r="H23" s="639"/>
      <c r="I23" s="639"/>
      <c r="J23" s="639"/>
      <c r="K23" s="639"/>
      <c r="L23" s="639"/>
      <c r="M23" s="639"/>
      <c r="N23" s="639"/>
      <c r="O23" s="639"/>
      <c r="Q23" t="str">
        <f t="shared" si="9"/>
        <v>CLRSKPAY6 - Risk that employee costs are not recorded in the correct ledgers according to their nature (direct wages, indirect costs, staff welfare etc) which could impact calculation of production overhead rates and consquently inventory valuation.</v>
      </c>
      <c r="R23" t="str">
        <f t="shared" si="10"/>
        <v>P&amp;DRSKPAY6 - Risk that employee costs are not recorded in the correct ledgers according to their nature (direct wages, indirect costs, staff welfare etc) which could impact calculation of production overhead rates and consquently inventory valuation.</v>
      </c>
    </row>
    <row r="24" spans="2:20" x14ac:dyDescent="0.3">
      <c r="B24" s="639"/>
      <c r="C24" s="639"/>
      <c r="D24" s="639"/>
      <c r="E24" s="639"/>
      <c r="F24" s="639"/>
      <c r="G24" s="639"/>
      <c r="H24" s="639"/>
      <c r="I24" s="639"/>
      <c r="J24" s="639"/>
      <c r="K24" s="639"/>
      <c r="L24" s="639"/>
      <c r="M24" s="639"/>
      <c r="N24" s="639"/>
      <c r="O24" s="639"/>
    </row>
    <row r="25" spans="2:20" x14ac:dyDescent="0.3">
      <c r="B25" s="639" t="s">
        <v>63</v>
      </c>
      <c r="C25" s="639" t="s">
        <v>747</v>
      </c>
      <c r="D25" s="639" t="s">
        <v>1208</v>
      </c>
      <c r="E25" s="639" t="s">
        <v>1847</v>
      </c>
      <c r="F25" s="639" t="s">
        <v>1848</v>
      </c>
      <c r="G25" s="639" t="s">
        <v>1849</v>
      </c>
      <c r="H25" s="639"/>
      <c r="I25" s="639">
        <v>6</v>
      </c>
      <c r="J25" s="639" t="s">
        <v>1208</v>
      </c>
      <c r="K25" s="639" t="s">
        <v>1847</v>
      </c>
      <c r="L25" s="639" t="s">
        <v>1098</v>
      </c>
      <c r="M25" s="639" t="s">
        <v>1852</v>
      </c>
      <c r="N25" s="639" t="s">
        <v>1097</v>
      </c>
      <c r="O25" s="639" t="s">
        <v>1860</v>
      </c>
      <c r="Q25" t="str">
        <f t="shared" si="9"/>
        <v>ERSKINV1 - Risk of understatement of Inventory because inventory on hand and inventory received from suppliers are not included in inventory records.</v>
      </c>
      <c r="R25" t="str">
        <f t="shared" si="10"/>
        <v>RRSKINV1 - Risk of understatement of Inventory because inventory on hand and inventory received from suppliers are not included in inventory records.</v>
      </c>
      <c r="S25" t="str">
        <f t="shared" si="11"/>
        <v xml:space="preserve"> CRSKINV1 - Risk of understatement of Inventory because inventory on hand and inventory received from suppliers are not included in inventory records.</v>
      </c>
      <c r="T25" t="str">
        <f t="shared" si="12"/>
        <v xml:space="preserve"> VRSKINV1 - Risk of understatement of Inventory because inventory on hand and inventory received from suppliers are not included in inventory records.</v>
      </c>
    </row>
    <row r="26" spans="2:20" x14ac:dyDescent="0.3">
      <c r="B26" s="639" t="s">
        <v>63</v>
      </c>
      <c r="C26" s="639" t="s">
        <v>748</v>
      </c>
      <c r="D26" s="639" t="s">
        <v>1208</v>
      </c>
      <c r="E26" s="639" t="s">
        <v>1850</v>
      </c>
      <c r="F26" s="639" t="s">
        <v>1848</v>
      </c>
      <c r="G26" s="639"/>
      <c r="H26" s="639"/>
      <c r="I26" s="639"/>
      <c r="J26" s="639"/>
      <c r="K26" s="639"/>
      <c r="L26" s="639"/>
      <c r="M26" s="639"/>
      <c r="N26" s="639"/>
      <c r="O26" s="639"/>
      <c r="Q26" t="str">
        <f t="shared" si="9"/>
        <v>ERSKINV2 - Risk of overstatement of Inventory because inventory records include inventory that has been sold to customers / consumed.</v>
      </c>
      <c r="R26" t="str">
        <f t="shared" si="10"/>
        <v xml:space="preserve"> RRSKINV2 - Risk of overstatement of Inventory because inventory records include inventory that has been sold to customers / consumed.</v>
      </c>
      <c r="S26" t="str">
        <f t="shared" si="11"/>
        <v xml:space="preserve"> CRSKINV2 - Risk of overstatement of Inventory because inventory records include inventory that has been sold to customers / consumed.</v>
      </c>
    </row>
    <row r="27" spans="2:20" x14ac:dyDescent="0.3">
      <c r="B27" s="639" t="s">
        <v>63</v>
      </c>
      <c r="C27" s="639" t="s">
        <v>1538</v>
      </c>
      <c r="D27" s="639" t="s">
        <v>1852</v>
      </c>
      <c r="E27" s="639" t="s">
        <v>1851</v>
      </c>
      <c r="F27" s="639"/>
      <c r="G27" s="639"/>
      <c r="H27" s="639"/>
      <c r="I27" s="639"/>
      <c r="J27" s="639"/>
      <c r="K27" s="639"/>
      <c r="L27" s="639"/>
      <c r="M27" s="639"/>
      <c r="N27" s="639"/>
      <c r="O27" s="639"/>
      <c r="Q27" t="str">
        <f t="shared" si="9"/>
        <v>VRSKINV3 - Risk of overstatement of Inventory because inventory is old, obsolete, damaged, not usable or is saleable at amounts less than that at which it is recorded.</v>
      </c>
      <c r="R27" t="str">
        <f t="shared" si="10"/>
        <v xml:space="preserve"> ARSKINV3 - Risk of overstatement of Inventory because inventory is old, obsolete, damaged, not usable or is saleable at amounts less than that at which it is recorded.</v>
      </c>
    </row>
    <row r="28" spans="2:20" x14ac:dyDescent="0.3">
      <c r="B28" s="639" t="s">
        <v>63</v>
      </c>
      <c r="C28" s="639" t="s">
        <v>1541</v>
      </c>
      <c r="D28" s="639" t="s">
        <v>1852</v>
      </c>
      <c r="E28" s="639" t="s">
        <v>1851</v>
      </c>
      <c r="F28" s="639"/>
      <c r="G28" s="639"/>
      <c r="H28" s="639"/>
      <c r="I28" s="639"/>
      <c r="J28" s="639"/>
      <c r="K28" s="639"/>
      <c r="L28" s="639"/>
      <c r="M28" s="639"/>
      <c r="N28" s="639"/>
      <c r="O28" s="639"/>
      <c r="Q28" t="str">
        <f t="shared" si="9"/>
        <v>VRSKINV4 -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v>
      </c>
      <c r="R28" t="str">
        <f t="shared" si="10"/>
        <v xml:space="preserve"> ARSKINV4 -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v>
      </c>
    </row>
    <row r="29" spans="2:20" x14ac:dyDescent="0.3">
      <c r="B29" s="639" t="s">
        <v>63</v>
      </c>
      <c r="C29" s="639" t="s">
        <v>1543</v>
      </c>
      <c r="D29" s="639" t="s">
        <v>1852</v>
      </c>
      <c r="E29" s="639" t="s">
        <v>1851</v>
      </c>
      <c r="F29" s="639" t="s">
        <v>1857</v>
      </c>
      <c r="G29" s="639"/>
      <c r="H29" s="639"/>
      <c r="I29" s="639"/>
      <c r="J29" s="639"/>
      <c r="K29" s="639"/>
      <c r="L29" s="639"/>
      <c r="M29" s="639"/>
      <c r="N29" s="639"/>
      <c r="O29" s="639"/>
      <c r="Q29" t="str">
        <f t="shared" si="9"/>
        <v>VRSKINV5 - Risk that inventory balances are intentionally misstated so as to ensure better working capital borrowing limits</v>
      </c>
      <c r="R29" t="str">
        <f t="shared" si="10"/>
        <v xml:space="preserve"> ARSKINV5 - Risk that inventory balances are intentionally misstated so as to ensure better working capital borrowing limits</v>
      </c>
      <c r="S29" t="str">
        <f t="shared" si="11"/>
        <v xml:space="preserve"> P&amp;DRSKINV5 - Risk that inventory balances are intentionally misstated so as to ensure better working capital borrowing limits</v>
      </c>
    </row>
    <row r="30" spans="2:20" x14ac:dyDescent="0.3">
      <c r="B30" s="639"/>
      <c r="C30" s="639"/>
      <c r="D30" s="639"/>
      <c r="E30" s="639"/>
      <c r="F30" s="639"/>
      <c r="G30" s="639"/>
      <c r="H30" s="639"/>
      <c r="I30" s="639"/>
      <c r="J30" s="639"/>
      <c r="K30" s="639"/>
      <c r="L30" s="639"/>
      <c r="M30" s="639"/>
      <c r="N30" s="639"/>
      <c r="O30" s="639"/>
    </row>
    <row r="31" spans="2:20" x14ac:dyDescent="0.3">
      <c r="B31" s="639" t="s">
        <v>517</v>
      </c>
      <c r="C31" s="639" t="s">
        <v>1546</v>
      </c>
      <c r="D31" s="639" t="s">
        <v>1208</v>
      </c>
      <c r="E31" s="639" t="s">
        <v>1850</v>
      </c>
      <c r="F31" s="639"/>
      <c r="G31" s="639"/>
      <c r="H31" s="639"/>
      <c r="I31" s="639">
        <v>5</v>
      </c>
      <c r="J31" s="639" t="s">
        <v>1208</v>
      </c>
      <c r="K31" s="639" t="s">
        <v>1847</v>
      </c>
      <c r="L31" s="639" t="s">
        <v>1098</v>
      </c>
      <c r="M31" s="639" t="s">
        <v>1852</v>
      </c>
      <c r="N31" s="639" t="s">
        <v>1097</v>
      </c>
      <c r="O31" s="639"/>
      <c r="Q31" t="str">
        <f t="shared" si="9"/>
        <v>ERSKDRS1 - Risk of misstatement of Accounts receivable  because invoices issued and recorded do not relate to valid sales / shipments or because invoices are not recorded at all.</v>
      </c>
      <c r="R31" t="str">
        <f t="shared" si="10"/>
        <v xml:space="preserve"> RRSKDRS1 - Risk of misstatement of Accounts receivable  because invoices issued and recorded do not relate to valid sales / shipments or because invoices are not recorded at all.</v>
      </c>
    </row>
    <row r="32" spans="2:20" x14ac:dyDescent="0.3">
      <c r="B32" s="639" t="s">
        <v>517</v>
      </c>
      <c r="C32" s="639" t="s">
        <v>1549</v>
      </c>
      <c r="D32" s="639" t="s">
        <v>1847</v>
      </c>
      <c r="E32" s="639" t="s">
        <v>1849</v>
      </c>
      <c r="F32" s="639"/>
      <c r="G32" s="639"/>
      <c r="H32" s="639"/>
      <c r="I32" s="639"/>
      <c r="J32" s="639"/>
      <c r="K32" s="639"/>
      <c r="L32" s="639"/>
      <c r="M32" s="639"/>
      <c r="N32" s="639"/>
      <c r="O32" s="639"/>
      <c r="Q32" t="str">
        <f t="shared" si="9"/>
        <v>RRSKDRS2 - Risk of misstatement of Accounts receivable  because of errors in the calculation of sales value on the invoice.</v>
      </c>
      <c r="R32" t="str">
        <f t="shared" si="10"/>
        <v xml:space="preserve"> VRSKDRS2 - Risk of misstatement of Accounts receivable  because of errors in the calculation of sales value on the invoice.</v>
      </c>
    </row>
    <row r="33" spans="2:20" x14ac:dyDescent="0.3">
      <c r="B33" s="639" t="s">
        <v>517</v>
      </c>
      <c r="C33" s="639" t="s">
        <v>1555</v>
      </c>
      <c r="D33" s="639" t="s">
        <v>1208</v>
      </c>
      <c r="E33" s="639" t="s">
        <v>1850</v>
      </c>
      <c r="F33" s="639" t="s">
        <v>1849</v>
      </c>
      <c r="G33" s="639" t="s">
        <v>1848</v>
      </c>
      <c r="H33" s="639"/>
      <c r="I33" s="639"/>
      <c r="J33" s="639"/>
      <c r="K33" s="639"/>
      <c r="L33" s="639"/>
      <c r="M33" s="639"/>
      <c r="N33" s="639"/>
      <c r="O33" s="639"/>
      <c r="Q33" t="str">
        <f t="shared" si="9"/>
        <v>ERSKDRS3 - Risk of misstatement of Accounts receivable  because receipts from customers is recorded more than once or are not recorded at all.</v>
      </c>
      <c r="R33" t="str">
        <f t="shared" si="10"/>
        <v xml:space="preserve"> RRSKDRS3 - Risk of misstatement of Accounts receivable  because receipts from customers is recorded more than once or are not recorded at all.</v>
      </c>
      <c r="S33" t="str">
        <f t="shared" si="11"/>
        <v xml:space="preserve"> VRSKDRS3 - Risk of misstatement of Accounts receivable  because receipts from customers is recorded more than once or are not recorded at all.</v>
      </c>
      <c r="T33" t="str">
        <f t="shared" si="12"/>
        <v xml:space="preserve"> CRSKDRS3 - Risk of misstatement of Accounts receivable  because receipts from customers is recorded more than once or are not recorded at all.</v>
      </c>
    </row>
    <row r="34" spans="2:20" x14ac:dyDescent="0.3">
      <c r="B34" s="639" t="s">
        <v>517</v>
      </c>
      <c r="C34" s="639" t="s">
        <v>1562</v>
      </c>
      <c r="D34" s="639" t="s">
        <v>1847</v>
      </c>
      <c r="E34" s="639" t="s">
        <v>1849</v>
      </c>
      <c r="F34" s="639" t="s">
        <v>1851</v>
      </c>
      <c r="G34" s="639"/>
      <c r="H34" s="639"/>
      <c r="I34" s="639"/>
      <c r="J34" s="639"/>
      <c r="K34" s="639"/>
      <c r="L34" s="639"/>
      <c r="M34" s="639"/>
      <c r="N34" s="639"/>
      <c r="O34" s="639"/>
      <c r="Q34" t="str">
        <f t="shared" si="9"/>
        <v>RRSKDRS4 - Risk of overstatement of Accounts receivable because of understatement of allowance for doubtful debts.</v>
      </c>
      <c r="R34" t="str">
        <f t="shared" si="10"/>
        <v xml:space="preserve"> VRSKDRS4 - Risk of overstatement of Accounts receivable because of understatement of allowance for doubtful debts.</v>
      </c>
      <c r="S34" t="str">
        <f t="shared" si="11"/>
        <v xml:space="preserve"> ARSKDRS4 - Risk of overstatement of Accounts receivable because of understatement of allowance for doubtful debts.</v>
      </c>
    </row>
    <row r="35" spans="2:20" x14ac:dyDescent="0.3">
      <c r="B35" s="639" t="s">
        <v>517</v>
      </c>
      <c r="C35" s="639" t="s">
        <v>1566</v>
      </c>
      <c r="D35" s="639" t="s">
        <v>1208</v>
      </c>
      <c r="E35" s="639" t="s">
        <v>1850</v>
      </c>
      <c r="F35" s="639" t="s">
        <v>1849</v>
      </c>
      <c r="G35" s="639"/>
      <c r="H35" s="639"/>
      <c r="I35" s="639"/>
      <c r="J35" s="639"/>
      <c r="K35" s="639"/>
      <c r="L35" s="639"/>
      <c r="M35" s="639"/>
      <c r="N35" s="639"/>
      <c r="O35" s="639"/>
      <c r="Q35" t="str">
        <f t="shared" si="9"/>
        <v>ERSKDRS5 - Risk of overstatement of bad debts because debtors are written off as bad without proper approvals</v>
      </c>
      <c r="R35" t="str">
        <f t="shared" si="10"/>
        <v xml:space="preserve"> RRSKDRS5 - Risk of overstatement of bad debts because debtors are written off as bad without proper approvals</v>
      </c>
      <c r="S35" t="str">
        <f t="shared" si="11"/>
        <v xml:space="preserve"> VRSKDRS5 - Risk of overstatement of bad debts because debtors are written off as bad without proper approvals</v>
      </c>
    </row>
    <row r="36" spans="2:20" x14ac:dyDescent="0.3">
      <c r="B36" s="639" t="s">
        <v>517</v>
      </c>
      <c r="C36" s="639" t="s">
        <v>1569</v>
      </c>
      <c r="D36" s="639" t="s">
        <v>1860</v>
      </c>
      <c r="E36" s="639"/>
      <c r="F36" s="639"/>
      <c r="G36" s="639"/>
      <c r="H36" s="639"/>
      <c r="I36" s="639"/>
      <c r="J36" s="639"/>
      <c r="K36" s="639"/>
      <c r="L36" s="639"/>
      <c r="M36" s="639"/>
      <c r="N36" s="639"/>
      <c r="O36" s="639"/>
      <c r="Q36" t="str">
        <f t="shared" si="9"/>
        <v>P&amp;DRSKDRS6 - Risk that debts due from directors, related parties of the entity are not separately disclosed as per reporting requirements</v>
      </c>
    </row>
    <row r="37" spans="2:20" x14ac:dyDescent="0.3">
      <c r="B37" s="639"/>
      <c r="C37" s="639"/>
      <c r="D37" s="639"/>
      <c r="E37" s="639"/>
      <c r="F37" s="639"/>
      <c r="G37" s="639"/>
      <c r="H37" s="639"/>
      <c r="I37" s="639"/>
      <c r="J37" s="639"/>
      <c r="K37" s="639"/>
      <c r="L37" s="639"/>
      <c r="M37" s="639"/>
      <c r="N37" s="639"/>
      <c r="O37" s="639"/>
    </row>
    <row r="38" spans="2:20" x14ac:dyDescent="0.3">
      <c r="B38" s="639" t="s">
        <v>1398</v>
      </c>
      <c r="C38" s="639" t="s">
        <v>1572</v>
      </c>
      <c r="D38" s="639" t="s">
        <v>1208</v>
      </c>
      <c r="E38" s="639" t="s">
        <v>1850</v>
      </c>
      <c r="F38" s="639" t="s">
        <v>1848</v>
      </c>
      <c r="G38" s="639" t="s">
        <v>1849</v>
      </c>
      <c r="H38" s="639"/>
      <c r="I38" s="639">
        <v>6</v>
      </c>
      <c r="J38" s="639" t="s">
        <v>1208</v>
      </c>
      <c r="K38" s="639" t="s">
        <v>1847</v>
      </c>
      <c r="L38" s="639" t="s">
        <v>1098</v>
      </c>
      <c r="M38" s="639" t="s">
        <v>1852</v>
      </c>
      <c r="N38" s="639" t="s">
        <v>1097</v>
      </c>
      <c r="O38" s="639" t="s">
        <v>1860</v>
      </c>
      <c r="Q38" t="str">
        <f t="shared" si="9"/>
        <v>ERSKINMT1-Risk of misstatement of investment in chit funds since payments to chit companies are not correctly accounted in the books of account</v>
      </c>
      <c r="R38" t="str">
        <f t="shared" si="10"/>
        <v xml:space="preserve"> RRSKINMT1-Risk of misstatement of investment in chit funds since payments to chit companies are not correctly accounted in the books of account</v>
      </c>
      <c r="S38" t="str">
        <f t="shared" si="11"/>
        <v xml:space="preserve"> CRSKINMT1-Risk of misstatement of investment in chit funds since payments to chit companies are not correctly accounted in the books of account</v>
      </c>
      <c r="T38" t="str">
        <f t="shared" si="12"/>
        <v xml:space="preserve"> VRSKINMT1-Risk of misstatement of investment in chit funds since payments to chit companies are not correctly accounted in the books of account</v>
      </c>
    </row>
    <row r="39" spans="2:20" x14ac:dyDescent="0.3">
      <c r="B39" s="639" t="s">
        <v>1398</v>
      </c>
      <c r="C39" s="639" t="s">
        <v>1575</v>
      </c>
      <c r="D39" s="639" t="s">
        <v>1208</v>
      </c>
      <c r="E39" s="639" t="s">
        <v>1850</v>
      </c>
      <c r="F39" s="639" t="s">
        <v>1849</v>
      </c>
      <c r="G39" s="639" t="s">
        <v>1851</v>
      </c>
      <c r="H39" s="639"/>
      <c r="I39" s="639"/>
      <c r="J39" s="639"/>
      <c r="K39" s="639"/>
      <c r="L39" s="639"/>
      <c r="M39" s="639"/>
      <c r="N39" s="639"/>
      <c r="O39" s="639"/>
      <c r="Q39" t="str">
        <f t="shared" si="9"/>
        <v>ERSKINMT2-Risk of misstatement of investments in shares and mutual funds since amounts invested are not accounted and measured as per the requirements of relevant accounting standards</v>
      </c>
      <c r="R39" t="str">
        <f t="shared" si="10"/>
        <v xml:space="preserve"> RRSKINMT2-Risk of misstatement of investments in shares and mutual funds since amounts invested are not accounted and measured as per the requirements of relevant accounting standards</v>
      </c>
      <c r="S39" t="str">
        <f t="shared" si="11"/>
        <v xml:space="preserve"> VRSKINMT2-Risk of misstatement of investments in shares and mutual funds since amounts invested are not accounted and measured as per the requirements of relevant accounting standards</v>
      </c>
      <c r="T39" t="str">
        <f t="shared" si="12"/>
        <v xml:space="preserve"> ARSKINMT2-Risk of misstatement of investments in shares and mutual funds since amounts invested are not accounted and measured as per the requirements of relevant accounting standards</v>
      </c>
    </row>
    <row r="40" spans="2:20" x14ac:dyDescent="0.3">
      <c r="B40" s="639" t="s">
        <v>1398</v>
      </c>
      <c r="C40" s="639" t="s">
        <v>1577</v>
      </c>
      <c r="D40" s="639" t="s">
        <v>1852</v>
      </c>
      <c r="E40" s="639" t="s">
        <v>1857</v>
      </c>
      <c r="F40" s="639"/>
      <c r="G40" s="639"/>
      <c r="H40" s="639"/>
      <c r="I40" s="639"/>
      <c r="J40" s="639"/>
      <c r="K40" s="639"/>
      <c r="L40" s="639"/>
      <c r="M40" s="639"/>
      <c r="N40" s="639"/>
      <c r="O40" s="639"/>
      <c r="Q40" t="str">
        <f t="shared" si="9"/>
        <v>VRSKINMT3-Risk that investments made by the company are not appropriately classified and disclosed in the financial statements</v>
      </c>
      <c r="R40" t="str">
        <f t="shared" si="10"/>
        <v xml:space="preserve"> P&amp;DRSKINMT3-Risk that investments made by the company are not appropriately classified and disclosed in the financial statements</v>
      </c>
    </row>
    <row r="41" spans="2:20" x14ac:dyDescent="0.3">
      <c r="B41" s="639"/>
      <c r="C41" s="639"/>
      <c r="D41" s="639"/>
      <c r="E41" s="639"/>
      <c r="F41" s="639"/>
      <c r="G41" s="639"/>
      <c r="H41" s="639"/>
      <c r="I41" s="639"/>
      <c r="J41" s="639"/>
      <c r="K41" s="639"/>
      <c r="L41" s="639"/>
      <c r="M41" s="639"/>
      <c r="N41" s="639"/>
      <c r="O41" s="639"/>
    </row>
    <row r="42" spans="2:20" x14ac:dyDescent="0.3">
      <c r="B42" s="639" t="s">
        <v>291</v>
      </c>
      <c r="C42" s="639" t="s">
        <v>750</v>
      </c>
      <c r="D42" s="639" t="s">
        <v>1208</v>
      </c>
      <c r="E42" s="639" t="s">
        <v>1850</v>
      </c>
      <c r="F42" s="639" t="s">
        <v>1849</v>
      </c>
      <c r="G42" s="639"/>
      <c r="H42" s="639"/>
      <c r="I42" s="639">
        <v>4</v>
      </c>
      <c r="J42" s="639" t="s">
        <v>1208</v>
      </c>
      <c r="K42" s="639" t="s">
        <v>1847</v>
      </c>
      <c r="L42" s="639"/>
      <c r="M42" s="639" t="s">
        <v>1852</v>
      </c>
      <c r="N42" s="639" t="s">
        <v>1097</v>
      </c>
      <c r="O42" s="639"/>
      <c r="Q42" t="str">
        <f t="shared" si="9"/>
        <v>ERSKEQ1 - Risk of understatement of equity because shares issued during the year are not recorded in the general ledger.</v>
      </c>
      <c r="R42" t="str">
        <f t="shared" si="10"/>
        <v xml:space="preserve"> RRSKEQ1 - Risk of understatement of equity because shares issued during the year are not recorded in the general ledger.</v>
      </c>
      <c r="S42" t="str">
        <f t="shared" si="11"/>
        <v xml:space="preserve"> VRSKEQ1 - Risk of understatement of equity because shares issued during the year are not recorded in the general ledger.</v>
      </c>
    </row>
    <row r="43" spans="2:20" x14ac:dyDescent="0.3">
      <c r="B43" s="639" t="s">
        <v>291</v>
      </c>
      <c r="C43" s="639" t="s">
        <v>751</v>
      </c>
      <c r="D43" s="639" t="s">
        <v>1208</v>
      </c>
      <c r="E43" s="639" t="s">
        <v>1850</v>
      </c>
      <c r="F43" s="639" t="s">
        <v>1849</v>
      </c>
      <c r="G43" s="639"/>
      <c r="H43" s="639"/>
      <c r="I43" s="639"/>
      <c r="J43" s="639"/>
      <c r="K43" s="639"/>
      <c r="L43" s="639"/>
      <c r="M43" s="639"/>
      <c r="N43" s="639"/>
      <c r="O43" s="639"/>
      <c r="Q43" t="str">
        <f t="shared" si="9"/>
        <v>ERSKEQ2 - Risk of understatement of equity because mandatory transfer to reserves on declaration / payment of dividend is not recorded.</v>
      </c>
      <c r="R43" t="str">
        <f t="shared" si="10"/>
        <v xml:space="preserve"> RRSKEQ2 - Risk of understatement of equity because mandatory transfer to reserves on declaration / payment of dividend is not recorded.</v>
      </c>
      <c r="S43" t="str">
        <f t="shared" si="11"/>
        <v xml:space="preserve"> VRSKEQ2 - Risk of understatement of equity because mandatory transfer to reserves on declaration / payment of dividend is not recorded.</v>
      </c>
    </row>
    <row r="44" spans="2:20" x14ac:dyDescent="0.3">
      <c r="B44" s="639" t="s">
        <v>291</v>
      </c>
      <c r="C44" s="639" t="s">
        <v>752</v>
      </c>
      <c r="D44" s="639" t="s">
        <v>1852</v>
      </c>
      <c r="E44" s="639" t="s">
        <v>1851</v>
      </c>
      <c r="F44" s="639"/>
      <c r="G44" s="639"/>
      <c r="H44" s="639"/>
      <c r="I44" s="639"/>
      <c r="J44" s="639"/>
      <c r="K44" s="639"/>
      <c r="L44" s="639"/>
      <c r="M44" s="639"/>
      <c r="N44" s="639"/>
      <c r="O44" s="639"/>
      <c r="Q44" t="str">
        <f t="shared" si="9"/>
        <v>VRSKEQ3 - Risk of overstatement of equity because dividend declared on share capital plus corporate dividend tax are not recorded in the general ledger.</v>
      </c>
      <c r="R44" t="str">
        <f t="shared" si="10"/>
        <v xml:space="preserve"> ARSKEQ3 - Risk of overstatement of equity because dividend declared on share capital plus corporate dividend tax are not recorded in the general ledger.</v>
      </c>
    </row>
    <row r="45" spans="2:20" x14ac:dyDescent="0.3">
      <c r="B45" s="639"/>
      <c r="C45" s="639"/>
      <c r="D45" s="639"/>
      <c r="E45" s="639"/>
      <c r="F45" s="639"/>
      <c r="G45" s="639"/>
      <c r="H45" s="639"/>
      <c r="I45" s="639"/>
      <c r="J45" s="639"/>
      <c r="K45" s="639"/>
      <c r="L45" s="639"/>
      <c r="M45" s="639"/>
      <c r="N45" s="639"/>
      <c r="O45" s="639"/>
    </row>
    <row r="46" spans="2:20" x14ac:dyDescent="0.3">
      <c r="B46" s="639" t="s">
        <v>527</v>
      </c>
      <c r="C46" s="639" t="s">
        <v>1583</v>
      </c>
      <c r="D46" s="639" t="s">
        <v>1208</v>
      </c>
      <c r="E46" s="639" t="s">
        <v>1858</v>
      </c>
      <c r="F46" s="639" t="s">
        <v>1848</v>
      </c>
      <c r="G46" s="639"/>
      <c r="H46" s="639"/>
      <c r="I46" s="639">
        <v>6</v>
      </c>
      <c r="J46" s="639" t="s">
        <v>1208</v>
      </c>
      <c r="K46" s="639" t="s">
        <v>1590</v>
      </c>
      <c r="L46" s="639" t="s">
        <v>1098</v>
      </c>
      <c r="M46" s="639" t="s">
        <v>1852</v>
      </c>
      <c r="N46" s="639" t="s">
        <v>1097</v>
      </c>
      <c r="O46" s="639" t="s">
        <v>1860</v>
      </c>
      <c r="Q46" t="str">
        <f t="shared" si="9"/>
        <v>ERSKDBT1 - Risk of overstatement of recorded debt (Eg: Due to non recording of payments, personal loans of directors/partners accounted in the firm's books etc)</v>
      </c>
      <c r="R46" t="str">
        <f t="shared" si="10"/>
        <v xml:space="preserve"> ORSKDBT1 - Risk of overstatement of recorded debt (Eg: Due to non recording of payments, personal loans of directors/partners accounted in the firm's books etc)</v>
      </c>
      <c r="S46" t="str">
        <f t="shared" si="11"/>
        <v xml:space="preserve"> CRSKDBT1 - Risk of overstatement of recorded debt (Eg: Due to non recording of payments, personal loans of directors/partners accounted in the firm's books etc)</v>
      </c>
    </row>
    <row r="47" spans="2:20" x14ac:dyDescent="0.3">
      <c r="B47" s="639" t="s">
        <v>527</v>
      </c>
      <c r="C47" s="639" t="s">
        <v>1589</v>
      </c>
      <c r="D47" s="639" t="s">
        <v>1590</v>
      </c>
      <c r="E47" s="639"/>
      <c r="F47" s="639"/>
      <c r="G47" s="639"/>
      <c r="H47" s="639"/>
      <c r="I47" s="639"/>
      <c r="J47" s="639"/>
      <c r="K47" s="639"/>
      <c r="L47" s="639"/>
      <c r="M47" s="639"/>
      <c r="N47" s="639"/>
      <c r="O47" s="639"/>
      <c r="Q47" t="str">
        <f t="shared" si="9"/>
        <v>ORSKDBT3 - Risk of non compliance with the terms of the loan</v>
      </c>
    </row>
    <row r="48" spans="2:20" x14ac:dyDescent="0.3">
      <c r="B48" s="639" t="s">
        <v>527</v>
      </c>
      <c r="C48" s="639" t="s">
        <v>1593</v>
      </c>
      <c r="D48" s="639" t="s">
        <v>1590</v>
      </c>
      <c r="E48" s="639" t="s">
        <v>1848</v>
      </c>
      <c r="F48" s="639" t="s">
        <v>1849</v>
      </c>
      <c r="G48" s="639" t="s">
        <v>1851</v>
      </c>
      <c r="H48" s="639"/>
      <c r="I48" s="639"/>
      <c r="J48" s="639"/>
      <c r="K48" s="639"/>
      <c r="L48" s="639"/>
      <c r="M48" s="639"/>
      <c r="N48" s="639"/>
      <c r="O48" s="639"/>
      <c r="Q48" t="str">
        <f t="shared" si="9"/>
        <v>ORSKDBT4 - Risk of misstatement of loan balance and interest expense due to non recording/incorrect recording of interest expense</v>
      </c>
      <c r="R48" t="str">
        <f t="shared" si="10"/>
        <v xml:space="preserve"> CRSKDBT4 - Risk of misstatement of loan balance and interest expense due to non recording/incorrect recording of interest expense</v>
      </c>
      <c r="S48" t="str">
        <f t="shared" si="11"/>
        <v xml:space="preserve"> VRSKDBT4 - Risk of misstatement of loan balance and interest expense due to non recording/incorrect recording of interest expense</v>
      </c>
      <c r="T48" t="str">
        <f t="shared" si="12"/>
        <v xml:space="preserve"> ARSKDBT4 - Risk of misstatement of loan balance and interest expense due to non recording/incorrect recording of interest expense</v>
      </c>
    </row>
    <row r="49" spans="2:21" x14ac:dyDescent="0.3">
      <c r="B49" s="639" t="s">
        <v>527</v>
      </c>
      <c r="C49" s="639" t="s">
        <v>1599</v>
      </c>
      <c r="D49" s="639" t="s">
        <v>1860</v>
      </c>
      <c r="E49" s="639" t="s">
        <v>1851</v>
      </c>
      <c r="F49" s="639"/>
      <c r="G49" s="639"/>
      <c r="H49" s="639"/>
      <c r="I49" s="639"/>
      <c r="J49" s="639"/>
      <c r="K49" s="639"/>
      <c r="L49" s="639"/>
      <c r="M49" s="639"/>
      <c r="N49" s="639"/>
      <c r="O49" s="639"/>
      <c r="Q49" t="str">
        <f t="shared" si="9"/>
        <v>P&amp;DRSKDBT5 - Risk of erroneous classification of loan outstanding balance and interest expense in the financial statements</v>
      </c>
      <c r="R49" t="str">
        <f t="shared" si="10"/>
        <v xml:space="preserve"> ARSKDBT5 - Risk of erroneous classification of loan outstanding balance and interest expense in the financial statements</v>
      </c>
    </row>
    <row r="50" spans="2:21" x14ac:dyDescent="0.3">
      <c r="B50" s="639" t="s">
        <v>527</v>
      </c>
      <c r="C50" s="639" t="s">
        <v>1603</v>
      </c>
      <c r="D50" s="639" t="s">
        <v>1860</v>
      </c>
      <c r="E50" s="639" t="s">
        <v>1851</v>
      </c>
      <c r="F50" s="639"/>
      <c r="G50" s="639"/>
      <c r="H50" s="639"/>
      <c r="I50" s="639"/>
      <c r="J50" s="639"/>
      <c r="K50" s="639"/>
      <c r="L50" s="639"/>
      <c r="M50" s="639"/>
      <c r="N50" s="639"/>
      <c r="O50" s="639"/>
      <c r="Q50" t="str">
        <f t="shared" si="9"/>
        <v>P&amp;DRSKDBT6 - Risk of failure to disclose or erroneous classification of guarantees and other non fund based financial arrangements in the financial statements</v>
      </c>
      <c r="R50" t="str">
        <f t="shared" si="10"/>
        <v xml:space="preserve"> ARSKDBT6 - Risk of failure to disclose or erroneous classification of guarantees and other non fund based financial arrangements in the financial statements</v>
      </c>
    </row>
    <row r="51" spans="2:21" x14ac:dyDescent="0.3">
      <c r="B51" s="639" t="s">
        <v>527</v>
      </c>
      <c r="C51" s="639" t="s">
        <v>1605</v>
      </c>
      <c r="D51" s="639" t="s">
        <v>1860</v>
      </c>
      <c r="E51" s="639"/>
      <c r="F51" s="639"/>
      <c r="G51" s="639"/>
      <c r="H51" s="639"/>
      <c r="I51" s="639"/>
      <c r="J51" s="639"/>
      <c r="K51" s="639"/>
      <c r="L51" s="639"/>
      <c r="M51" s="639"/>
      <c r="N51" s="639"/>
      <c r="O51" s="639"/>
      <c r="Q51" t="str">
        <f t="shared" si="9"/>
        <v>P&amp;DRSKDBT7 - Risk of incomplete disclosure of particulars with respect to loans such as charges, security details etc</v>
      </c>
    </row>
    <row r="52" spans="2:21" x14ac:dyDescent="0.3">
      <c r="B52" s="639"/>
      <c r="C52" s="639"/>
      <c r="D52" s="639"/>
      <c r="E52" s="639"/>
      <c r="F52" s="639"/>
      <c r="G52" s="639"/>
      <c r="H52" s="639"/>
      <c r="I52" s="639"/>
      <c r="J52" s="639"/>
      <c r="K52" s="639"/>
      <c r="L52" s="639"/>
      <c r="M52" s="639"/>
      <c r="N52" s="639"/>
      <c r="O52" s="639"/>
    </row>
    <row r="53" spans="2:21" x14ac:dyDescent="0.3">
      <c r="B53" s="639" t="s">
        <v>590</v>
      </c>
      <c r="C53" s="639" t="s">
        <v>759</v>
      </c>
      <c r="D53" s="639" t="s">
        <v>1208</v>
      </c>
      <c r="E53" s="639" t="s">
        <v>1858</v>
      </c>
      <c r="F53" s="639" t="s">
        <v>1848</v>
      </c>
      <c r="G53" s="639"/>
      <c r="H53" s="639"/>
      <c r="I53" s="639">
        <v>6</v>
      </c>
      <c r="J53" s="639" t="s">
        <v>1208</v>
      </c>
      <c r="K53" s="639" t="s">
        <v>1590</v>
      </c>
      <c r="L53" s="639" t="s">
        <v>1098</v>
      </c>
      <c r="M53" s="639" t="s">
        <v>1852</v>
      </c>
      <c r="N53" s="639" t="s">
        <v>1097</v>
      </c>
      <c r="O53" s="639" t="s">
        <v>1860</v>
      </c>
      <c r="Q53" t="str">
        <f t="shared" si="9"/>
        <v>ERSKCL1 - Risk of overstatement of Accounts payable because transactions recorded as accounts payable are non-existant or fictitious.</v>
      </c>
      <c r="R53" t="str">
        <f t="shared" si="10"/>
        <v xml:space="preserve"> ORSKCL1 - Risk of overstatement of Accounts payable because transactions recorded as accounts payable are non-existant or fictitious.</v>
      </c>
      <c r="S53" t="str">
        <f t="shared" si="11"/>
        <v xml:space="preserve"> CRSKCL1 - Risk of overstatement of Accounts payable because transactions recorded as accounts payable are non-existant or fictitious.</v>
      </c>
    </row>
    <row r="54" spans="2:21" x14ac:dyDescent="0.3">
      <c r="B54" s="639" t="s">
        <v>590</v>
      </c>
      <c r="C54" s="639" t="s">
        <v>760</v>
      </c>
      <c r="D54" s="639" t="s">
        <v>1590</v>
      </c>
      <c r="E54" s="639" t="s">
        <v>1848</v>
      </c>
      <c r="F54" s="639" t="s">
        <v>1849</v>
      </c>
      <c r="G54" s="639"/>
      <c r="H54" s="639"/>
      <c r="I54" s="639"/>
      <c r="J54" s="639"/>
      <c r="K54" s="639"/>
      <c r="L54" s="639"/>
      <c r="M54" s="639"/>
      <c r="N54" s="639"/>
      <c r="O54" s="639"/>
      <c r="Q54" t="str">
        <f t="shared" si="9"/>
        <v>ORSKCL2 - Risk of understatement of Accounts payable because transactions resulting in accounts payable are not recorded.</v>
      </c>
      <c r="R54" t="str">
        <f t="shared" si="10"/>
        <v xml:space="preserve"> CRSKCL2 - Risk of understatement of Accounts payable because transactions resulting in accounts payable are not recorded.</v>
      </c>
      <c r="S54" t="str">
        <f t="shared" si="11"/>
        <v xml:space="preserve"> VRSKCL2 - Risk of understatement of Accounts payable because transactions resulting in accounts payable are not recorded.</v>
      </c>
    </row>
    <row r="55" spans="2:21" x14ac:dyDescent="0.3">
      <c r="B55" s="639" t="s">
        <v>590</v>
      </c>
      <c r="C55" s="639" t="s">
        <v>1772</v>
      </c>
      <c r="D55" s="639" t="s">
        <v>1590</v>
      </c>
      <c r="E55" s="639" t="s">
        <v>1848</v>
      </c>
      <c r="F55" s="639" t="s">
        <v>1851</v>
      </c>
      <c r="G55" s="639"/>
      <c r="H55" s="639"/>
      <c r="I55" s="639"/>
      <c r="J55" s="639"/>
      <c r="K55" s="639"/>
      <c r="L55" s="639"/>
      <c r="M55" s="639"/>
      <c r="N55" s="639"/>
      <c r="O55" s="639"/>
      <c r="Q55" t="str">
        <f t="shared" si="9"/>
        <v>ORSKCL3 - Risk of overstatement of Accounts payable because payments to creditors are not recorded or are not netted off with outstanding payable balance</v>
      </c>
      <c r="R55" t="str">
        <f t="shared" si="10"/>
        <v xml:space="preserve"> CRSKCL3 - Risk of overstatement of Accounts payable because payments to creditors are not recorded or are not netted off with outstanding payable balance</v>
      </c>
      <c r="S55" t="str">
        <f t="shared" si="11"/>
        <v xml:space="preserve"> ARSKCL3 - Risk of overstatement of Accounts payable because payments to creditors are not recorded or are not netted off with outstanding payable balance</v>
      </c>
    </row>
    <row r="56" spans="2:21" x14ac:dyDescent="0.3">
      <c r="B56" s="639" t="s">
        <v>590</v>
      </c>
      <c r="C56" s="639" t="s">
        <v>1617</v>
      </c>
      <c r="D56" s="639" t="s">
        <v>1590</v>
      </c>
      <c r="E56" s="639" t="s">
        <v>1849</v>
      </c>
      <c r="F56" s="639"/>
      <c r="G56" s="639"/>
      <c r="H56" s="639"/>
      <c r="I56" s="639"/>
      <c r="J56" s="639"/>
      <c r="K56" s="639"/>
      <c r="L56" s="639"/>
      <c r="M56" s="639"/>
      <c r="N56" s="639"/>
      <c r="O56" s="639"/>
      <c r="Q56" t="str">
        <f t="shared" si="9"/>
        <v>ORSKCL4 - Risk of misstatement of foreign supplier balances because such balances are not restated as on the balance sheet date as specified in the financial reporting framework</v>
      </c>
      <c r="R56" t="str">
        <f t="shared" si="10"/>
        <v xml:space="preserve"> VRSKCL4 - Risk of misstatement of foreign supplier balances because such balances are not restated as on the balance sheet date as specified in the financial reporting framework</v>
      </c>
    </row>
    <row r="57" spans="2:21" x14ac:dyDescent="0.3">
      <c r="B57" s="639" t="s">
        <v>590</v>
      </c>
      <c r="C57" s="639" t="s">
        <v>1620</v>
      </c>
      <c r="D57" s="639" t="s">
        <v>1590</v>
      </c>
      <c r="E57" s="639" t="s">
        <v>1849</v>
      </c>
      <c r="F57" s="639"/>
      <c r="G57" s="639"/>
      <c r="H57" s="639"/>
      <c r="I57" s="639"/>
      <c r="J57" s="639"/>
      <c r="K57" s="639"/>
      <c r="L57" s="639"/>
      <c r="M57" s="639"/>
      <c r="N57" s="639"/>
      <c r="O57" s="639"/>
      <c r="Q57" t="str">
        <f t="shared" si="9"/>
        <v>ORSKCL5 - Risk of misstatement of supplier balances because advances made to suppliers for supply of goods/services may end up being irrecoverable if the party does not honour transaction</v>
      </c>
      <c r="R57" t="str">
        <f t="shared" si="10"/>
        <v xml:space="preserve"> VRSKCL5 - Risk of misstatement of supplier balances because advances made to suppliers for supply of goods/services may end up being irrecoverable if the party does not honour transaction</v>
      </c>
    </row>
    <row r="58" spans="2:21" x14ac:dyDescent="0.3">
      <c r="B58" s="639" t="s">
        <v>590</v>
      </c>
      <c r="C58" s="639" t="s">
        <v>1622</v>
      </c>
      <c r="D58" s="639" t="s">
        <v>1590</v>
      </c>
      <c r="E58" s="639" t="s">
        <v>1851</v>
      </c>
      <c r="F58" s="639" t="s">
        <v>1860</v>
      </c>
      <c r="G58" s="639"/>
      <c r="H58" s="639"/>
      <c r="I58" s="639"/>
      <c r="J58" s="639"/>
      <c r="K58" s="639"/>
      <c r="L58" s="639"/>
      <c r="M58" s="639"/>
      <c r="N58" s="639"/>
      <c r="O58" s="639"/>
      <c r="Q58" t="str">
        <f t="shared" si="9"/>
        <v>ORSKCL6 - Risk of misstatement of supplier balances because amounts outstanding to MSME creditors are not appropriately classified and disclosed</v>
      </c>
      <c r="R58" t="str">
        <f t="shared" si="10"/>
        <v xml:space="preserve"> ARSKCL6 - Risk of misstatement of supplier balances because amounts outstanding to MSME creditors are not appropriately classified and disclosed</v>
      </c>
      <c r="S58" t="str">
        <f t="shared" si="11"/>
        <v>P&amp;DRSKCL6 - Risk of misstatement of supplier balances because amounts outstanding to MSME creditors are not appropriately classified and disclosed</v>
      </c>
    </row>
    <row r="59" spans="2:21" x14ac:dyDescent="0.3">
      <c r="B59" s="639"/>
      <c r="C59" s="639"/>
      <c r="D59" s="639"/>
      <c r="E59" s="639"/>
      <c r="F59" s="639"/>
      <c r="G59" s="639"/>
      <c r="H59" s="639"/>
      <c r="I59" s="639"/>
      <c r="J59" s="639"/>
      <c r="K59" s="639"/>
      <c r="L59" s="639"/>
      <c r="M59" s="639"/>
      <c r="N59" s="639"/>
      <c r="O59" s="639"/>
    </row>
    <row r="60" spans="2:21" x14ac:dyDescent="0.3">
      <c r="B60" s="639" t="s">
        <v>1745</v>
      </c>
      <c r="C60" s="639" t="s">
        <v>1746</v>
      </c>
      <c r="D60" s="639" t="s">
        <v>1208</v>
      </c>
      <c r="E60" s="639" t="s">
        <v>1858</v>
      </c>
      <c r="F60" s="639" t="s">
        <v>1848</v>
      </c>
      <c r="G60" s="639" t="s">
        <v>1849</v>
      </c>
      <c r="H60" s="639" t="s">
        <v>1851</v>
      </c>
      <c r="I60" s="639">
        <v>6</v>
      </c>
      <c r="J60" s="639" t="s">
        <v>1208</v>
      </c>
      <c r="K60" s="639" t="s">
        <v>1590</v>
      </c>
      <c r="L60" s="639" t="s">
        <v>1098</v>
      </c>
      <c r="M60" s="639" t="s">
        <v>1852</v>
      </c>
      <c r="N60" s="639" t="s">
        <v>1097</v>
      </c>
      <c r="O60" s="639" t="s">
        <v>1653</v>
      </c>
      <c r="Q60" t="str">
        <f t="shared" si="9"/>
        <v>ERSKEP1 - Risk of misstatement of expenses payable because accrued expenses are not appropriately accounted and classified</v>
      </c>
      <c r="R60" t="str">
        <f t="shared" si="10"/>
        <v xml:space="preserve"> ORSKEP1 - Risk of misstatement of expenses payable because accrued expenses are not appropriately accounted and classified</v>
      </c>
      <c r="S60" t="str">
        <f t="shared" si="11"/>
        <v xml:space="preserve"> CRSKEP1 - Risk of misstatement of expenses payable because accrued expenses are not appropriately accounted and classified</v>
      </c>
      <c r="T60" t="str">
        <f t="shared" si="12"/>
        <v xml:space="preserve"> VRSKEP1 - Risk of misstatement of expenses payable because accrued expenses are not appropriately accounted and classified</v>
      </c>
      <c r="U60" t="str">
        <f t="shared" ref="U60:U68" si="13">H60&amp;$C60</f>
        <v xml:space="preserve"> ARSKEP1 - Risk of misstatement of expenses payable because accrued expenses are not appropriately accounted and classified</v>
      </c>
    </row>
    <row r="61" spans="2:21" x14ac:dyDescent="0.3">
      <c r="B61" s="639" t="s">
        <v>1745</v>
      </c>
      <c r="C61" s="639" t="s">
        <v>1762</v>
      </c>
      <c r="D61" s="639" t="s">
        <v>1208</v>
      </c>
      <c r="E61" s="639" t="s">
        <v>1858</v>
      </c>
      <c r="F61" s="639" t="s">
        <v>1848</v>
      </c>
      <c r="G61" s="639" t="s">
        <v>1849</v>
      </c>
      <c r="H61" s="639" t="s">
        <v>1851</v>
      </c>
      <c r="I61" s="639"/>
      <c r="J61" s="639"/>
      <c r="K61" s="639"/>
      <c r="L61" s="639"/>
      <c r="M61" s="639"/>
      <c r="N61" s="639"/>
      <c r="O61" s="639"/>
      <c r="Q61" t="str">
        <f t="shared" si="9"/>
        <v>ERSKEP2 - Risk of misstatement of expenses payable because expenses payable to staff are not correctly accounted and appropriately classified</v>
      </c>
      <c r="R61" t="str">
        <f t="shared" si="10"/>
        <v xml:space="preserve"> ORSKEP2 - Risk of misstatement of expenses payable because expenses payable to staff are not correctly accounted and appropriately classified</v>
      </c>
      <c r="S61" t="str">
        <f t="shared" si="11"/>
        <v xml:space="preserve"> CRSKEP2 - Risk of misstatement of expenses payable because expenses payable to staff are not correctly accounted and appropriately classified</v>
      </c>
      <c r="T61" t="str">
        <f t="shared" si="12"/>
        <v xml:space="preserve"> VRSKEP2 - Risk of misstatement of expenses payable because expenses payable to staff are not correctly accounted and appropriately classified</v>
      </c>
      <c r="U61" t="str">
        <f t="shared" si="13"/>
        <v xml:space="preserve"> ARSKEP2 - Risk of misstatement of expenses payable because expenses payable to staff are not correctly accounted and appropriately classified</v>
      </c>
    </row>
    <row r="62" spans="2:21" x14ac:dyDescent="0.3">
      <c r="B62" s="639"/>
      <c r="C62" s="639"/>
      <c r="D62" s="639"/>
      <c r="E62" s="639"/>
      <c r="F62" s="639"/>
      <c r="G62" s="639"/>
      <c r="H62" s="639"/>
      <c r="I62" s="639"/>
      <c r="J62" s="639"/>
      <c r="K62" s="639"/>
      <c r="L62" s="639"/>
      <c r="M62" s="639"/>
      <c r="N62" s="639"/>
      <c r="O62" s="639"/>
    </row>
    <row r="63" spans="2:21" x14ac:dyDescent="0.3">
      <c r="B63" s="639" t="s">
        <v>1012</v>
      </c>
      <c r="C63" s="639" t="s">
        <v>1014</v>
      </c>
      <c r="D63" s="639" t="s">
        <v>1208</v>
      </c>
      <c r="E63" s="639" t="s">
        <v>1858</v>
      </c>
      <c r="F63" s="639" t="s">
        <v>1849</v>
      </c>
      <c r="G63" s="639" t="s">
        <v>1854</v>
      </c>
      <c r="H63" s="639" t="s">
        <v>1097</v>
      </c>
      <c r="I63" s="639"/>
      <c r="J63" s="639"/>
      <c r="K63" s="639"/>
      <c r="L63" s="639"/>
      <c r="M63" s="639"/>
      <c r="N63" s="639"/>
      <c r="O63" s="639"/>
      <c r="Q63" t="str">
        <f t="shared" si="9"/>
        <v>ERSKSP1 - Risk of misstatement of statutory liabilities because the liabilities are not calculated as per the applicable statutory provisions</v>
      </c>
      <c r="R63" t="str">
        <f t="shared" si="10"/>
        <v xml:space="preserve"> ORSKSP1 - Risk of misstatement of statutory liabilities because the liabilities are not calculated as per the applicable statutory provisions</v>
      </c>
      <c r="S63" t="str">
        <f t="shared" si="11"/>
        <v xml:space="preserve"> VRSKSP1 - Risk of misstatement of statutory liabilities because the liabilities are not calculated as per the applicable statutory provisions</v>
      </c>
      <c r="T63" t="str">
        <f t="shared" si="12"/>
        <v xml:space="preserve"> CORSKSP1 - Risk of misstatement of statutory liabilities because the liabilities are not calculated as per the applicable statutory provisions</v>
      </c>
      <c r="U63" t="str">
        <f t="shared" si="13"/>
        <v>ARSKSP1 - Risk of misstatement of statutory liabilities because the liabilities are not calculated as per the applicable statutory provisions</v>
      </c>
    </row>
    <row r="64" spans="2:21" x14ac:dyDescent="0.3">
      <c r="B64" s="639" t="s">
        <v>1012</v>
      </c>
      <c r="C64" s="639" t="s">
        <v>1013</v>
      </c>
      <c r="D64" s="639" t="s">
        <v>1590</v>
      </c>
      <c r="E64" s="639" t="s">
        <v>1848</v>
      </c>
      <c r="F64" s="639" t="s">
        <v>1849</v>
      </c>
      <c r="G64" s="639"/>
      <c r="H64" s="639"/>
      <c r="I64" s="639">
        <v>4</v>
      </c>
      <c r="J64" s="639"/>
      <c r="K64" s="639" t="s">
        <v>1590</v>
      </c>
      <c r="L64" s="639" t="s">
        <v>1098</v>
      </c>
      <c r="M64" s="639" t="s">
        <v>1852</v>
      </c>
      <c r="N64" s="639"/>
      <c r="O64" s="639" t="s">
        <v>1653</v>
      </c>
      <c r="Q64" t="str">
        <f t="shared" si="9"/>
        <v>ORSKSP2 - Risk of misstatement of statutory liabilities because the applicable rates are not applied consistently through out the period under audit</v>
      </c>
      <c r="R64" t="str">
        <f t="shared" si="10"/>
        <v xml:space="preserve"> CRSKSP2 - Risk of misstatement of statutory liabilities because the applicable rates are not applied consistently through out the period under audit</v>
      </c>
      <c r="S64" t="str">
        <f t="shared" si="11"/>
        <v xml:space="preserve"> VRSKSP2 - Risk of misstatement of statutory liabilities because the applicable rates are not applied consistently through out the period under audit</v>
      </c>
    </row>
    <row r="65" spans="2:21" x14ac:dyDescent="0.3">
      <c r="B65" s="639" t="s">
        <v>1012</v>
      </c>
      <c r="C65" s="639" t="s">
        <v>1015</v>
      </c>
      <c r="D65" s="639" t="s">
        <v>1590</v>
      </c>
      <c r="E65" s="639" t="s">
        <v>1848</v>
      </c>
      <c r="F65" s="639" t="s">
        <v>1854</v>
      </c>
      <c r="G65" s="639"/>
      <c r="H65" s="639"/>
      <c r="I65" s="639"/>
      <c r="J65" s="639"/>
      <c r="K65" s="639"/>
      <c r="L65" s="639"/>
      <c r="M65" s="639"/>
      <c r="N65" s="639"/>
      <c r="O65" s="639"/>
      <c r="Q65" t="str">
        <f t="shared" si="9"/>
        <v>ORSKSP3 - Risk of misstatement of statutory liabilities because the statutory liabilities are not remitted within the applicable due dates</v>
      </c>
      <c r="R65" t="str">
        <f t="shared" si="10"/>
        <v xml:space="preserve"> CRSKSP3 - Risk of misstatement of statutory liabilities because the statutory liabilities are not remitted within the applicable due dates</v>
      </c>
      <c r="S65" t="str">
        <f t="shared" si="11"/>
        <v xml:space="preserve"> CORSKSP3 - Risk of misstatement of statutory liabilities because the statutory liabilities are not remitted within the applicable due dates</v>
      </c>
    </row>
    <row r="66" spans="2:21" x14ac:dyDescent="0.3">
      <c r="B66" s="639" t="s">
        <v>1012</v>
      </c>
      <c r="C66" s="639" t="s">
        <v>1016</v>
      </c>
      <c r="D66" s="639" t="s">
        <v>1590</v>
      </c>
      <c r="E66" s="639" t="s">
        <v>1848</v>
      </c>
      <c r="F66" s="639"/>
      <c r="G66" s="639"/>
      <c r="H66" s="639"/>
      <c r="I66" s="639"/>
      <c r="J66" s="639"/>
      <c r="K66" s="639"/>
      <c r="L66" s="639"/>
      <c r="M66" s="639"/>
      <c r="N66" s="639"/>
      <c r="O66" s="639"/>
      <c r="Q66" t="str">
        <f t="shared" si="9"/>
        <v>ORSKSP4 - Risk of misstatement of statutory liabilities because the returns are incorrectly filed or not filed at all</v>
      </c>
      <c r="R66" t="str">
        <f t="shared" si="10"/>
        <v xml:space="preserve"> CRSKSP4 - Risk of misstatement of statutory liabilities because the returns are incorrectly filed or not filed at all</v>
      </c>
    </row>
    <row r="67" spans="2:21" x14ac:dyDescent="0.3">
      <c r="B67" s="639"/>
      <c r="C67" s="639"/>
      <c r="D67" s="639"/>
      <c r="E67" s="639"/>
      <c r="F67" s="639"/>
      <c r="G67" s="639"/>
      <c r="H67" s="639"/>
      <c r="I67" s="639"/>
      <c r="J67" s="639"/>
      <c r="K67" s="639"/>
      <c r="L67" s="639"/>
      <c r="M67" s="639"/>
      <c r="N67" s="639"/>
      <c r="O67" s="639"/>
    </row>
    <row r="68" spans="2:21" x14ac:dyDescent="0.3">
      <c r="B68" s="639" t="s">
        <v>596</v>
      </c>
      <c r="C68" s="639" t="s">
        <v>1632</v>
      </c>
      <c r="D68" s="639" t="s">
        <v>1208</v>
      </c>
      <c r="E68" s="639" t="s">
        <v>1850</v>
      </c>
      <c r="F68" s="639" t="s">
        <v>1848</v>
      </c>
      <c r="G68" s="639" t="s">
        <v>1849</v>
      </c>
      <c r="H68" s="639" t="s">
        <v>1851</v>
      </c>
      <c r="I68" s="639">
        <v>6</v>
      </c>
      <c r="J68" s="639" t="s">
        <v>1208</v>
      </c>
      <c r="K68" s="639" t="s">
        <v>1847</v>
      </c>
      <c r="L68" s="639" t="s">
        <v>1098</v>
      </c>
      <c r="M68" s="639" t="s">
        <v>1852</v>
      </c>
      <c r="N68" s="639" t="s">
        <v>1097</v>
      </c>
      <c r="O68" s="639" t="s">
        <v>1860</v>
      </c>
      <c r="Q68" t="str">
        <f t="shared" si="9"/>
        <v>ERSKLA1 - Risk of understatement of Prepaid expense because prepaid is not recognised for payments in respect of which services have not been received and such payments are wrongly classified as expense.</v>
      </c>
      <c r="R68" t="str">
        <f t="shared" si="10"/>
        <v xml:space="preserve"> RRSKLA1 - Risk of understatement of Prepaid expense because prepaid is not recognised for payments in respect of which services have not been received and such payments are wrongly classified as expense.</v>
      </c>
      <c r="S68" t="str">
        <f t="shared" si="11"/>
        <v xml:space="preserve"> CRSKLA1 - Risk of understatement of Prepaid expense because prepaid is not recognised for payments in respect of which services have not been received and such payments are wrongly classified as expense.</v>
      </c>
      <c r="T68" t="str">
        <f t="shared" si="12"/>
        <v xml:space="preserve"> VRSKLA1 - Risk of understatement of Prepaid expense because prepaid is not recognised for payments in respect of which services have not been received and such payments are wrongly classified as expense.</v>
      </c>
      <c r="U68" t="str">
        <f t="shared" si="13"/>
        <v xml:space="preserve"> ARSKLA1 - Risk of understatement of Prepaid expense because prepaid is not recognised for payments in respect of which services have not been received and such payments are wrongly classified as expense.</v>
      </c>
    </row>
    <row r="69" spans="2:21" x14ac:dyDescent="0.3">
      <c r="B69" s="639" t="s">
        <v>596</v>
      </c>
      <c r="C69" s="639" t="s">
        <v>766</v>
      </c>
      <c r="D69" s="639" t="s">
        <v>1208</v>
      </c>
      <c r="E69" s="639" t="s">
        <v>1850</v>
      </c>
      <c r="F69" s="639" t="s">
        <v>1848</v>
      </c>
      <c r="G69" s="639"/>
      <c r="H69" s="639"/>
      <c r="I69" s="639"/>
      <c r="J69" s="639"/>
      <c r="K69" s="639"/>
      <c r="L69" s="639"/>
      <c r="M69" s="639"/>
      <c r="N69" s="639"/>
      <c r="O69" s="639"/>
      <c r="Q69" t="str">
        <f t="shared" si="9"/>
        <v>ERSKLA2 - Risk of overstatement of Prepaid expense because amounts included in prepaid expense relate to fictitious or unauthorised transction.</v>
      </c>
      <c r="R69" t="str">
        <f t="shared" si="10"/>
        <v xml:space="preserve"> RRSKLA2 - Risk of overstatement of Prepaid expense because amounts included in prepaid expense relate to fictitious or unauthorised transction.</v>
      </c>
      <c r="S69" t="str">
        <f t="shared" si="11"/>
        <v xml:space="preserve"> CRSKLA2 - Risk of overstatement of Prepaid expense because amounts included in prepaid expense relate to fictitious or unauthorised transction.</v>
      </c>
    </row>
    <row r="70" spans="2:21" x14ac:dyDescent="0.3">
      <c r="B70" s="639" t="s">
        <v>596</v>
      </c>
      <c r="C70" s="639" t="s">
        <v>1638</v>
      </c>
      <c r="D70" s="639" t="s">
        <v>1208</v>
      </c>
      <c r="E70" s="639" t="s">
        <v>1850</v>
      </c>
      <c r="F70" s="639" t="s">
        <v>1849</v>
      </c>
      <c r="G70" s="639"/>
      <c r="H70" s="639"/>
      <c r="I70" s="639"/>
      <c r="J70" s="639"/>
      <c r="K70" s="639"/>
      <c r="L70" s="639"/>
      <c r="M70" s="639"/>
      <c r="N70" s="639"/>
      <c r="O70" s="639"/>
      <c r="Q70" t="str">
        <f t="shared" si="9"/>
        <v>ERSKLA3 - Risk of misstatement of Staff advances because the balance in staff advance account pertain to employees who have left the organisation</v>
      </c>
      <c r="R70" t="str">
        <f t="shared" si="10"/>
        <v xml:space="preserve"> RRSKLA3 - Risk of misstatement of Staff advances because the balance in staff advance account pertain to employees who have left the organisation</v>
      </c>
      <c r="S70" t="str">
        <f t="shared" si="11"/>
        <v xml:space="preserve"> VRSKLA3 - Risk of misstatement of Staff advances because the balance in staff advance account pertain to employees who have left the organisation</v>
      </c>
    </row>
    <row r="71" spans="2:21" x14ac:dyDescent="0.3">
      <c r="B71" s="639" t="s">
        <v>596</v>
      </c>
      <c r="C71" s="639" t="s">
        <v>1774</v>
      </c>
      <c r="D71" s="639" t="s">
        <v>1208</v>
      </c>
      <c r="E71" s="639" t="s">
        <v>1850</v>
      </c>
      <c r="F71" s="639" t="s">
        <v>1848</v>
      </c>
      <c r="G71" s="639" t="s">
        <v>1849</v>
      </c>
      <c r="H71" s="639"/>
      <c r="I71" s="639"/>
      <c r="J71" s="639"/>
      <c r="K71" s="639"/>
      <c r="L71" s="639"/>
      <c r="M71" s="639"/>
      <c r="N71" s="639"/>
      <c r="O71" s="639"/>
      <c r="Q71" t="str">
        <f t="shared" si="9"/>
        <v>ERSKLA4 - Risk of misstatement of Deposits because the the recorded deposits are fictitious or non-recoverable/doubtful or without proper supportings</v>
      </c>
      <c r="R71" t="str">
        <f t="shared" si="10"/>
        <v xml:space="preserve"> RRSKLA4 - Risk of misstatement of Deposits because the the recorded deposits are fictitious or non-recoverable/doubtful or without proper supportings</v>
      </c>
      <c r="S71" t="str">
        <f t="shared" si="11"/>
        <v xml:space="preserve"> CRSKLA4 - Risk of misstatement of Deposits because the the recorded deposits are fictitious or non-recoverable/doubtful or without proper supportings</v>
      </c>
      <c r="T71" t="str">
        <f t="shared" si="12"/>
        <v xml:space="preserve"> VRSKLA4 - Risk of misstatement of Deposits because the the recorded deposits are fictitious or non-recoverable/doubtful or without proper supportings</v>
      </c>
    </row>
    <row r="72" spans="2:21" x14ac:dyDescent="0.3">
      <c r="B72" s="639" t="s">
        <v>596</v>
      </c>
      <c r="C72" s="639" t="s">
        <v>1806</v>
      </c>
      <c r="D72" s="639" t="s">
        <v>1860</v>
      </c>
      <c r="E72" s="639" t="s">
        <v>1851</v>
      </c>
      <c r="F72" s="639"/>
      <c r="G72" s="639"/>
      <c r="H72" s="639"/>
      <c r="I72" s="639"/>
      <c r="J72" s="639"/>
      <c r="K72" s="639"/>
      <c r="L72" s="639"/>
      <c r="M72" s="639"/>
      <c r="N72" s="639"/>
      <c r="O72" s="639"/>
      <c r="Q72" t="str">
        <f t="shared" si="9"/>
        <v>P&amp;DRSKLA5 - Risk of misstatement of Loans &amp; advances or Deposits because the required classification into current and non current as required by the framework is not done</v>
      </c>
      <c r="R72" t="str">
        <f t="shared" si="10"/>
        <v xml:space="preserve"> ARSKLA5 - Risk of misstatement of Loans &amp; advances or Deposits because the required classification into current and non current as required by the framework is not done</v>
      </c>
    </row>
    <row r="73" spans="2:21" x14ac:dyDescent="0.3">
      <c r="B73" s="639" t="s">
        <v>596</v>
      </c>
      <c r="C73" s="639" t="s">
        <v>1783</v>
      </c>
      <c r="D73" s="639" t="s">
        <v>1860</v>
      </c>
      <c r="E73" s="639" t="s">
        <v>1851</v>
      </c>
      <c r="F73" s="639"/>
      <c r="G73" s="639"/>
      <c r="H73" s="639"/>
      <c r="I73" s="639"/>
      <c r="J73" s="639"/>
      <c r="K73" s="639"/>
      <c r="L73" s="639"/>
      <c r="M73" s="639"/>
      <c r="N73" s="639"/>
      <c r="O73" s="639"/>
      <c r="Q73" t="str">
        <f t="shared" si="9"/>
        <v>P&amp;DRSKLA6 - Risk of misstatement of Loans &amp; advances or Deposits because doubtful deposits are not adequately proviided for</v>
      </c>
      <c r="R73" t="str">
        <f t="shared" si="10"/>
        <v xml:space="preserve"> ARSKLA6 - Risk of misstatement of Loans &amp; advances or Deposits because doubtful deposits are not adequately proviided for</v>
      </c>
    </row>
    <row r="74" spans="2:21" x14ac:dyDescent="0.3">
      <c r="B74" s="639"/>
      <c r="C74" s="639"/>
      <c r="D74" s="639"/>
      <c r="E74" s="639"/>
      <c r="F74" s="639"/>
      <c r="G74" s="639"/>
      <c r="H74" s="639"/>
      <c r="I74" s="639"/>
      <c r="J74" s="639"/>
      <c r="K74" s="639"/>
      <c r="L74" s="639"/>
      <c r="M74" s="639"/>
      <c r="N74" s="639"/>
      <c r="O74" s="639"/>
    </row>
    <row r="75" spans="2:21" x14ac:dyDescent="0.3">
      <c r="B75" s="639" t="s">
        <v>530</v>
      </c>
      <c r="C75" s="639" t="s">
        <v>771</v>
      </c>
      <c r="D75" s="639" t="s">
        <v>1590</v>
      </c>
      <c r="E75" s="639"/>
      <c r="F75" s="639"/>
      <c r="G75" s="639"/>
      <c r="H75" s="639"/>
      <c r="I75" s="639">
        <v>4</v>
      </c>
      <c r="J75" s="639" t="s">
        <v>1590</v>
      </c>
      <c r="K75" s="639" t="s">
        <v>1098</v>
      </c>
      <c r="L75" s="639" t="s">
        <v>1097</v>
      </c>
      <c r="M75" s="639" t="s">
        <v>1653</v>
      </c>
      <c r="N75" s="639"/>
      <c r="O75" s="639"/>
      <c r="Q75" t="str">
        <f t="shared" si="9"/>
        <v>ORSKRE1 - Risk of overstatement of revenue because invoices issued and recorded do not relate to valid sales / shipments.</v>
      </c>
    </row>
    <row r="76" spans="2:21" x14ac:dyDescent="0.3">
      <c r="B76" s="639" t="s">
        <v>530</v>
      </c>
      <c r="C76" s="639" t="s">
        <v>772</v>
      </c>
      <c r="D76" s="639" t="s">
        <v>1590</v>
      </c>
      <c r="E76" s="639" t="s">
        <v>1848</v>
      </c>
      <c r="F76" s="639"/>
      <c r="G76" s="639"/>
      <c r="H76" s="639"/>
      <c r="I76" s="639"/>
      <c r="J76" s="639"/>
      <c r="K76" s="639"/>
      <c r="L76" s="639"/>
      <c r="M76" s="639"/>
      <c r="N76" s="639"/>
      <c r="O76" s="639"/>
      <c r="Q76" t="str">
        <f t="shared" si="9"/>
        <v>ORSKRE2 - Risk of understatement of revenue because invoices issued to customer are not recorded.</v>
      </c>
      <c r="R76" t="str">
        <f t="shared" si="10"/>
        <v xml:space="preserve"> CRSKRE2 - Risk of understatement of revenue because invoices issued to customer are not recorded.</v>
      </c>
    </row>
    <row r="77" spans="2:21" x14ac:dyDescent="0.3">
      <c r="B77" s="639" t="s">
        <v>530</v>
      </c>
      <c r="C77" s="639" t="s">
        <v>773</v>
      </c>
      <c r="D77" s="639" t="s">
        <v>1097</v>
      </c>
      <c r="E77" s="639"/>
      <c r="F77" s="639"/>
      <c r="G77" s="639"/>
      <c r="H77" s="639"/>
      <c r="I77" s="639"/>
      <c r="J77" s="639"/>
      <c r="K77" s="639"/>
      <c r="L77" s="639"/>
      <c r="M77" s="639"/>
      <c r="N77" s="639"/>
      <c r="O77" s="639"/>
      <c r="Q77" t="str">
        <f t="shared" si="9"/>
        <v>ARSKRE3 - Risk of misstatement of revenue because sale price is not agreeing with the approved price list.</v>
      </c>
    </row>
    <row r="78" spans="2:21" x14ac:dyDescent="0.3">
      <c r="B78" s="639" t="s">
        <v>530</v>
      </c>
      <c r="C78" s="639" t="s">
        <v>774</v>
      </c>
      <c r="D78" s="639" t="s">
        <v>1097</v>
      </c>
      <c r="E78" s="639"/>
      <c r="F78" s="639"/>
      <c r="G78" s="639"/>
      <c r="H78" s="639"/>
      <c r="I78" s="639"/>
      <c r="J78" s="639"/>
      <c r="K78" s="639"/>
      <c r="L78" s="639"/>
      <c r="M78" s="639"/>
      <c r="N78" s="639"/>
      <c r="O78" s="639"/>
      <c r="Q78" t="str">
        <f t="shared" si="9"/>
        <v>ARSKRE4 - Risk of misstatement of revenue because of errors in the calculation of sales value on the invoice.</v>
      </c>
    </row>
    <row r="79" spans="2:21" x14ac:dyDescent="0.3">
      <c r="B79" s="639" t="s">
        <v>530</v>
      </c>
      <c r="C79" s="639" t="s">
        <v>775</v>
      </c>
      <c r="D79" s="639" t="s">
        <v>1097</v>
      </c>
      <c r="E79" s="639"/>
      <c r="F79" s="639"/>
      <c r="G79" s="639"/>
      <c r="H79" s="639"/>
      <c r="I79" s="639"/>
      <c r="J79" s="639"/>
      <c r="K79" s="639"/>
      <c r="L79" s="639"/>
      <c r="M79" s="639"/>
      <c r="N79" s="639"/>
      <c r="O79" s="639"/>
      <c r="Q79" t="str">
        <f t="shared" si="9"/>
        <v>ARSKRE5 - Risk of misstatement of revenue because discounts from sale price shown on the invoice are not calculated in accordance with the approved discount rates.</v>
      </c>
    </row>
    <row r="80" spans="2:21" x14ac:dyDescent="0.3">
      <c r="B80" s="639" t="s">
        <v>530</v>
      </c>
      <c r="C80" s="639" t="s">
        <v>776</v>
      </c>
      <c r="D80" s="639" t="s">
        <v>1590</v>
      </c>
      <c r="E80" s="639"/>
      <c r="F80" s="639"/>
      <c r="G80" s="639"/>
      <c r="H80" s="639"/>
      <c r="I80" s="639"/>
      <c r="J80" s="639"/>
      <c r="K80" s="639"/>
      <c r="L80" s="639"/>
      <c r="M80" s="639"/>
      <c r="N80" s="639"/>
      <c r="O80" s="639"/>
      <c r="Q80" t="str">
        <f t="shared" si="9"/>
        <v>ORSKRE6 - Risk of misstatement of revenue because credit notes issued and recorded do not relate to valid sales returns.</v>
      </c>
    </row>
    <row r="81" spans="2:20" x14ac:dyDescent="0.3">
      <c r="B81" s="639" t="s">
        <v>530</v>
      </c>
      <c r="C81" s="639" t="s">
        <v>923</v>
      </c>
      <c r="D81" s="639" t="s">
        <v>1653</v>
      </c>
      <c r="E81" s="639"/>
      <c r="F81" s="639"/>
      <c r="G81" s="639"/>
      <c r="H81" s="639"/>
      <c r="I81" s="639"/>
      <c r="J81" s="639"/>
      <c r="K81" s="639"/>
      <c r="L81" s="639"/>
      <c r="M81" s="639"/>
      <c r="N81" s="639"/>
      <c r="O81" s="639"/>
      <c r="Q81" t="str">
        <f t="shared" si="9"/>
        <v>CORSKRE7 - Risk of misstatement of revenue due to recording in the incorrect period</v>
      </c>
    </row>
    <row r="82" spans="2:20" x14ac:dyDescent="0.3">
      <c r="B82" s="639"/>
      <c r="C82" s="639"/>
      <c r="D82" s="639"/>
      <c r="E82" s="639"/>
      <c r="F82" s="639"/>
      <c r="G82" s="639"/>
      <c r="H82" s="639"/>
      <c r="I82" s="639"/>
      <c r="J82" s="639"/>
      <c r="K82" s="639"/>
      <c r="L82" s="639"/>
      <c r="M82" s="639"/>
      <c r="N82" s="639"/>
      <c r="O82" s="639"/>
    </row>
    <row r="83" spans="2:20" x14ac:dyDescent="0.3">
      <c r="B83" s="639" t="s">
        <v>1655</v>
      </c>
      <c r="C83" s="639" t="s">
        <v>1656</v>
      </c>
      <c r="D83" s="639" t="s">
        <v>1208</v>
      </c>
      <c r="E83" s="639" t="s">
        <v>1858</v>
      </c>
      <c r="F83" s="639" t="s">
        <v>1849</v>
      </c>
      <c r="G83" s="639"/>
      <c r="H83" s="639"/>
      <c r="I83" s="639">
        <v>5</v>
      </c>
      <c r="J83" s="639" t="s">
        <v>1208</v>
      </c>
      <c r="K83" s="639" t="s">
        <v>1590</v>
      </c>
      <c r="L83" s="639" t="s">
        <v>1098</v>
      </c>
      <c r="M83" s="639" t="s">
        <v>1852</v>
      </c>
      <c r="N83" s="639" t="s">
        <v>1097</v>
      </c>
      <c r="O83" s="639"/>
      <c r="Q83" t="str">
        <f t="shared" ref="Q83:Q92" si="14">D83&amp;$C83</f>
        <v>ERSKPROV1 - Risk of misstatement of accrual for gratuity liability at the balance sheet date because the salary, period of service, and other relevant data provided by the entity for actuarial valuation is incorrect.</v>
      </c>
      <c r="R83" t="str">
        <f t="shared" ref="R83:R92" si="15">E83&amp;$C83</f>
        <v xml:space="preserve"> ORSKPROV1 - Risk of misstatement of accrual for gratuity liability at the balance sheet date because the salary, period of service, and other relevant data provided by the entity for actuarial valuation is incorrect.</v>
      </c>
      <c r="S83" t="str">
        <f t="shared" ref="S83:S92" si="16">F83&amp;$C83</f>
        <v xml:space="preserve"> VRSKPROV1 - Risk of misstatement of accrual for gratuity liability at the balance sheet date because the salary, period of service, and other relevant data provided by the entity for actuarial valuation is incorrect.</v>
      </c>
    </row>
    <row r="84" spans="2:20" x14ac:dyDescent="0.3">
      <c r="B84" s="639" t="s">
        <v>1655</v>
      </c>
      <c r="C84" s="639" t="s">
        <v>1659</v>
      </c>
      <c r="D84" s="639" t="s">
        <v>1208</v>
      </c>
      <c r="E84" s="639" t="s">
        <v>1849</v>
      </c>
      <c r="F84" s="639" t="s">
        <v>1851</v>
      </c>
      <c r="G84" s="639"/>
      <c r="H84" s="639"/>
      <c r="I84" s="639"/>
      <c r="J84" s="639"/>
      <c r="K84" s="639"/>
      <c r="L84" s="639"/>
      <c r="M84" s="639"/>
      <c r="N84" s="639"/>
      <c r="O84" s="639"/>
      <c r="Q84" t="str">
        <f t="shared" si="14"/>
        <v>ERSKPROV2 - Risk of misstatement of provision for doubtful balances because of doubtful balances are not properly estimated/ascertained</v>
      </c>
      <c r="R84" t="str">
        <f t="shared" si="15"/>
        <v xml:space="preserve"> VRSKPROV2 - Risk of misstatement of provision for doubtful balances because of doubtful balances are not properly estimated/ascertained</v>
      </c>
      <c r="S84" t="str">
        <f t="shared" si="16"/>
        <v xml:space="preserve"> ARSKPROV2 - Risk of misstatement of provision for doubtful balances because of doubtful balances are not properly estimated/ascertained</v>
      </c>
    </row>
    <row r="85" spans="2:20" x14ac:dyDescent="0.3">
      <c r="B85" s="639" t="s">
        <v>1655</v>
      </c>
      <c r="C85" s="639" t="s">
        <v>1662</v>
      </c>
      <c r="D85" s="639" t="s">
        <v>1590</v>
      </c>
      <c r="E85" s="639" t="s">
        <v>1848</v>
      </c>
      <c r="F85" s="639" t="s">
        <v>1849</v>
      </c>
      <c r="G85" s="639" t="s">
        <v>1851</v>
      </c>
      <c r="H85" s="639"/>
      <c r="I85" s="639"/>
      <c r="J85" s="639"/>
      <c r="K85" s="639"/>
      <c r="L85" s="639"/>
      <c r="M85" s="639"/>
      <c r="N85" s="639"/>
      <c r="O85" s="639"/>
      <c r="Q85" t="str">
        <f t="shared" si="14"/>
        <v>ORSKPROV3 - Risk of understatement of expenses and provision balance as accruals of fabricator incentive and product warranties are not appropriately accounted</v>
      </c>
      <c r="R85" t="str">
        <f t="shared" si="15"/>
        <v xml:space="preserve"> CRSKPROV3 - Risk of understatement of expenses and provision balance as accruals of fabricator incentive and product warranties are not appropriately accounted</v>
      </c>
      <c r="S85" t="str">
        <f t="shared" si="16"/>
        <v xml:space="preserve"> VRSKPROV3 - Risk of understatement of expenses and provision balance as accruals of fabricator incentive and product warranties are not appropriately accounted</v>
      </c>
      <c r="T85" t="str">
        <f t="shared" ref="T85:T92" si="17">G85&amp;$C85</f>
        <v xml:space="preserve"> ARSKPROV3 - Risk of understatement of expenses and provision balance as accruals of fabricator incentive and product warranties are not appropriately accounted</v>
      </c>
    </row>
    <row r="86" spans="2:20" x14ac:dyDescent="0.3">
      <c r="B86" s="639"/>
      <c r="C86" s="639"/>
      <c r="D86" s="639"/>
      <c r="E86" s="639"/>
      <c r="F86" s="639"/>
      <c r="G86" s="639"/>
      <c r="H86" s="639"/>
      <c r="I86" s="639"/>
      <c r="J86" s="639"/>
      <c r="K86" s="639"/>
      <c r="L86" s="639"/>
      <c r="M86" s="639"/>
      <c r="N86" s="639"/>
      <c r="O86" s="639"/>
    </row>
    <row r="87" spans="2:20" x14ac:dyDescent="0.3">
      <c r="B87" s="639" t="s">
        <v>1665</v>
      </c>
      <c r="C87" s="639" t="s">
        <v>777</v>
      </c>
      <c r="D87" s="639" t="s">
        <v>1590</v>
      </c>
      <c r="E87" s="639"/>
      <c r="F87" s="639"/>
      <c r="G87" s="639"/>
      <c r="H87" s="639"/>
      <c r="I87" s="639">
        <v>4</v>
      </c>
      <c r="J87" s="639" t="s">
        <v>1590</v>
      </c>
      <c r="K87" s="639" t="s">
        <v>1098</v>
      </c>
      <c r="L87" s="639" t="s">
        <v>1097</v>
      </c>
      <c r="M87" s="639" t="s">
        <v>1856</v>
      </c>
      <c r="N87" s="639"/>
      <c r="O87" s="639"/>
      <c r="Q87" t="str">
        <f t="shared" si="14"/>
        <v>ORSKEXP1 - Risk of overstatement of discounts given to distributors / dealers because the transactions recorded in the general ledger are fictitious or unauthorised.</v>
      </c>
    </row>
    <row r="88" spans="2:20" x14ac:dyDescent="0.3">
      <c r="B88" s="639" t="s">
        <v>1665</v>
      </c>
      <c r="C88" s="639" t="s">
        <v>778</v>
      </c>
      <c r="D88" s="639" t="s">
        <v>1590</v>
      </c>
      <c r="E88" s="639" t="s">
        <v>1848</v>
      </c>
      <c r="F88" s="639"/>
      <c r="G88" s="639"/>
      <c r="H88" s="639"/>
      <c r="I88" s="639"/>
      <c r="J88" s="639"/>
      <c r="K88" s="639"/>
      <c r="L88" s="639"/>
      <c r="M88" s="639"/>
      <c r="N88" s="639"/>
      <c r="O88" s="639"/>
      <c r="Q88" t="str">
        <f t="shared" si="14"/>
        <v>ORSKEXP2 - Risk of mistatement of advertisement expenses because the transactions recorded in the general ledger are fictitious or unauthorised or the same are not recorded at all</v>
      </c>
      <c r="R88" t="str">
        <f t="shared" si="15"/>
        <v xml:space="preserve"> CRSKEXP2 - Risk of mistatement of advertisement expenses because the transactions recorded in the general ledger are fictitious or unauthorised or the same are not recorded at all</v>
      </c>
    </row>
    <row r="89" spans="2:20" x14ac:dyDescent="0.3">
      <c r="B89" s="639" t="s">
        <v>1665</v>
      </c>
      <c r="C89" s="639" t="s">
        <v>779</v>
      </c>
      <c r="D89" s="639" t="s">
        <v>1590</v>
      </c>
      <c r="E89" s="639" t="s">
        <v>1848</v>
      </c>
      <c r="F89" s="639" t="s">
        <v>1851</v>
      </c>
      <c r="G89" s="639"/>
      <c r="H89" s="639"/>
      <c r="I89" s="639"/>
      <c r="J89" s="639"/>
      <c r="K89" s="639"/>
      <c r="L89" s="639"/>
      <c r="M89" s="639"/>
      <c r="N89" s="639"/>
      <c r="O89" s="639"/>
      <c r="Q89" t="str">
        <f t="shared" si="14"/>
        <v>ORSKEXP3 - Risk of mistatement of finance expenses because the transactions recorded in the general ledger are fictitious or unauthorised or the same are not recorded at all</v>
      </c>
      <c r="R89" t="str">
        <f t="shared" si="15"/>
        <v xml:space="preserve"> CRSKEXP3 - Risk of mistatement of finance expenses because the transactions recorded in the general ledger are fictitious or unauthorised or the same are not recorded at all</v>
      </c>
      <c r="S89" t="str">
        <f t="shared" si="16"/>
        <v xml:space="preserve"> ARSKEXP3 - Risk of mistatement of finance expenses because the transactions recorded in the general ledger are fictitious or unauthorised or the same are not recorded at all</v>
      </c>
    </row>
    <row r="90" spans="2:20" x14ac:dyDescent="0.3">
      <c r="B90" s="639" t="s">
        <v>1665</v>
      </c>
      <c r="C90" s="639" t="s">
        <v>780</v>
      </c>
      <c r="D90" s="639" t="s">
        <v>1590</v>
      </c>
      <c r="E90" s="639" t="s">
        <v>1848</v>
      </c>
      <c r="F90" s="639"/>
      <c r="G90" s="639"/>
      <c r="H90" s="639"/>
      <c r="I90" s="639"/>
      <c r="J90" s="639"/>
      <c r="K90" s="639"/>
      <c r="L90" s="639"/>
      <c r="M90" s="639"/>
      <c r="N90" s="639"/>
      <c r="O90" s="639"/>
      <c r="Q90" t="str">
        <f t="shared" si="14"/>
        <v>ORSKEXP4 - Risk of mistatement of depreciation expenses because the transactions recorded in the general ledger are fictitious or unauthorised or the same are not recorded at all</v>
      </c>
      <c r="R90" t="str">
        <f t="shared" si="15"/>
        <v xml:space="preserve"> CRSKEXP4 - Risk of mistatement of depreciation expenses because the transactions recorded in the general ledger are fictitious or unauthorised or the same are not recorded at all</v>
      </c>
    </row>
    <row r="91" spans="2:20" x14ac:dyDescent="0.3">
      <c r="B91" s="639" t="s">
        <v>1665</v>
      </c>
      <c r="C91" s="639" t="s">
        <v>781</v>
      </c>
      <c r="D91" s="639" t="s">
        <v>1590</v>
      </c>
      <c r="E91" s="639" t="s">
        <v>1848</v>
      </c>
      <c r="F91" s="639"/>
      <c r="G91" s="639"/>
      <c r="H91" s="639"/>
      <c r="I91" s="639"/>
      <c r="J91" s="639"/>
      <c r="K91" s="639"/>
      <c r="L91" s="639"/>
      <c r="M91" s="639"/>
      <c r="N91" s="639"/>
      <c r="O91" s="639"/>
      <c r="Q91" t="str">
        <f t="shared" si="14"/>
        <v>ORSKEXP5 - Risk of mistatement of Bad debts expenses because the transactions recorded in the general ledger are fictitious or unauthorised or the same are not recorded at all</v>
      </c>
      <c r="R91" t="str">
        <f t="shared" si="15"/>
        <v xml:space="preserve"> CRSKEXP5 - Risk of mistatement of Bad debts expenses because the transactions recorded in the general ledger are fictitious or unauthorised or the same are not recorded at all</v>
      </c>
    </row>
    <row r="92" spans="2:20" x14ac:dyDescent="0.3">
      <c r="B92" s="640" t="s">
        <v>1665</v>
      </c>
      <c r="C92" s="640" t="s">
        <v>782</v>
      </c>
      <c r="D92" s="640" t="s">
        <v>1590</v>
      </c>
      <c r="E92" s="640" t="s">
        <v>1848</v>
      </c>
      <c r="F92" s="640" t="s">
        <v>1851</v>
      </c>
      <c r="G92" s="640" t="s">
        <v>1855</v>
      </c>
      <c r="H92" s="640"/>
      <c r="I92" s="640"/>
      <c r="J92" s="640"/>
      <c r="K92" s="640"/>
      <c r="L92" s="640"/>
      <c r="M92" s="640"/>
      <c r="N92" s="640"/>
      <c r="O92" s="640"/>
      <c r="Q92" t="str">
        <f t="shared" si="14"/>
        <v>ORSKEXP6 - Risk of mistatement of Administration, establishment expenses because the transactions recorded in the general ledger are fictitious or unauthorised or the same are not recorded at all</v>
      </c>
      <c r="R92" t="str">
        <f t="shared" si="15"/>
        <v xml:space="preserve"> CRSKEXP6 - Risk of mistatement of Administration, establishment expenses because the transactions recorded in the general ledger are fictitious or unauthorised or the same are not recorded at all</v>
      </c>
      <c r="S92" t="str">
        <f t="shared" si="16"/>
        <v xml:space="preserve"> ARSKEXP6 - Risk of mistatement of Administration, establishment expenses because the transactions recorded in the general ledger are fictitious or unauthorised or the same are not recorded at all</v>
      </c>
      <c r="T92" t="str">
        <f t="shared" si="17"/>
        <v xml:space="preserve"> CLRSKEXP6 - Risk of mistatement of Administration, establishment expenses because the transactions recorded in the general ledger are fictitious or unauthorised or the same are not recorded at all</v>
      </c>
    </row>
  </sheetData>
  <autoFilter ref="B2:U92" xr:uid="{15291860-85CC-4F3F-86BF-7C7C806DA9F1}">
    <filterColumn colId="2" showButton="0"/>
    <filterColumn colId="3" showButton="0"/>
    <filterColumn colId="4" showButton="0"/>
    <filterColumn colId="5" showButton="0"/>
    <filterColumn colId="8" showButton="0"/>
    <filterColumn colId="9" showButton="0"/>
    <filterColumn colId="10" showButton="0"/>
    <filterColumn colId="11" showButton="0"/>
    <filterColumn colId="12" showButton="0"/>
  </autoFilter>
  <mergeCells count="2">
    <mergeCell ref="D2:H2"/>
    <mergeCell ref="J2:O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ECF1A-8065-4F91-BA14-C40049377D5E}">
  <dimension ref="A2:H179"/>
  <sheetViews>
    <sheetView topLeftCell="A121" zoomScaleNormal="100" zoomScaleSheetLayoutView="100" workbookViewId="0">
      <selection activeCell="G127" sqref="G127"/>
    </sheetView>
  </sheetViews>
  <sheetFormatPr defaultColWidth="9.109375" defaultRowHeight="13.8" x14ac:dyDescent="0.25"/>
  <cols>
    <col min="1" max="1" width="1.33203125" style="307" customWidth="1"/>
    <col min="2" max="2" width="13.33203125" style="307" customWidth="1"/>
    <col min="3" max="3" width="49" style="307" customWidth="1"/>
    <col min="4" max="4" width="10.109375" style="307" customWidth="1"/>
    <col min="5" max="5" width="11.109375" style="307" customWidth="1"/>
    <col min="6" max="6" width="50.6640625" style="307" customWidth="1"/>
    <col min="7" max="7" width="49.44140625" style="307" bestFit="1" customWidth="1"/>
    <col min="8" max="8" width="37.33203125" style="307" customWidth="1"/>
    <col min="9" max="16384" width="9.109375" style="307"/>
  </cols>
  <sheetData>
    <row r="2" spans="2:8" ht="14.4" hidden="1" thickBot="1" x14ac:dyDescent="0.3">
      <c r="B2" s="353" t="s">
        <v>1454</v>
      </c>
      <c r="H2" s="267" t="s">
        <v>1455</v>
      </c>
    </row>
    <row r="3" spans="2:8" ht="51" hidden="1" customHeight="1" thickBot="1" x14ac:dyDescent="0.3">
      <c r="B3" s="524" t="s">
        <v>62</v>
      </c>
      <c r="C3" s="525" t="s">
        <v>28</v>
      </c>
      <c r="D3" s="525" t="s">
        <v>1456</v>
      </c>
      <c r="E3" s="525" t="s">
        <v>1457</v>
      </c>
      <c r="F3" s="525" t="s">
        <v>1458</v>
      </c>
      <c r="G3" s="526" t="s">
        <v>1459</v>
      </c>
      <c r="H3" s="267" t="s">
        <v>1460</v>
      </c>
    </row>
    <row r="4" spans="2:8" ht="124.2" hidden="1" x14ac:dyDescent="0.25">
      <c r="B4" s="527" t="s">
        <v>1461</v>
      </c>
      <c r="C4" s="528" t="s">
        <v>1462</v>
      </c>
      <c r="D4" s="529" t="s">
        <v>37</v>
      </c>
      <c r="E4" s="529" t="s">
        <v>37</v>
      </c>
      <c r="F4" s="528" t="s">
        <v>1463</v>
      </c>
      <c r="G4" s="530" t="s">
        <v>1464</v>
      </c>
      <c r="H4" s="267" t="s">
        <v>1465</v>
      </c>
    </row>
    <row r="5" spans="2:8" ht="55.2" hidden="1" x14ac:dyDescent="0.25">
      <c r="B5" s="531" t="s">
        <v>1461</v>
      </c>
      <c r="C5" s="532" t="s">
        <v>1466</v>
      </c>
      <c r="D5" s="532"/>
      <c r="E5" s="533"/>
      <c r="F5" s="532" t="s">
        <v>1467</v>
      </c>
      <c r="G5" s="534"/>
    </row>
    <row r="6" spans="2:8" ht="138" hidden="1" x14ac:dyDescent="0.25">
      <c r="B6" s="531" t="s">
        <v>1468</v>
      </c>
      <c r="C6" s="532" t="s">
        <v>1469</v>
      </c>
      <c r="D6" s="535" t="s">
        <v>37</v>
      </c>
      <c r="E6" s="536" t="s">
        <v>37</v>
      </c>
      <c r="F6" s="532" t="s">
        <v>1470</v>
      </c>
      <c r="G6" s="537" t="s">
        <v>1471</v>
      </c>
    </row>
    <row r="7" spans="2:8" ht="174.6" hidden="1" customHeight="1" x14ac:dyDescent="0.25">
      <c r="B7" s="531" t="s">
        <v>1468</v>
      </c>
      <c r="C7" s="532" t="s">
        <v>1472</v>
      </c>
      <c r="D7" s="535" t="s">
        <v>37</v>
      </c>
      <c r="E7" s="536" t="s">
        <v>37</v>
      </c>
      <c r="F7" s="532" t="s">
        <v>1473</v>
      </c>
      <c r="G7" s="537" t="s">
        <v>1474</v>
      </c>
    </row>
    <row r="8" spans="2:8" ht="52.8" hidden="1" x14ac:dyDescent="0.25">
      <c r="B8" s="531" t="s">
        <v>1468</v>
      </c>
      <c r="C8" s="532" t="s">
        <v>1475</v>
      </c>
      <c r="D8" s="535" t="s">
        <v>37</v>
      </c>
      <c r="E8" s="536" t="s">
        <v>35</v>
      </c>
      <c r="F8" s="532" t="s">
        <v>1476</v>
      </c>
      <c r="G8" s="537" t="s">
        <v>1477</v>
      </c>
    </row>
    <row r="9" spans="2:8" ht="180" hidden="1" thickBot="1" x14ac:dyDescent="0.3">
      <c r="B9" s="538" t="s">
        <v>1468</v>
      </c>
      <c r="C9" s="539" t="s">
        <v>1478</v>
      </c>
      <c r="D9" s="539" t="s">
        <v>37</v>
      </c>
      <c r="E9" s="540" t="s">
        <v>37</v>
      </c>
      <c r="F9" s="539" t="s">
        <v>1479</v>
      </c>
      <c r="G9" s="541" t="s">
        <v>1480</v>
      </c>
      <c r="H9" s="542"/>
    </row>
    <row r="10" spans="2:8" hidden="1" x14ac:dyDescent="0.25"/>
    <row r="11" spans="2:8" hidden="1" x14ac:dyDescent="0.25"/>
    <row r="12" spans="2:8" ht="14.4" thickBot="1" x14ac:dyDescent="0.3">
      <c r="B12" s="353" t="s">
        <v>1692</v>
      </c>
    </row>
    <row r="13" spans="2:8" ht="14.4" thickBot="1" x14ac:dyDescent="0.3">
      <c r="B13" s="353"/>
      <c r="F13" s="742" t="s">
        <v>1481</v>
      </c>
      <c r="G13" s="743"/>
    </row>
    <row r="14" spans="2:8" ht="27" thickBot="1" x14ac:dyDescent="0.3">
      <c r="B14" s="524" t="s">
        <v>23</v>
      </c>
      <c r="C14" s="525" t="s">
        <v>28</v>
      </c>
      <c r="D14" s="525" t="s">
        <v>1482</v>
      </c>
      <c r="E14" s="526" t="s">
        <v>1483</v>
      </c>
      <c r="F14" s="543" t="s">
        <v>1484</v>
      </c>
      <c r="G14" s="543" t="s">
        <v>1485</v>
      </c>
    </row>
    <row r="15" spans="2:8" x14ac:dyDescent="0.25">
      <c r="B15" s="735" t="s">
        <v>24</v>
      </c>
      <c r="C15" s="744" t="s">
        <v>722</v>
      </c>
      <c r="D15" s="745" t="s">
        <v>1486</v>
      </c>
      <c r="E15" s="745" t="s">
        <v>1487</v>
      </c>
      <c r="F15" s="677" t="s">
        <v>1488</v>
      </c>
      <c r="G15" s="678" t="s">
        <v>1489</v>
      </c>
    </row>
    <row r="16" spans="2:8" x14ac:dyDescent="0.25">
      <c r="B16" s="726"/>
      <c r="C16" s="729"/>
      <c r="D16" s="738"/>
      <c r="E16" s="738"/>
      <c r="F16" s="680" t="s">
        <v>1490</v>
      </c>
      <c r="G16" s="681" t="s">
        <v>1491</v>
      </c>
    </row>
    <row r="17" spans="2:7" x14ac:dyDescent="0.25">
      <c r="B17" s="726"/>
      <c r="C17" s="729"/>
      <c r="D17" s="738"/>
      <c r="E17" s="738"/>
      <c r="F17" s="682"/>
      <c r="G17" s="681" t="s">
        <v>1492</v>
      </c>
    </row>
    <row r="18" spans="2:7" x14ac:dyDescent="0.25">
      <c r="B18" s="726"/>
      <c r="C18" s="729"/>
      <c r="D18" s="738"/>
      <c r="E18" s="738"/>
      <c r="F18" s="682"/>
      <c r="G18" s="681" t="s">
        <v>1493</v>
      </c>
    </row>
    <row r="19" spans="2:7" x14ac:dyDescent="0.25">
      <c r="B19" s="726"/>
      <c r="C19" s="729"/>
      <c r="D19" s="738"/>
      <c r="E19" s="738"/>
      <c r="F19" s="682"/>
      <c r="G19" s="681" t="s">
        <v>1494</v>
      </c>
    </row>
    <row r="20" spans="2:7" x14ac:dyDescent="0.25">
      <c r="B20" s="725" t="s">
        <v>24</v>
      </c>
      <c r="C20" s="728" t="s">
        <v>723</v>
      </c>
      <c r="D20" s="737" t="s">
        <v>1495</v>
      </c>
      <c r="E20" s="737" t="s">
        <v>1487</v>
      </c>
      <c r="F20" s="684" t="s">
        <v>1386</v>
      </c>
      <c r="G20" s="685" t="s">
        <v>1496</v>
      </c>
    </row>
    <row r="21" spans="2:7" x14ac:dyDescent="0.25">
      <c r="B21" s="726"/>
      <c r="C21" s="729"/>
      <c r="D21" s="738"/>
      <c r="E21" s="738"/>
      <c r="F21" s="682"/>
      <c r="G21" s="681" t="s">
        <v>1492</v>
      </c>
    </row>
    <row r="22" spans="2:7" x14ac:dyDescent="0.25">
      <c r="B22" s="727"/>
      <c r="C22" s="730"/>
      <c r="D22" s="739"/>
      <c r="E22" s="739"/>
      <c r="F22" s="687"/>
      <c r="G22" s="688" t="s">
        <v>1497</v>
      </c>
    </row>
    <row r="23" spans="2:7" x14ac:dyDescent="0.25">
      <c r="B23" s="725" t="s">
        <v>24</v>
      </c>
      <c r="C23" s="728" t="s">
        <v>724</v>
      </c>
      <c r="D23" s="737" t="s">
        <v>1498</v>
      </c>
      <c r="E23" s="737" t="s">
        <v>1487</v>
      </c>
      <c r="F23" s="684" t="s">
        <v>1499</v>
      </c>
      <c r="G23" s="685" t="s">
        <v>1500</v>
      </c>
    </row>
    <row r="24" spans="2:7" x14ac:dyDescent="0.25">
      <c r="B24" s="726"/>
      <c r="C24" s="729"/>
      <c r="D24" s="738"/>
      <c r="E24" s="738"/>
      <c r="F24" s="682" t="s">
        <v>1501</v>
      </c>
      <c r="G24" s="681"/>
    </row>
    <row r="25" spans="2:7" x14ac:dyDescent="0.25">
      <c r="B25" s="727"/>
      <c r="C25" s="730"/>
      <c r="D25" s="739"/>
      <c r="E25" s="739"/>
      <c r="F25" s="687" t="s">
        <v>1502</v>
      </c>
      <c r="G25" s="688"/>
    </row>
    <row r="26" spans="2:7" x14ac:dyDescent="0.25">
      <c r="B26" s="725" t="s">
        <v>24</v>
      </c>
      <c r="C26" s="740" t="s">
        <v>1503</v>
      </c>
      <c r="D26" s="683" t="s">
        <v>1498</v>
      </c>
      <c r="E26" s="689" t="s">
        <v>1487</v>
      </c>
      <c r="F26" s="684" t="s">
        <v>1502</v>
      </c>
      <c r="G26" s="685" t="s">
        <v>1489</v>
      </c>
    </row>
    <row r="27" spans="2:7" x14ac:dyDescent="0.25">
      <c r="B27" s="726"/>
      <c r="C27" s="733"/>
      <c r="D27" s="679"/>
      <c r="E27" s="690"/>
      <c r="F27" s="682" t="s">
        <v>1803</v>
      </c>
      <c r="G27" s="681" t="s">
        <v>1500</v>
      </c>
    </row>
    <row r="28" spans="2:7" x14ac:dyDescent="0.25">
      <c r="B28" s="727"/>
      <c r="C28" s="741"/>
      <c r="D28" s="686"/>
      <c r="E28" s="691"/>
      <c r="F28" s="687"/>
      <c r="G28" s="692" t="s">
        <v>1504</v>
      </c>
    </row>
    <row r="29" spans="2:7" x14ac:dyDescent="0.25">
      <c r="B29" s="725" t="s">
        <v>24</v>
      </c>
      <c r="C29" s="728" t="s">
        <v>1505</v>
      </c>
      <c r="D29" s="683" t="s">
        <v>1506</v>
      </c>
      <c r="E29" s="689" t="s">
        <v>1487</v>
      </c>
      <c r="F29" s="684" t="s">
        <v>1803</v>
      </c>
      <c r="G29" s="685" t="s">
        <v>1496</v>
      </c>
    </row>
    <row r="30" spans="2:7" x14ac:dyDescent="0.25">
      <c r="B30" s="726"/>
      <c r="C30" s="729"/>
      <c r="D30" s="679"/>
      <c r="E30" s="690"/>
      <c r="F30" s="682"/>
      <c r="G30" s="681" t="s">
        <v>1492</v>
      </c>
    </row>
    <row r="31" spans="2:7" x14ac:dyDescent="0.25">
      <c r="B31" s="726"/>
      <c r="C31" s="729"/>
      <c r="D31" s="679"/>
      <c r="E31" s="690"/>
      <c r="F31" s="682"/>
      <c r="G31" s="681" t="s">
        <v>1507</v>
      </c>
    </row>
    <row r="32" spans="2:7" x14ac:dyDescent="0.25">
      <c r="B32" s="727"/>
      <c r="C32" s="730"/>
      <c r="D32" s="686"/>
      <c r="E32" s="691"/>
      <c r="F32" s="687"/>
      <c r="G32" s="688" t="s">
        <v>1497</v>
      </c>
    </row>
    <row r="33" spans="2:7" x14ac:dyDescent="0.25">
      <c r="B33" s="725" t="s">
        <v>24</v>
      </c>
      <c r="C33" s="740" t="s">
        <v>1508</v>
      </c>
      <c r="D33" s="683" t="s">
        <v>1498</v>
      </c>
      <c r="E33" s="689" t="s">
        <v>1487</v>
      </c>
      <c r="F33" s="684" t="s">
        <v>1502</v>
      </c>
      <c r="G33" s="685" t="s">
        <v>1496</v>
      </c>
    </row>
    <row r="34" spans="2:7" x14ac:dyDescent="0.25">
      <c r="B34" s="726"/>
      <c r="C34" s="733"/>
      <c r="D34" s="679"/>
      <c r="E34" s="690"/>
      <c r="F34" s="682"/>
      <c r="G34" s="681" t="s">
        <v>1492</v>
      </c>
    </row>
    <row r="35" spans="2:7" x14ac:dyDescent="0.25">
      <c r="B35" s="726"/>
      <c r="C35" s="733"/>
      <c r="D35" s="679"/>
      <c r="E35" s="690"/>
      <c r="F35" s="682"/>
      <c r="G35" s="681" t="s">
        <v>1497</v>
      </c>
    </row>
    <row r="36" spans="2:7" ht="30.6" customHeight="1" x14ac:dyDescent="0.25">
      <c r="B36" s="727"/>
      <c r="C36" s="741"/>
      <c r="D36" s="686"/>
      <c r="E36" s="691"/>
      <c r="F36" s="687"/>
      <c r="G36" s="688" t="s">
        <v>1509</v>
      </c>
    </row>
    <row r="37" spans="2:7" ht="29.25" customHeight="1" x14ac:dyDescent="0.25">
      <c r="B37" s="726" t="s">
        <v>24</v>
      </c>
      <c r="C37" s="733" t="s">
        <v>1510</v>
      </c>
      <c r="D37" s="679" t="s">
        <v>1511</v>
      </c>
      <c r="E37" s="690" t="s">
        <v>1487</v>
      </c>
      <c r="F37" s="682" t="s">
        <v>1386</v>
      </c>
      <c r="G37" s="681" t="s">
        <v>1512</v>
      </c>
    </row>
    <row r="38" spans="2:7" ht="29.25" customHeight="1" thickBot="1" x14ac:dyDescent="0.3">
      <c r="B38" s="731"/>
      <c r="C38" s="734"/>
      <c r="D38" s="679"/>
      <c r="E38" s="690"/>
      <c r="F38" s="693"/>
      <c r="G38" s="694" t="s">
        <v>1513</v>
      </c>
    </row>
    <row r="39" spans="2:7" x14ac:dyDescent="0.25">
      <c r="B39" s="735" t="s">
        <v>190</v>
      </c>
      <c r="C39" s="736" t="s">
        <v>1514</v>
      </c>
      <c r="D39" s="676" t="s">
        <v>1515</v>
      </c>
      <c r="E39" s="695" t="s">
        <v>1487</v>
      </c>
      <c r="F39" s="696" t="s">
        <v>1516</v>
      </c>
      <c r="G39" s="678" t="s">
        <v>1517</v>
      </c>
    </row>
    <row r="40" spans="2:7" ht="27.6" x14ac:dyDescent="0.25">
      <c r="B40" s="726"/>
      <c r="C40" s="733"/>
      <c r="D40" s="679"/>
      <c r="E40" s="690"/>
      <c r="F40" s="682"/>
      <c r="G40" s="681" t="s">
        <v>1518</v>
      </c>
    </row>
    <row r="41" spans="2:7" x14ac:dyDescent="0.25">
      <c r="B41" s="725" t="s">
        <v>190</v>
      </c>
      <c r="C41" s="728" t="s">
        <v>1519</v>
      </c>
      <c r="D41" s="683" t="s">
        <v>1515</v>
      </c>
      <c r="E41" s="689" t="s">
        <v>1487</v>
      </c>
      <c r="F41" s="684" t="s">
        <v>1516</v>
      </c>
      <c r="G41" s="685" t="s">
        <v>1517</v>
      </c>
    </row>
    <row r="42" spans="2:7" ht="27.6" x14ac:dyDescent="0.25">
      <c r="B42" s="727"/>
      <c r="C42" s="730"/>
      <c r="D42" s="686"/>
      <c r="E42" s="691"/>
      <c r="F42" s="687"/>
      <c r="G42" s="688" t="s">
        <v>1518</v>
      </c>
    </row>
    <row r="43" spans="2:7" x14ac:dyDescent="0.25">
      <c r="B43" s="725" t="s">
        <v>190</v>
      </c>
      <c r="C43" s="728" t="s">
        <v>1520</v>
      </c>
      <c r="D43" s="683" t="s">
        <v>1506</v>
      </c>
      <c r="E43" s="689" t="s">
        <v>1521</v>
      </c>
      <c r="F43" s="684" t="s">
        <v>1516</v>
      </c>
      <c r="G43" s="685" t="s">
        <v>1517</v>
      </c>
    </row>
    <row r="44" spans="2:7" ht="27.6" x14ac:dyDescent="0.25">
      <c r="B44" s="726"/>
      <c r="C44" s="729"/>
      <c r="D44" s="679"/>
      <c r="E44" s="690"/>
      <c r="F44" s="697" t="s">
        <v>1522</v>
      </c>
      <c r="G44" s="681" t="s">
        <v>1518</v>
      </c>
    </row>
    <row r="45" spans="2:7" x14ac:dyDescent="0.25">
      <c r="B45" s="727"/>
      <c r="C45" s="730"/>
      <c r="D45" s="686"/>
      <c r="E45" s="691"/>
      <c r="F45" s="687"/>
      <c r="G45" s="688" t="s">
        <v>1523</v>
      </c>
    </row>
    <row r="46" spans="2:7" x14ac:dyDescent="0.25">
      <c r="B46" s="725" t="s">
        <v>190</v>
      </c>
      <c r="C46" s="728" t="s">
        <v>1524</v>
      </c>
      <c r="D46" s="683" t="s">
        <v>1800</v>
      </c>
      <c r="E46" s="689" t="s">
        <v>1487</v>
      </c>
      <c r="F46" s="684" t="s">
        <v>1490</v>
      </c>
      <c r="G46" s="685" t="s">
        <v>1494</v>
      </c>
    </row>
    <row r="47" spans="2:7" x14ac:dyDescent="0.25">
      <c r="B47" s="726"/>
      <c r="C47" s="729"/>
      <c r="D47" s="679"/>
      <c r="E47" s="690"/>
      <c r="F47" s="682" t="s">
        <v>1526</v>
      </c>
      <c r="G47" s="681" t="s">
        <v>1527</v>
      </c>
    </row>
    <row r="48" spans="2:7" x14ac:dyDescent="0.25">
      <c r="B48" s="727"/>
      <c r="C48" s="730"/>
      <c r="D48" s="686"/>
      <c r="E48" s="691"/>
      <c r="F48" s="687" t="s">
        <v>1528</v>
      </c>
      <c r="G48" s="688"/>
    </row>
    <row r="49" spans="2:7" x14ac:dyDescent="0.25">
      <c r="B49" s="725" t="s">
        <v>190</v>
      </c>
      <c r="C49" s="728" t="s">
        <v>1529</v>
      </c>
      <c r="D49" s="683" t="s">
        <v>1495</v>
      </c>
      <c r="E49" s="689" t="s">
        <v>1487</v>
      </c>
      <c r="F49" s="684" t="s">
        <v>1490</v>
      </c>
      <c r="G49" s="685" t="s">
        <v>1494</v>
      </c>
    </row>
    <row r="50" spans="2:7" x14ac:dyDescent="0.25">
      <c r="B50" s="726"/>
      <c r="C50" s="729"/>
      <c r="D50" s="679"/>
      <c r="E50" s="690"/>
      <c r="F50" s="682" t="s">
        <v>1526</v>
      </c>
      <c r="G50" s="681" t="s">
        <v>1527</v>
      </c>
    </row>
    <row r="51" spans="2:7" x14ac:dyDescent="0.25">
      <c r="B51" s="727"/>
      <c r="C51" s="730"/>
      <c r="D51" s="686"/>
      <c r="E51" s="691"/>
      <c r="F51" s="687" t="s">
        <v>1528</v>
      </c>
      <c r="G51" s="688"/>
    </row>
    <row r="52" spans="2:7" ht="21" customHeight="1" x14ac:dyDescent="0.25">
      <c r="B52" s="726" t="s">
        <v>190</v>
      </c>
      <c r="C52" s="729" t="s">
        <v>740</v>
      </c>
      <c r="D52" s="679" t="s">
        <v>1486</v>
      </c>
      <c r="E52" s="690" t="s">
        <v>1487</v>
      </c>
      <c r="F52" s="682" t="s">
        <v>1490</v>
      </c>
      <c r="G52" s="681" t="s">
        <v>1494</v>
      </c>
    </row>
    <row r="53" spans="2:7" ht="21" customHeight="1" thickBot="1" x14ac:dyDescent="0.3">
      <c r="B53" s="731"/>
      <c r="C53" s="732"/>
      <c r="D53" s="698"/>
      <c r="E53" s="699"/>
      <c r="F53" s="693" t="s">
        <v>1526</v>
      </c>
      <c r="G53" s="694" t="s">
        <v>1527</v>
      </c>
    </row>
    <row r="54" spans="2:7" ht="27.6" x14ac:dyDescent="0.25">
      <c r="B54" s="724" t="s">
        <v>480</v>
      </c>
      <c r="C54" s="707" t="s">
        <v>742</v>
      </c>
      <c r="D54" s="607" t="s">
        <v>1530</v>
      </c>
      <c r="E54" s="603" t="s">
        <v>1487</v>
      </c>
      <c r="F54" s="608" t="s">
        <v>1531</v>
      </c>
      <c r="G54" s="583" t="s">
        <v>1791</v>
      </c>
    </row>
    <row r="55" spans="2:7" x14ac:dyDescent="0.25">
      <c r="B55" s="715"/>
      <c r="C55" s="704"/>
      <c r="D55" s="609"/>
      <c r="E55" s="597"/>
      <c r="F55" s="610"/>
      <c r="G55" s="585" t="s">
        <v>1792</v>
      </c>
    </row>
    <row r="56" spans="2:7" s="544" customFormat="1" x14ac:dyDescent="0.25">
      <c r="B56" s="714"/>
      <c r="C56" s="705"/>
      <c r="D56" s="611"/>
      <c r="E56" s="598"/>
      <c r="F56" s="612"/>
      <c r="G56" s="595" t="s">
        <v>1793</v>
      </c>
    </row>
    <row r="57" spans="2:7" x14ac:dyDescent="0.25">
      <c r="B57" s="715" t="s">
        <v>480</v>
      </c>
      <c r="C57" s="704" t="s">
        <v>743</v>
      </c>
      <c r="D57" s="584" t="s">
        <v>1808</v>
      </c>
      <c r="E57" s="597" t="s">
        <v>1487</v>
      </c>
      <c r="F57" s="610" t="s">
        <v>1531</v>
      </c>
      <c r="G57" s="585" t="s">
        <v>1791</v>
      </c>
    </row>
    <row r="58" spans="2:7" x14ac:dyDescent="0.25">
      <c r="B58" s="715"/>
      <c r="C58" s="704"/>
      <c r="D58" s="584"/>
      <c r="E58" s="597"/>
      <c r="F58" s="610"/>
      <c r="G58" s="585" t="s">
        <v>1792</v>
      </c>
    </row>
    <row r="59" spans="2:7" x14ac:dyDescent="0.25">
      <c r="B59" s="715"/>
      <c r="C59" s="705"/>
      <c r="D59" s="584"/>
      <c r="E59" s="597"/>
      <c r="F59" s="610"/>
      <c r="G59" s="585" t="s">
        <v>1793</v>
      </c>
    </row>
    <row r="60" spans="2:7" ht="55.2" x14ac:dyDescent="0.25">
      <c r="B60" s="613" t="s">
        <v>480</v>
      </c>
      <c r="C60" s="614" t="s">
        <v>744</v>
      </c>
      <c r="D60" s="615" t="s">
        <v>1532</v>
      </c>
      <c r="E60" s="616" t="s">
        <v>1487</v>
      </c>
      <c r="F60" s="617" t="s">
        <v>1386</v>
      </c>
      <c r="G60" s="618" t="s">
        <v>1794</v>
      </c>
    </row>
    <row r="61" spans="2:7" ht="69" x14ac:dyDescent="0.25">
      <c r="B61" s="613" t="s">
        <v>480</v>
      </c>
      <c r="C61" s="614" t="s">
        <v>745</v>
      </c>
      <c r="D61" s="615" t="s">
        <v>1532</v>
      </c>
      <c r="E61" s="616" t="s">
        <v>1487</v>
      </c>
      <c r="F61" s="617" t="s">
        <v>1386</v>
      </c>
      <c r="G61" s="618" t="s">
        <v>1794</v>
      </c>
    </row>
    <row r="62" spans="2:7" ht="69" x14ac:dyDescent="0.25">
      <c r="B62" s="587" t="s">
        <v>480</v>
      </c>
      <c r="C62" s="619" t="s">
        <v>1533</v>
      </c>
      <c r="D62" s="588" t="s">
        <v>1534</v>
      </c>
      <c r="E62" s="596" t="s">
        <v>1487</v>
      </c>
      <c r="F62" s="620" t="s">
        <v>1386</v>
      </c>
      <c r="G62" s="590" t="s">
        <v>1795</v>
      </c>
    </row>
    <row r="63" spans="2:7" ht="67.8" customHeight="1" x14ac:dyDescent="0.25">
      <c r="B63" s="613" t="s">
        <v>480</v>
      </c>
      <c r="C63" s="580" t="s">
        <v>1789</v>
      </c>
      <c r="D63" s="615" t="s">
        <v>1809</v>
      </c>
      <c r="E63" s="616" t="s">
        <v>1487</v>
      </c>
      <c r="F63" s="617" t="s">
        <v>1386</v>
      </c>
      <c r="G63" s="618" t="s">
        <v>1790</v>
      </c>
    </row>
    <row r="64" spans="2:7" ht="21.75" customHeight="1" x14ac:dyDescent="0.25">
      <c r="B64" s="715" t="s">
        <v>63</v>
      </c>
      <c r="C64" s="704" t="s">
        <v>747</v>
      </c>
      <c r="D64" s="584" t="s">
        <v>1804</v>
      </c>
      <c r="E64" s="597" t="s">
        <v>1487</v>
      </c>
      <c r="F64" s="610" t="s">
        <v>1535</v>
      </c>
      <c r="G64" s="585" t="s">
        <v>1536</v>
      </c>
    </row>
    <row r="65" spans="1:8" ht="21.75" customHeight="1" x14ac:dyDescent="0.25">
      <c r="B65" s="715"/>
      <c r="C65" s="704"/>
      <c r="D65" s="584"/>
      <c r="E65" s="597"/>
      <c r="F65" s="610"/>
      <c r="G65" s="585" t="s">
        <v>1537</v>
      </c>
    </row>
    <row r="66" spans="1:8" ht="23.25" customHeight="1" x14ac:dyDescent="0.25">
      <c r="B66" s="713" t="s">
        <v>63</v>
      </c>
      <c r="C66" s="703" t="s">
        <v>748</v>
      </c>
      <c r="D66" s="588" t="s">
        <v>1525</v>
      </c>
      <c r="E66" s="596" t="s">
        <v>1487</v>
      </c>
      <c r="F66" s="620" t="s">
        <v>1535</v>
      </c>
      <c r="G66" s="590" t="s">
        <v>1536</v>
      </c>
    </row>
    <row r="67" spans="1:8" ht="23.25" customHeight="1" x14ac:dyDescent="0.25">
      <c r="B67" s="714"/>
      <c r="C67" s="705"/>
      <c r="D67" s="593"/>
      <c r="E67" s="598"/>
      <c r="F67" s="612"/>
      <c r="G67" s="595" t="s">
        <v>1537</v>
      </c>
    </row>
    <row r="68" spans="1:8" ht="30" customHeight="1" x14ac:dyDescent="0.25">
      <c r="B68" s="713" t="s">
        <v>63</v>
      </c>
      <c r="C68" s="703" t="s">
        <v>1538</v>
      </c>
      <c r="D68" s="588" t="s">
        <v>1511</v>
      </c>
      <c r="E68" s="596" t="s">
        <v>1487</v>
      </c>
      <c r="F68" s="620" t="s">
        <v>1723</v>
      </c>
      <c r="G68" s="590" t="s">
        <v>1539</v>
      </c>
    </row>
    <row r="69" spans="1:8" ht="30" customHeight="1" x14ac:dyDescent="0.25">
      <c r="B69" s="714"/>
      <c r="C69" s="705"/>
      <c r="D69" s="593"/>
      <c r="E69" s="598"/>
      <c r="F69" s="612"/>
      <c r="G69" s="595" t="s">
        <v>1540</v>
      </c>
    </row>
    <row r="70" spans="1:8" ht="97.2" thickBot="1" x14ac:dyDescent="0.3">
      <c r="B70" s="600" t="s">
        <v>63</v>
      </c>
      <c r="C70" s="621" t="s">
        <v>1541</v>
      </c>
      <c r="D70" s="605" t="s">
        <v>1511</v>
      </c>
      <c r="E70" s="606" t="s">
        <v>1487</v>
      </c>
      <c r="F70" s="622" t="s">
        <v>1386</v>
      </c>
      <c r="G70" s="602" t="s">
        <v>1542</v>
      </c>
    </row>
    <row r="71" spans="1:8" ht="42" thickBot="1" x14ac:dyDescent="0.3">
      <c r="B71" s="600" t="s">
        <v>63</v>
      </c>
      <c r="C71" s="623" t="s">
        <v>1543</v>
      </c>
      <c r="D71" s="584" t="s">
        <v>1544</v>
      </c>
      <c r="E71" s="597" t="s">
        <v>1521</v>
      </c>
      <c r="F71" s="610" t="s">
        <v>1386</v>
      </c>
      <c r="G71" s="585" t="s">
        <v>1545</v>
      </c>
    </row>
    <row r="72" spans="1:8" ht="24.75" customHeight="1" x14ac:dyDescent="0.25">
      <c r="B72" s="724" t="s">
        <v>517</v>
      </c>
      <c r="C72" s="707" t="s">
        <v>1546</v>
      </c>
      <c r="D72" s="581" t="s">
        <v>1506</v>
      </c>
      <c r="E72" s="603" t="s">
        <v>1487</v>
      </c>
      <c r="F72" s="604" t="s">
        <v>1839</v>
      </c>
      <c r="G72" s="583" t="s">
        <v>1547</v>
      </c>
    </row>
    <row r="73" spans="1:8" ht="36.9" customHeight="1" x14ac:dyDescent="0.25">
      <c r="B73" s="715"/>
      <c r="C73" s="704"/>
      <c r="D73" s="584"/>
      <c r="E73" s="597"/>
      <c r="F73" s="586"/>
      <c r="G73" s="585" t="s">
        <v>1548</v>
      </c>
    </row>
    <row r="74" spans="1:8" x14ac:dyDescent="0.25">
      <c r="B74" s="713" t="s">
        <v>517</v>
      </c>
      <c r="C74" s="703" t="s">
        <v>1549</v>
      </c>
      <c r="D74" s="588" t="s">
        <v>1550</v>
      </c>
      <c r="E74" s="596" t="s">
        <v>1487</v>
      </c>
      <c r="F74" s="589" t="s">
        <v>1551</v>
      </c>
      <c r="G74" s="590" t="s">
        <v>1552</v>
      </c>
    </row>
    <row r="75" spans="1:8" x14ac:dyDescent="0.25">
      <c r="B75" s="715"/>
      <c r="C75" s="704"/>
      <c r="D75" s="584"/>
      <c r="E75" s="597"/>
      <c r="F75" s="586" t="s">
        <v>1553</v>
      </c>
      <c r="G75" s="585"/>
    </row>
    <row r="76" spans="1:8" x14ac:dyDescent="0.25">
      <c r="B76" s="714"/>
      <c r="C76" s="705"/>
      <c r="D76" s="593"/>
      <c r="E76" s="598"/>
      <c r="F76" s="594" t="s">
        <v>1554</v>
      </c>
      <c r="G76" s="595"/>
    </row>
    <row r="77" spans="1:8" x14ac:dyDescent="0.25">
      <c r="B77" s="713" t="s">
        <v>517</v>
      </c>
      <c r="C77" s="703" t="s">
        <v>1555</v>
      </c>
      <c r="D77" s="588" t="s">
        <v>1556</v>
      </c>
      <c r="E77" s="596" t="s">
        <v>1521</v>
      </c>
      <c r="F77" s="589" t="s">
        <v>1490</v>
      </c>
      <c r="G77" s="590" t="s">
        <v>1494</v>
      </c>
    </row>
    <row r="78" spans="1:8" x14ac:dyDescent="0.25">
      <c r="B78" s="715"/>
      <c r="C78" s="704"/>
      <c r="D78" s="584"/>
      <c r="E78" s="597"/>
      <c r="F78" s="586" t="s">
        <v>1526</v>
      </c>
      <c r="G78" s="585" t="s">
        <v>1527</v>
      </c>
      <c r="H78" s="307" t="s">
        <v>1712</v>
      </c>
    </row>
    <row r="79" spans="1:8" x14ac:dyDescent="0.25">
      <c r="B79" s="715"/>
      <c r="C79" s="704"/>
      <c r="D79" s="584"/>
      <c r="E79" s="597"/>
      <c r="F79" s="586"/>
      <c r="G79" s="585" t="s">
        <v>1557</v>
      </c>
    </row>
    <row r="80" spans="1:8" x14ac:dyDescent="0.25">
      <c r="A80" s="307" t="s">
        <v>1558</v>
      </c>
      <c r="B80" s="715"/>
      <c r="C80" s="704"/>
      <c r="D80" s="584"/>
      <c r="E80" s="597"/>
      <c r="F80" s="586"/>
      <c r="G80" s="624" t="s">
        <v>1559</v>
      </c>
    </row>
    <row r="81" spans="2:7" x14ac:dyDescent="0.25">
      <c r="B81" s="715"/>
      <c r="C81" s="704"/>
      <c r="D81" s="584"/>
      <c r="E81" s="597"/>
      <c r="F81" s="586"/>
      <c r="G81" s="624" t="s">
        <v>1560</v>
      </c>
    </row>
    <row r="82" spans="2:7" x14ac:dyDescent="0.25">
      <c r="B82" s="714"/>
      <c r="C82" s="705"/>
      <c r="D82" s="593"/>
      <c r="E82" s="598"/>
      <c r="F82" s="594"/>
      <c r="G82" s="599" t="s">
        <v>1561</v>
      </c>
    </row>
    <row r="83" spans="2:7" x14ac:dyDescent="0.25">
      <c r="B83" s="713" t="s">
        <v>517</v>
      </c>
      <c r="C83" s="703" t="s">
        <v>1562</v>
      </c>
      <c r="D83" s="588" t="s">
        <v>1563</v>
      </c>
      <c r="E83" s="596" t="s">
        <v>1487</v>
      </c>
      <c r="F83" s="589" t="s">
        <v>1386</v>
      </c>
      <c r="G83" s="590" t="s">
        <v>1557</v>
      </c>
    </row>
    <row r="84" spans="2:7" x14ac:dyDescent="0.25">
      <c r="B84" s="715"/>
      <c r="C84" s="704"/>
      <c r="D84" s="584"/>
      <c r="E84" s="597"/>
      <c r="F84" s="586"/>
      <c r="G84" s="585" t="s">
        <v>1564</v>
      </c>
    </row>
    <row r="85" spans="2:7" x14ac:dyDescent="0.25">
      <c r="B85" s="714"/>
      <c r="C85" s="705"/>
      <c r="D85" s="593"/>
      <c r="E85" s="598"/>
      <c r="F85" s="594"/>
      <c r="G85" s="595" t="s">
        <v>1565</v>
      </c>
    </row>
    <row r="86" spans="2:7" ht="41.4" x14ac:dyDescent="0.25">
      <c r="B86" s="613" t="s">
        <v>517</v>
      </c>
      <c r="C86" s="614" t="s">
        <v>1566</v>
      </c>
      <c r="D86" s="615" t="s">
        <v>1515</v>
      </c>
      <c r="E86" s="616" t="s">
        <v>1487</v>
      </c>
      <c r="F86" s="625" t="s">
        <v>1567</v>
      </c>
      <c r="G86" s="618" t="s">
        <v>1568</v>
      </c>
    </row>
    <row r="87" spans="2:7" ht="41.4" x14ac:dyDescent="0.25">
      <c r="B87" s="613" t="s">
        <v>517</v>
      </c>
      <c r="C87" s="614" t="s">
        <v>1569</v>
      </c>
      <c r="D87" s="615" t="s">
        <v>1570</v>
      </c>
      <c r="E87" s="616" t="s">
        <v>1487</v>
      </c>
      <c r="F87" s="625" t="s">
        <v>1386</v>
      </c>
      <c r="G87" s="618" t="s">
        <v>1571</v>
      </c>
    </row>
    <row r="88" spans="2:7" ht="41.4" x14ac:dyDescent="0.25">
      <c r="B88" s="587" t="s">
        <v>1398</v>
      </c>
      <c r="C88" s="619" t="s">
        <v>1572</v>
      </c>
      <c r="D88" s="588" t="s">
        <v>1495</v>
      </c>
      <c r="E88" s="596" t="s">
        <v>1487</v>
      </c>
      <c r="F88" s="589" t="s">
        <v>1386</v>
      </c>
      <c r="G88" s="590" t="s">
        <v>1573</v>
      </c>
    </row>
    <row r="89" spans="2:7" x14ac:dyDescent="0.25">
      <c r="B89" s="591"/>
      <c r="C89" s="626"/>
      <c r="D89" s="593"/>
      <c r="E89" s="598"/>
      <c r="F89" s="594"/>
      <c r="G89" s="595" t="s">
        <v>1574</v>
      </c>
    </row>
    <row r="90" spans="2:7" ht="55.2" x14ac:dyDescent="0.25">
      <c r="B90" s="613" t="s">
        <v>1398</v>
      </c>
      <c r="C90" s="614" t="s">
        <v>1575</v>
      </c>
      <c r="D90" s="615" t="s">
        <v>1498</v>
      </c>
      <c r="E90" s="616" t="s">
        <v>1487</v>
      </c>
      <c r="F90" s="625" t="s">
        <v>1386</v>
      </c>
      <c r="G90" s="618" t="s">
        <v>1576</v>
      </c>
    </row>
    <row r="91" spans="2:7" ht="41.4" x14ac:dyDescent="0.25">
      <c r="B91" s="587" t="s">
        <v>1398</v>
      </c>
      <c r="C91" s="619" t="s">
        <v>1577</v>
      </c>
      <c r="D91" s="588" t="s">
        <v>1813</v>
      </c>
      <c r="E91" s="596" t="s">
        <v>1487</v>
      </c>
      <c r="F91" s="589" t="s">
        <v>1386</v>
      </c>
      <c r="G91" s="590" t="s">
        <v>1578</v>
      </c>
    </row>
    <row r="92" spans="2:7" ht="28.2" thickBot="1" x14ac:dyDescent="0.3">
      <c r="B92" s="591"/>
      <c r="C92" s="626"/>
      <c r="D92" s="593"/>
      <c r="E92" s="598"/>
      <c r="F92" s="594"/>
      <c r="G92" s="595" t="s">
        <v>1579</v>
      </c>
    </row>
    <row r="93" spans="2:7" ht="41.4" hidden="1" x14ac:dyDescent="0.25">
      <c r="B93" s="545" t="s">
        <v>291</v>
      </c>
      <c r="C93" s="546" t="s">
        <v>750</v>
      </c>
      <c r="D93" s="547" t="s">
        <v>1515</v>
      </c>
      <c r="E93" s="548" t="s">
        <v>1487</v>
      </c>
      <c r="F93" s="549" t="s">
        <v>1386</v>
      </c>
      <c r="G93" s="550" t="s">
        <v>1580</v>
      </c>
    </row>
    <row r="94" spans="2:7" hidden="1" x14ac:dyDescent="0.25">
      <c r="B94" s="716" t="s">
        <v>291</v>
      </c>
      <c r="C94" s="718" t="s">
        <v>751</v>
      </c>
      <c r="D94" s="551" t="s">
        <v>1515</v>
      </c>
      <c r="E94" s="552" t="s">
        <v>1487</v>
      </c>
      <c r="F94" s="553" t="s">
        <v>1386</v>
      </c>
      <c r="G94" s="554" t="s">
        <v>1581</v>
      </c>
    </row>
    <row r="95" spans="2:7" ht="27.6" hidden="1" x14ac:dyDescent="0.25">
      <c r="B95" s="717"/>
      <c r="C95" s="719"/>
      <c r="D95" s="555"/>
      <c r="E95" s="556"/>
      <c r="F95" s="557"/>
      <c r="G95" s="558" t="s">
        <v>1582</v>
      </c>
    </row>
    <row r="96" spans="2:7" hidden="1" x14ac:dyDescent="0.25">
      <c r="B96" s="720" t="s">
        <v>291</v>
      </c>
      <c r="C96" s="722" t="s">
        <v>752</v>
      </c>
      <c r="D96" s="547" t="s">
        <v>1511</v>
      </c>
      <c r="E96" s="548" t="s">
        <v>1487</v>
      </c>
      <c r="F96" s="549" t="s">
        <v>1386</v>
      </c>
      <c r="G96" s="550" t="s">
        <v>1581</v>
      </c>
    </row>
    <row r="97" spans="2:7" ht="28.2" hidden="1" thickBot="1" x14ac:dyDescent="0.3">
      <c r="B97" s="721"/>
      <c r="C97" s="723"/>
      <c r="D97" s="559"/>
      <c r="E97" s="560"/>
      <c r="F97" s="561"/>
      <c r="G97" s="562" t="s">
        <v>1582</v>
      </c>
    </row>
    <row r="98" spans="2:7" ht="28.5" customHeight="1" x14ac:dyDescent="0.25">
      <c r="B98" s="724" t="s">
        <v>527</v>
      </c>
      <c r="C98" s="707" t="s">
        <v>1583</v>
      </c>
      <c r="D98" s="581" t="s">
        <v>1584</v>
      </c>
      <c r="E98" s="603" t="s">
        <v>1487</v>
      </c>
      <c r="F98" s="604" t="s">
        <v>1585</v>
      </c>
      <c r="G98" s="627" t="s">
        <v>1586</v>
      </c>
    </row>
    <row r="99" spans="2:7" ht="28.5" customHeight="1" x14ac:dyDescent="0.25">
      <c r="B99" s="715"/>
      <c r="C99" s="704"/>
      <c r="D99" s="584"/>
      <c r="E99" s="597"/>
      <c r="F99" s="586" t="s">
        <v>1490</v>
      </c>
      <c r="G99" s="585" t="s">
        <v>1587</v>
      </c>
    </row>
    <row r="100" spans="2:7" ht="27.6" customHeight="1" x14ac:dyDescent="0.25">
      <c r="B100" s="713" t="s">
        <v>527</v>
      </c>
      <c r="C100" s="703" t="s">
        <v>1589</v>
      </c>
      <c r="D100" s="588" t="s">
        <v>1590</v>
      </c>
      <c r="E100" s="596" t="s">
        <v>1487</v>
      </c>
      <c r="F100" s="589" t="s">
        <v>1585</v>
      </c>
      <c r="G100" s="590" t="s">
        <v>1591</v>
      </c>
    </row>
    <row r="101" spans="2:7" x14ac:dyDescent="0.25">
      <c r="B101" s="714"/>
      <c r="C101" s="705"/>
      <c r="D101" s="593"/>
      <c r="E101" s="598"/>
      <c r="F101" s="594"/>
      <c r="G101" s="595" t="s">
        <v>1592</v>
      </c>
    </row>
    <row r="102" spans="2:7" ht="42.75" customHeight="1" x14ac:dyDescent="0.25">
      <c r="B102" s="713" t="s">
        <v>527</v>
      </c>
      <c r="C102" s="703" t="s">
        <v>1593</v>
      </c>
      <c r="D102" s="588" t="s">
        <v>1594</v>
      </c>
      <c r="E102" s="596" t="s">
        <v>1487</v>
      </c>
      <c r="F102" s="589" t="s">
        <v>1386</v>
      </c>
      <c r="G102" s="590" t="s">
        <v>1595</v>
      </c>
    </row>
    <row r="103" spans="2:7" x14ac:dyDescent="0.25">
      <c r="B103" s="715"/>
      <c r="C103" s="704"/>
      <c r="D103" s="584"/>
      <c r="E103" s="597"/>
      <c r="F103" s="586"/>
      <c r="G103" s="585" t="s">
        <v>1596</v>
      </c>
    </row>
    <row r="104" spans="2:7" ht="27.6" x14ac:dyDescent="0.25">
      <c r="B104" s="715"/>
      <c r="C104" s="704"/>
      <c r="D104" s="584"/>
      <c r="E104" s="597"/>
      <c r="F104" s="586"/>
      <c r="G104" s="585" t="s">
        <v>1597</v>
      </c>
    </row>
    <row r="105" spans="2:7" x14ac:dyDescent="0.25">
      <c r="B105" s="714"/>
      <c r="C105" s="705"/>
      <c r="D105" s="593"/>
      <c r="E105" s="598"/>
      <c r="F105" s="594"/>
      <c r="G105" s="595" t="s">
        <v>1598</v>
      </c>
    </row>
    <row r="106" spans="2:7" ht="42.75" customHeight="1" x14ac:dyDescent="0.25">
      <c r="B106" s="713" t="s">
        <v>527</v>
      </c>
      <c r="C106" s="703" t="s">
        <v>1599</v>
      </c>
      <c r="D106" s="588" t="s">
        <v>1600</v>
      </c>
      <c r="E106" s="596" t="s">
        <v>1487</v>
      </c>
      <c r="F106" s="589" t="s">
        <v>1386</v>
      </c>
      <c r="G106" s="590" t="s">
        <v>1601</v>
      </c>
    </row>
    <row r="107" spans="2:7" x14ac:dyDescent="0.25">
      <c r="B107" s="714"/>
      <c r="C107" s="705"/>
      <c r="D107" s="593"/>
      <c r="E107" s="598"/>
      <c r="F107" s="594"/>
      <c r="G107" s="595" t="s">
        <v>1602</v>
      </c>
    </row>
    <row r="108" spans="2:7" ht="57" customHeight="1" x14ac:dyDescent="0.25">
      <c r="B108" s="713" t="s">
        <v>527</v>
      </c>
      <c r="C108" s="703" t="s">
        <v>1603</v>
      </c>
      <c r="D108" s="588" t="s">
        <v>1600</v>
      </c>
      <c r="E108" s="596" t="s">
        <v>1487</v>
      </c>
      <c r="F108" s="589" t="s">
        <v>1588</v>
      </c>
      <c r="G108" s="590" t="s">
        <v>1586</v>
      </c>
    </row>
    <row r="109" spans="2:7" ht="15" customHeight="1" x14ac:dyDescent="0.25">
      <c r="B109" s="715"/>
      <c r="C109" s="704"/>
      <c r="D109" s="584"/>
      <c r="E109" s="597"/>
      <c r="F109" s="586"/>
      <c r="G109" s="585" t="s">
        <v>1587</v>
      </c>
    </row>
    <row r="110" spans="2:7" x14ac:dyDescent="0.25">
      <c r="B110" s="715"/>
      <c r="C110" s="704"/>
      <c r="D110" s="584"/>
      <c r="E110" s="597"/>
      <c r="F110" s="586"/>
      <c r="G110" s="585" t="s">
        <v>1604</v>
      </c>
    </row>
    <row r="111" spans="2:7" x14ac:dyDescent="0.25">
      <c r="B111" s="591"/>
      <c r="C111" s="592"/>
      <c r="D111" s="593"/>
      <c r="E111" s="598"/>
      <c r="F111" s="594"/>
      <c r="G111" s="595" t="s">
        <v>1768</v>
      </c>
    </row>
    <row r="112" spans="2:7" ht="57" customHeight="1" x14ac:dyDescent="0.25">
      <c r="B112" s="713" t="s">
        <v>527</v>
      </c>
      <c r="C112" s="703" t="s">
        <v>1605</v>
      </c>
      <c r="D112" s="588" t="s">
        <v>1606</v>
      </c>
      <c r="E112" s="596" t="s">
        <v>1487</v>
      </c>
      <c r="F112" s="589" t="s">
        <v>1386</v>
      </c>
      <c r="G112" s="590" t="s">
        <v>1607</v>
      </c>
    </row>
    <row r="113" spans="2:7" ht="28.2" thickBot="1" x14ac:dyDescent="0.3">
      <c r="B113" s="714"/>
      <c r="C113" s="705"/>
      <c r="D113" s="593"/>
      <c r="E113" s="598"/>
      <c r="F113" s="594"/>
      <c r="G113" s="595" t="s">
        <v>1608</v>
      </c>
    </row>
    <row r="114" spans="2:7" x14ac:dyDescent="0.25">
      <c r="B114" s="706" t="s">
        <v>590</v>
      </c>
      <c r="C114" s="707" t="s">
        <v>759</v>
      </c>
      <c r="D114" s="581" t="s">
        <v>1584</v>
      </c>
      <c r="E114" s="603" t="s">
        <v>1521</v>
      </c>
      <c r="F114" s="604" t="s">
        <v>1609</v>
      </c>
      <c r="G114" s="583" t="s">
        <v>1610</v>
      </c>
    </row>
    <row r="115" spans="2:7" x14ac:dyDescent="0.25">
      <c r="B115" s="701"/>
      <c r="C115" s="704"/>
      <c r="D115" s="584"/>
      <c r="E115" s="597"/>
      <c r="F115" s="586"/>
      <c r="G115" s="585" t="s">
        <v>1611</v>
      </c>
    </row>
    <row r="116" spans="2:7" ht="27.6" x14ac:dyDescent="0.25">
      <c r="B116" s="701"/>
      <c r="C116" s="704"/>
      <c r="D116" s="584"/>
      <c r="E116" s="597"/>
      <c r="F116" s="586"/>
      <c r="G116" s="585" t="s">
        <v>1612</v>
      </c>
    </row>
    <row r="117" spans="2:7" x14ac:dyDescent="0.25">
      <c r="B117" s="701"/>
      <c r="C117" s="704"/>
      <c r="D117" s="584"/>
      <c r="E117" s="597"/>
      <c r="F117" s="586"/>
      <c r="G117" s="585" t="s">
        <v>1613</v>
      </c>
    </row>
    <row r="118" spans="2:7" x14ac:dyDescent="0.25">
      <c r="B118" s="700" t="s">
        <v>590</v>
      </c>
      <c r="C118" s="703" t="s">
        <v>760</v>
      </c>
      <c r="D118" s="588" t="s">
        <v>1614</v>
      </c>
      <c r="E118" s="596" t="s">
        <v>1487</v>
      </c>
      <c r="F118" s="589" t="s">
        <v>1609</v>
      </c>
      <c r="G118" s="590" t="s">
        <v>1611</v>
      </c>
    </row>
    <row r="119" spans="2:7" ht="27.6" x14ac:dyDescent="0.25">
      <c r="B119" s="701"/>
      <c r="C119" s="704"/>
      <c r="D119" s="584"/>
      <c r="E119" s="597"/>
      <c r="F119" s="586"/>
      <c r="G119" s="585" t="s">
        <v>1612</v>
      </c>
    </row>
    <row r="120" spans="2:7" x14ac:dyDescent="0.25">
      <c r="B120" s="702"/>
      <c r="C120" s="705"/>
      <c r="D120" s="593"/>
      <c r="E120" s="598"/>
      <c r="F120" s="594"/>
      <c r="G120" s="595" t="s">
        <v>1615</v>
      </c>
    </row>
    <row r="121" spans="2:7" ht="13.95" customHeight="1" x14ac:dyDescent="0.25">
      <c r="B121" s="754" t="s">
        <v>590</v>
      </c>
      <c r="C121" s="703" t="s">
        <v>1772</v>
      </c>
      <c r="D121" s="588" t="s">
        <v>1668</v>
      </c>
      <c r="E121" s="596" t="s">
        <v>1487</v>
      </c>
      <c r="F121" s="589" t="s">
        <v>1488</v>
      </c>
      <c r="G121" s="590" t="s">
        <v>1611</v>
      </c>
    </row>
    <row r="122" spans="2:7" ht="27.6" x14ac:dyDescent="0.25">
      <c r="B122" s="755"/>
      <c r="C122" s="704"/>
      <c r="D122" s="584"/>
      <c r="E122" s="597"/>
      <c r="F122" s="586" t="s">
        <v>1490</v>
      </c>
      <c r="G122" s="585" t="s">
        <v>1612</v>
      </c>
    </row>
    <row r="123" spans="2:7" x14ac:dyDescent="0.25">
      <c r="B123" s="755"/>
      <c r="C123" s="704"/>
      <c r="D123" s="584"/>
      <c r="E123" s="597"/>
      <c r="F123" s="586"/>
      <c r="G123" s="585" t="s">
        <v>1494</v>
      </c>
    </row>
    <row r="124" spans="2:7" x14ac:dyDescent="0.25">
      <c r="B124" s="756"/>
      <c r="C124" s="705"/>
      <c r="D124" s="593"/>
      <c r="E124" s="598"/>
      <c r="F124" s="594"/>
      <c r="G124" s="595" t="s">
        <v>1773</v>
      </c>
    </row>
    <row r="125" spans="2:7" ht="55.2" x14ac:dyDescent="0.25">
      <c r="B125" s="630" t="s">
        <v>590</v>
      </c>
      <c r="C125" s="614" t="s">
        <v>1617</v>
      </c>
      <c r="D125" s="615" t="s">
        <v>1618</v>
      </c>
      <c r="E125" s="616" t="s">
        <v>1487</v>
      </c>
      <c r="F125" s="625" t="s">
        <v>1386</v>
      </c>
      <c r="G125" s="618" t="s">
        <v>1619</v>
      </c>
    </row>
    <row r="126" spans="2:7" ht="37.5" customHeight="1" x14ac:dyDescent="0.25">
      <c r="B126" s="701" t="s">
        <v>590</v>
      </c>
      <c r="C126" s="704" t="s">
        <v>1620</v>
      </c>
      <c r="D126" s="584" t="s">
        <v>1618</v>
      </c>
      <c r="E126" s="597" t="s">
        <v>1487</v>
      </c>
      <c r="F126" s="586" t="s">
        <v>1386</v>
      </c>
      <c r="G126" s="585" t="s">
        <v>2212</v>
      </c>
    </row>
    <row r="127" spans="2:7" ht="37.5" customHeight="1" x14ac:dyDescent="0.25">
      <c r="B127" s="701"/>
      <c r="C127" s="704"/>
      <c r="D127" s="584"/>
      <c r="E127" s="597"/>
      <c r="F127" s="586"/>
      <c r="G127" s="585" t="s">
        <v>1621</v>
      </c>
    </row>
    <row r="128" spans="2:7" ht="43.2" customHeight="1" x14ac:dyDescent="0.25">
      <c r="B128" s="630" t="s">
        <v>590</v>
      </c>
      <c r="C128" s="580" t="s">
        <v>1622</v>
      </c>
      <c r="D128" s="615" t="s">
        <v>1807</v>
      </c>
      <c r="E128" s="616" t="s">
        <v>1487</v>
      </c>
      <c r="F128" s="625" t="s">
        <v>1623</v>
      </c>
      <c r="G128" s="618" t="s">
        <v>1624</v>
      </c>
    </row>
    <row r="129" spans="2:7" ht="17.399999999999999" customHeight="1" x14ac:dyDescent="0.25">
      <c r="B129" s="700" t="s">
        <v>1745</v>
      </c>
      <c r="C129" s="703" t="s">
        <v>1746</v>
      </c>
      <c r="D129" s="746" t="s">
        <v>1747</v>
      </c>
      <c r="E129" s="748" t="s">
        <v>1487</v>
      </c>
      <c r="F129" s="750" t="s">
        <v>1386</v>
      </c>
      <c r="G129" s="585" t="s">
        <v>1748</v>
      </c>
    </row>
    <row r="130" spans="2:7" ht="17.399999999999999" customHeight="1" x14ac:dyDescent="0.25">
      <c r="B130" s="701"/>
      <c r="C130" s="704"/>
      <c r="D130" s="712"/>
      <c r="E130" s="752"/>
      <c r="F130" s="753"/>
      <c r="G130" s="585" t="s">
        <v>1749</v>
      </c>
    </row>
    <row r="131" spans="2:7" ht="17.399999999999999" customHeight="1" x14ac:dyDescent="0.25">
      <c r="B131" s="701"/>
      <c r="C131" s="704"/>
      <c r="D131" s="712"/>
      <c r="E131" s="752"/>
      <c r="F131" s="753"/>
      <c r="G131" s="585" t="s">
        <v>1750</v>
      </c>
    </row>
    <row r="132" spans="2:7" ht="17.399999999999999" customHeight="1" x14ac:dyDescent="0.25">
      <c r="B132" s="701"/>
      <c r="C132" s="704"/>
      <c r="D132" s="712"/>
      <c r="E132" s="752"/>
      <c r="F132" s="753"/>
      <c r="G132" s="585" t="s">
        <v>1751</v>
      </c>
    </row>
    <row r="133" spans="2:7" ht="21" customHeight="1" x14ac:dyDescent="0.25">
      <c r="B133" s="700" t="s">
        <v>1745</v>
      </c>
      <c r="C133" s="703" t="s">
        <v>1762</v>
      </c>
      <c r="D133" s="746" t="s">
        <v>1747</v>
      </c>
      <c r="E133" s="748" t="s">
        <v>1487</v>
      </c>
      <c r="F133" s="750" t="s">
        <v>1386</v>
      </c>
      <c r="G133" s="590" t="s">
        <v>1764</v>
      </c>
    </row>
    <row r="134" spans="2:7" ht="21" customHeight="1" x14ac:dyDescent="0.25">
      <c r="B134" s="702"/>
      <c r="C134" s="705"/>
      <c r="D134" s="747"/>
      <c r="E134" s="749"/>
      <c r="F134" s="751"/>
      <c r="G134" s="595" t="s">
        <v>1763</v>
      </c>
    </row>
    <row r="135" spans="2:7" ht="42.75" customHeight="1" x14ac:dyDescent="0.25">
      <c r="B135" s="701" t="s">
        <v>1012</v>
      </c>
      <c r="C135" s="704" t="s">
        <v>1014</v>
      </c>
      <c r="D135" s="712" t="s">
        <v>1625</v>
      </c>
      <c r="E135" s="597" t="s">
        <v>1487</v>
      </c>
      <c r="F135" s="586" t="s">
        <v>1845</v>
      </c>
      <c r="G135" s="585" t="s">
        <v>1626</v>
      </c>
    </row>
    <row r="136" spans="2:7" ht="27.6" x14ac:dyDescent="0.25">
      <c r="B136" s="701"/>
      <c r="C136" s="704"/>
      <c r="D136" s="712"/>
      <c r="E136" s="597"/>
      <c r="F136" s="586"/>
      <c r="G136" s="585" t="s">
        <v>1627</v>
      </c>
    </row>
    <row r="137" spans="2:7" x14ac:dyDescent="0.25">
      <c r="B137" s="701"/>
      <c r="C137" s="704"/>
      <c r="D137" s="584"/>
      <c r="E137" s="597"/>
      <c r="F137" s="586"/>
      <c r="G137" s="585" t="s">
        <v>1628</v>
      </c>
    </row>
    <row r="138" spans="2:7" ht="13.8" customHeight="1" x14ac:dyDescent="0.25">
      <c r="B138" s="700" t="s">
        <v>1012</v>
      </c>
      <c r="C138" s="703" t="s">
        <v>1013</v>
      </c>
      <c r="D138" s="588" t="s">
        <v>1614</v>
      </c>
      <c r="E138" s="596" t="s">
        <v>1487</v>
      </c>
      <c r="F138" s="620" t="s">
        <v>1386</v>
      </c>
      <c r="G138" s="590" t="s">
        <v>1626</v>
      </c>
    </row>
    <row r="139" spans="2:7" ht="27.6" x14ac:dyDescent="0.25">
      <c r="B139" s="702"/>
      <c r="C139" s="705"/>
      <c r="D139" s="593"/>
      <c r="E139" s="598"/>
      <c r="F139" s="612"/>
      <c r="G139" s="595" t="s">
        <v>1627</v>
      </c>
    </row>
    <row r="140" spans="2:7" ht="41.4" x14ac:dyDescent="0.25">
      <c r="B140" s="630" t="s">
        <v>1012</v>
      </c>
      <c r="C140" s="614" t="s">
        <v>1015</v>
      </c>
      <c r="D140" s="615" t="s">
        <v>1629</v>
      </c>
      <c r="E140" s="616" t="s">
        <v>1487</v>
      </c>
      <c r="F140" s="617" t="s">
        <v>1386</v>
      </c>
      <c r="G140" s="618" t="s">
        <v>1630</v>
      </c>
    </row>
    <row r="141" spans="2:7" ht="42" thickBot="1" x14ac:dyDescent="0.3">
      <c r="B141" s="631" t="s">
        <v>1012</v>
      </c>
      <c r="C141" s="621" t="s">
        <v>1016</v>
      </c>
      <c r="D141" s="605" t="s">
        <v>1616</v>
      </c>
      <c r="E141" s="606" t="s">
        <v>1487</v>
      </c>
      <c r="F141" s="622" t="s">
        <v>1386</v>
      </c>
      <c r="G141" s="602" t="s">
        <v>1631</v>
      </c>
    </row>
    <row r="142" spans="2:7" ht="27.6" x14ac:dyDescent="0.25">
      <c r="B142" s="706" t="s">
        <v>596</v>
      </c>
      <c r="C142" s="707" t="s">
        <v>1632</v>
      </c>
      <c r="D142" s="607" t="s">
        <v>1633</v>
      </c>
      <c r="E142" s="603" t="s">
        <v>1487</v>
      </c>
      <c r="F142" s="604" t="s">
        <v>1846</v>
      </c>
      <c r="G142" s="583" t="s">
        <v>1634</v>
      </c>
    </row>
    <row r="143" spans="2:7" ht="27.6" x14ac:dyDescent="0.25">
      <c r="B143" s="701"/>
      <c r="C143" s="704"/>
      <c r="D143" s="584"/>
      <c r="E143" s="597"/>
      <c r="F143" s="586"/>
      <c r="G143" s="585" t="s">
        <v>1635</v>
      </c>
    </row>
    <row r="144" spans="2:7" ht="27.6" x14ac:dyDescent="0.25">
      <c r="B144" s="701"/>
      <c r="C144" s="704"/>
      <c r="D144" s="584"/>
      <c r="E144" s="597"/>
      <c r="F144" s="586"/>
      <c r="G144" s="585" t="s">
        <v>1636</v>
      </c>
    </row>
    <row r="145" spans="2:7" ht="27.6" x14ac:dyDescent="0.25">
      <c r="B145" s="700" t="s">
        <v>596</v>
      </c>
      <c r="C145" s="703" t="s">
        <v>766</v>
      </c>
      <c r="D145" s="588" t="s">
        <v>1525</v>
      </c>
      <c r="E145" s="596" t="s">
        <v>1487</v>
      </c>
      <c r="F145" s="589" t="s">
        <v>1386</v>
      </c>
      <c r="G145" s="590" t="s">
        <v>1635</v>
      </c>
    </row>
    <row r="146" spans="2:7" ht="27.6" x14ac:dyDescent="0.25">
      <c r="B146" s="701"/>
      <c r="C146" s="704"/>
      <c r="D146" s="584"/>
      <c r="E146" s="597"/>
      <c r="F146" s="586"/>
      <c r="G146" s="585" t="s">
        <v>1636</v>
      </c>
    </row>
    <row r="147" spans="2:7" ht="27.6" x14ac:dyDescent="0.25">
      <c r="B147" s="702"/>
      <c r="C147" s="705"/>
      <c r="D147" s="593"/>
      <c r="E147" s="598"/>
      <c r="F147" s="594"/>
      <c r="G147" s="595" t="s">
        <v>1637</v>
      </c>
    </row>
    <row r="148" spans="2:7" ht="27.6" x14ac:dyDescent="0.25">
      <c r="B148" s="700" t="s">
        <v>596</v>
      </c>
      <c r="C148" s="703" t="s">
        <v>1638</v>
      </c>
      <c r="D148" s="588" t="s">
        <v>1515</v>
      </c>
      <c r="E148" s="596" t="s">
        <v>1487</v>
      </c>
      <c r="F148" s="589" t="s">
        <v>1639</v>
      </c>
      <c r="G148" s="590" t="s">
        <v>1640</v>
      </c>
    </row>
    <row r="149" spans="2:7" ht="41.4" x14ac:dyDescent="0.25">
      <c r="B149" s="701"/>
      <c r="C149" s="704"/>
      <c r="D149" s="584"/>
      <c r="E149" s="597"/>
      <c r="F149" s="586"/>
      <c r="G149" s="585" t="s">
        <v>1641</v>
      </c>
    </row>
    <row r="150" spans="2:7" x14ac:dyDescent="0.25">
      <c r="B150" s="702"/>
      <c r="C150" s="705"/>
      <c r="D150" s="593"/>
      <c r="E150" s="598"/>
      <c r="F150" s="594"/>
      <c r="G150" s="595" t="s">
        <v>1642</v>
      </c>
    </row>
    <row r="151" spans="2:7" x14ac:dyDescent="0.25">
      <c r="B151" s="700" t="s">
        <v>596</v>
      </c>
      <c r="C151" s="703" t="s">
        <v>1774</v>
      </c>
      <c r="D151" s="588" t="s">
        <v>1495</v>
      </c>
      <c r="E151" s="596" t="s">
        <v>1487</v>
      </c>
      <c r="F151" s="589" t="s">
        <v>1386</v>
      </c>
      <c r="G151" s="590" t="s">
        <v>1643</v>
      </c>
    </row>
    <row r="152" spans="2:7" x14ac:dyDescent="0.25">
      <c r="B152" s="701"/>
      <c r="C152" s="704"/>
      <c r="D152" s="584"/>
      <c r="E152" s="597"/>
      <c r="F152" s="586"/>
      <c r="G152" s="585" t="s">
        <v>1644</v>
      </c>
    </row>
    <row r="153" spans="2:7" ht="27.6" x14ac:dyDescent="0.25">
      <c r="B153" s="701"/>
      <c r="C153" s="704"/>
      <c r="D153" s="584"/>
      <c r="E153" s="597"/>
      <c r="F153" s="586"/>
      <c r="G153" s="585" t="s">
        <v>1645</v>
      </c>
    </row>
    <row r="154" spans="2:7" ht="27.6" x14ac:dyDescent="0.25">
      <c r="B154" s="701"/>
      <c r="C154" s="704"/>
      <c r="D154" s="584"/>
      <c r="E154" s="597"/>
      <c r="F154" s="586"/>
      <c r="G154" s="585" t="s">
        <v>1646</v>
      </c>
    </row>
    <row r="155" spans="2:7" x14ac:dyDescent="0.25">
      <c r="B155" s="702"/>
      <c r="C155" s="705"/>
      <c r="D155" s="593"/>
      <c r="E155" s="598"/>
      <c r="F155" s="594"/>
      <c r="G155" s="595" t="s">
        <v>1647</v>
      </c>
    </row>
    <row r="156" spans="2:7" ht="55.2" x14ac:dyDescent="0.25">
      <c r="B156" s="629" t="s">
        <v>596</v>
      </c>
      <c r="C156" s="623" t="s">
        <v>1806</v>
      </c>
      <c r="D156" s="584" t="s">
        <v>1600</v>
      </c>
      <c r="E156" s="597" t="s">
        <v>1487</v>
      </c>
      <c r="F156" s="586" t="s">
        <v>1386</v>
      </c>
      <c r="G156" s="585" t="s">
        <v>1648</v>
      </c>
    </row>
    <row r="157" spans="2:7" ht="21" customHeight="1" x14ac:dyDescent="0.25">
      <c r="B157" s="700" t="s">
        <v>596</v>
      </c>
      <c r="C157" s="710" t="s">
        <v>1783</v>
      </c>
      <c r="D157" s="588" t="s">
        <v>1600</v>
      </c>
      <c r="E157" s="596" t="s">
        <v>1487</v>
      </c>
      <c r="F157" s="589" t="s">
        <v>1386</v>
      </c>
      <c r="G157" s="590" t="s">
        <v>1781</v>
      </c>
    </row>
    <row r="158" spans="2:7" ht="21" customHeight="1" thickBot="1" x14ac:dyDescent="0.3">
      <c r="B158" s="708"/>
      <c r="C158" s="711"/>
      <c r="D158" s="605"/>
      <c r="E158" s="606"/>
      <c r="F158" s="601"/>
      <c r="G158" s="602" t="s">
        <v>1782</v>
      </c>
    </row>
    <row r="159" spans="2:7" ht="42.75" customHeight="1" x14ac:dyDescent="0.25">
      <c r="B159" s="706" t="s">
        <v>530</v>
      </c>
      <c r="C159" s="707" t="s">
        <v>771</v>
      </c>
      <c r="D159" s="581" t="s">
        <v>1590</v>
      </c>
      <c r="E159" s="603" t="s">
        <v>1521</v>
      </c>
      <c r="F159" s="582" t="s">
        <v>1839</v>
      </c>
      <c r="G159" s="583" t="s">
        <v>1649</v>
      </c>
    </row>
    <row r="160" spans="2:7" ht="27.6" x14ac:dyDescent="0.25">
      <c r="B160" s="702"/>
      <c r="C160" s="705"/>
      <c r="D160" s="584"/>
      <c r="E160" s="597"/>
      <c r="F160" s="586"/>
      <c r="G160" s="585" t="s">
        <v>1548</v>
      </c>
    </row>
    <row r="161" spans="2:7" ht="41.4" x14ac:dyDescent="0.25">
      <c r="B161" s="630" t="s">
        <v>530</v>
      </c>
      <c r="C161" s="614" t="s">
        <v>772</v>
      </c>
      <c r="D161" s="615" t="s">
        <v>1616</v>
      </c>
      <c r="E161" s="616" t="s">
        <v>1487</v>
      </c>
      <c r="F161" s="625" t="s">
        <v>1650</v>
      </c>
      <c r="G161" s="618" t="s">
        <v>1651</v>
      </c>
    </row>
    <row r="162" spans="2:7" ht="27.6" x14ac:dyDescent="0.25">
      <c r="B162" s="630" t="s">
        <v>530</v>
      </c>
      <c r="C162" s="614" t="s">
        <v>773</v>
      </c>
      <c r="D162" s="615" t="s">
        <v>1097</v>
      </c>
      <c r="E162" s="616" t="s">
        <v>1487</v>
      </c>
      <c r="F162" s="625" t="s">
        <v>1551</v>
      </c>
      <c r="G162" s="618" t="s">
        <v>1552</v>
      </c>
    </row>
    <row r="163" spans="2:7" ht="42.75" customHeight="1" x14ac:dyDescent="0.25">
      <c r="B163" s="700" t="s">
        <v>530</v>
      </c>
      <c r="C163" s="703" t="s">
        <v>774</v>
      </c>
      <c r="D163" s="588" t="s">
        <v>1097</v>
      </c>
      <c r="E163" s="596" t="s">
        <v>1487</v>
      </c>
      <c r="F163" s="589" t="s">
        <v>1553</v>
      </c>
      <c r="G163" s="590" t="s">
        <v>1552</v>
      </c>
    </row>
    <row r="164" spans="2:7" x14ac:dyDescent="0.25">
      <c r="B164" s="702"/>
      <c r="C164" s="705"/>
      <c r="D164" s="593"/>
      <c r="E164" s="598"/>
      <c r="F164" s="594" t="s">
        <v>1554</v>
      </c>
      <c r="G164" s="595"/>
    </row>
    <row r="165" spans="2:7" ht="55.2" x14ac:dyDescent="0.25">
      <c r="B165" s="630" t="s">
        <v>530</v>
      </c>
      <c r="C165" s="614" t="s">
        <v>775</v>
      </c>
      <c r="D165" s="615" t="s">
        <v>1097</v>
      </c>
      <c r="E165" s="616" t="s">
        <v>1487</v>
      </c>
      <c r="F165" s="625" t="s">
        <v>1386</v>
      </c>
      <c r="G165" s="618" t="s">
        <v>1552</v>
      </c>
    </row>
    <row r="166" spans="2:7" ht="41.4" x14ac:dyDescent="0.25">
      <c r="B166" s="630" t="s">
        <v>530</v>
      </c>
      <c r="C166" s="614" t="s">
        <v>776</v>
      </c>
      <c r="D166" s="615" t="s">
        <v>1590</v>
      </c>
      <c r="E166" s="616" t="s">
        <v>1487</v>
      </c>
      <c r="F166" s="625" t="s">
        <v>1386</v>
      </c>
      <c r="G166" s="618" t="s">
        <v>1652</v>
      </c>
    </row>
    <row r="167" spans="2:7" ht="28.2" thickBot="1" x14ac:dyDescent="0.3">
      <c r="B167" s="631" t="s">
        <v>530</v>
      </c>
      <c r="C167" s="621" t="s">
        <v>923</v>
      </c>
      <c r="D167" s="605" t="s">
        <v>1653</v>
      </c>
      <c r="E167" s="606" t="s">
        <v>1487</v>
      </c>
      <c r="F167" s="601" t="s">
        <v>1386</v>
      </c>
      <c r="G167" s="602" t="s">
        <v>1654</v>
      </c>
    </row>
    <row r="168" spans="2:7" ht="69" x14ac:dyDescent="0.25">
      <c r="B168" s="629" t="s">
        <v>1655</v>
      </c>
      <c r="C168" s="623" t="s">
        <v>1656</v>
      </c>
      <c r="D168" s="584" t="s">
        <v>1657</v>
      </c>
      <c r="E168" s="597" t="s">
        <v>1487</v>
      </c>
      <c r="F168" s="604" t="s">
        <v>1386</v>
      </c>
      <c r="G168" s="583" t="s">
        <v>1658</v>
      </c>
    </row>
    <row r="169" spans="2:7" ht="41.4" x14ac:dyDescent="0.25">
      <c r="B169" s="630" t="s">
        <v>1655</v>
      </c>
      <c r="C169" s="614" t="s">
        <v>1659</v>
      </c>
      <c r="D169" s="615" t="s">
        <v>1660</v>
      </c>
      <c r="E169" s="616" t="s">
        <v>1487</v>
      </c>
      <c r="F169" s="625" t="s">
        <v>1386</v>
      </c>
      <c r="G169" s="618" t="s">
        <v>1661</v>
      </c>
    </row>
    <row r="170" spans="2:7" ht="27.6" x14ac:dyDescent="0.25">
      <c r="B170" s="701" t="s">
        <v>1655</v>
      </c>
      <c r="C170" s="704" t="s">
        <v>1662</v>
      </c>
      <c r="D170" s="584" t="s">
        <v>1594</v>
      </c>
      <c r="E170" s="597" t="s">
        <v>1487</v>
      </c>
      <c r="F170" s="586" t="s">
        <v>1386</v>
      </c>
      <c r="G170" s="585" t="s">
        <v>1663</v>
      </c>
    </row>
    <row r="171" spans="2:7" ht="28.2" thickBot="1" x14ac:dyDescent="0.3">
      <c r="B171" s="708"/>
      <c r="C171" s="709"/>
      <c r="D171" s="584"/>
      <c r="E171" s="597"/>
      <c r="F171" s="601"/>
      <c r="G171" s="602" t="s">
        <v>1664</v>
      </c>
    </row>
    <row r="172" spans="2:7" ht="55.2" x14ac:dyDescent="0.25">
      <c r="B172" s="628" t="s">
        <v>1665</v>
      </c>
      <c r="C172" s="632" t="s">
        <v>777</v>
      </c>
      <c r="D172" s="581" t="s">
        <v>1590</v>
      </c>
      <c r="E172" s="603" t="s">
        <v>1487</v>
      </c>
      <c r="F172" s="604" t="s">
        <v>1386</v>
      </c>
      <c r="G172" s="583" t="s">
        <v>1552</v>
      </c>
    </row>
    <row r="173" spans="2:7" ht="55.2" x14ac:dyDescent="0.25">
      <c r="B173" s="630" t="s">
        <v>1665</v>
      </c>
      <c r="C173" s="614" t="s">
        <v>778</v>
      </c>
      <c r="D173" s="615" t="s">
        <v>1616</v>
      </c>
      <c r="E173" s="616" t="s">
        <v>1487</v>
      </c>
      <c r="F173" s="625" t="s">
        <v>1666</v>
      </c>
      <c r="G173" s="618" t="s">
        <v>1667</v>
      </c>
    </row>
    <row r="174" spans="2:7" ht="55.2" customHeight="1" x14ac:dyDescent="0.25">
      <c r="B174" s="701" t="s">
        <v>1665</v>
      </c>
      <c r="C174" s="704" t="s">
        <v>779</v>
      </c>
      <c r="D174" s="584" t="s">
        <v>1668</v>
      </c>
      <c r="E174" s="597" t="s">
        <v>1487</v>
      </c>
      <c r="F174" s="586" t="s">
        <v>1386</v>
      </c>
      <c r="G174" s="585" t="s">
        <v>1595</v>
      </c>
    </row>
    <row r="175" spans="2:7" x14ac:dyDescent="0.25">
      <c r="B175" s="701"/>
      <c r="C175" s="704"/>
      <c r="D175" s="584"/>
      <c r="E175" s="597"/>
      <c r="F175" s="586"/>
      <c r="G175" s="585" t="s">
        <v>1596</v>
      </c>
    </row>
    <row r="176" spans="2:7" ht="55.2" x14ac:dyDescent="0.25">
      <c r="B176" s="630" t="s">
        <v>1665</v>
      </c>
      <c r="C176" s="614" t="s">
        <v>780</v>
      </c>
      <c r="D176" s="615" t="s">
        <v>1616</v>
      </c>
      <c r="E176" s="616" t="s">
        <v>1487</v>
      </c>
      <c r="F176" s="625" t="s">
        <v>1386</v>
      </c>
      <c r="G176" s="618" t="s">
        <v>1512</v>
      </c>
    </row>
    <row r="177" spans="2:7" ht="55.2" x14ac:dyDescent="0.25">
      <c r="B177" s="630" t="s">
        <v>1665</v>
      </c>
      <c r="C177" s="614" t="s">
        <v>781</v>
      </c>
      <c r="D177" s="615" t="s">
        <v>1616</v>
      </c>
      <c r="E177" s="616" t="s">
        <v>1487</v>
      </c>
      <c r="F177" s="625" t="s">
        <v>1567</v>
      </c>
      <c r="G177" s="618" t="s">
        <v>1568</v>
      </c>
    </row>
    <row r="178" spans="2:7" x14ac:dyDescent="0.25">
      <c r="B178" s="701" t="s">
        <v>1665</v>
      </c>
      <c r="C178" s="704" t="s">
        <v>782</v>
      </c>
      <c r="D178" s="584" t="s">
        <v>1669</v>
      </c>
      <c r="E178" s="597" t="s">
        <v>1487</v>
      </c>
      <c r="F178" s="586" t="s">
        <v>1666</v>
      </c>
      <c r="G178" s="585" t="s">
        <v>1667</v>
      </c>
    </row>
    <row r="179" spans="2:7" ht="42" thickBot="1" x14ac:dyDescent="0.3">
      <c r="B179" s="708"/>
      <c r="C179" s="709"/>
      <c r="D179" s="605"/>
      <c r="E179" s="606"/>
      <c r="F179" s="601"/>
      <c r="G179" s="602" t="s">
        <v>1670</v>
      </c>
    </row>
  </sheetData>
  <autoFilter ref="B3:G9" xr:uid="{00000000-0009-0000-0000-000005000000}"/>
  <mergeCells count="110">
    <mergeCell ref="D133:D134"/>
    <mergeCell ref="E133:E134"/>
    <mergeCell ref="F133:F134"/>
    <mergeCell ref="C129:C132"/>
    <mergeCell ref="B129:B132"/>
    <mergeCell ref="D129:D132"/>
    <mergeCell ref="E129:E132"/>
    <mergeCell ref="F129:F132"/>
    <mergeCell ref="C121:C124"/>
    <mergeCell ref="B121:B124"/>
    <mergeCell ref="B20:B22"/>
    <mergeCell ref="C20:C22"/>
    <mergeCell ref="D20:D22"/>
    <mergeCell ref="E20:E22"/>
    <mergeCell ref="F13:G13"/>
    <mergeCell ref="B15:B19"/>
    <mergeCell ref="C15:C19"/>
    <mergeCell ref="D15:D19"/>
    <mergeCell ref="E15:E19"/>
    <mergeCell ref="B23:B25"/>
    <mergeCell ref="C23:C25"/>
    <mergeCell ref="D23:D25"/>
    <mergeCell ref="E23:E25"/>
    <mergeCell ref="B26:B28"/>
    <mergeCell ref="C26:C28"/>
    <mergeCell ref="B29:B32"/>
    <mergeCell ref="C29:C32"/>
    <mergeCell ref="B33:B36"/>
    <mergeCell ref="C33:C36"/>
    <mergeCell ref="B37:B38"/>
    <mergeCell ref="C37:C38"/>
    <mergeCell ref="B39:B40"/>
    <mergeCell ref="C39:C40"/>
    <mergeCell ref="B41:B42"/>
    <mergeCell ref="C41:C42"/>
    <mergeCell ref="B43:B45"/>
    <mergeCell ref="C43:C45"/>
    <mergeCell ref="B46:B48"/>
    <mergeCell ref="C46:C48"/>
    <mergeCell ref="B49:B51"/>
    <mergeCell ref="C49:C51"/>
    <mergeCell ref="B52:B53"/>
    <mergeCell ref="C52:C53"/>
    <mergeCell ref="B54:B56"/>
    <mergeCell ref="C54:C56"/>
    <mergeCell ref="B57:B59"/>
    <mergeCell ref="C57:C59"/>
    <mergeCell ref="B64:B65"/>
    <mergeCell ref="C64:C65"/>
    <mergeCell ref="B83:B85"/>
    <mergeCell ref="C83:C85"/>
    <mergeCell ref="B94:B95"/>
    <mergeCell ref="C94:C95"/>
    <mergeCell ref="B96:B97"/>
    <mergeCell ref="C96:C97"/>
    <mergeCell ref="B98:B99"/>
    <mergeCell ref="C98:C99"/>
    <mergeCell ref="B66:B67"/>
    <mergeCell ref="C66:C67"/>
    <mergeCell ref="B68:B69"/>
    <mergeCell ref="C68:C69"/>
    <mergeCell ref="B72:B73"/>
    <mergeCell ref="C72:C73"/>
    <mergeCell ref="B74:B76"/>
    <mergeCell ref="C74:C76"/>
    <mergeCell ref="B77:B82"/>
    <mergeCell ref="C77:C82"/>
    <mergeCell ref="B100:B101"/>
    <mergeCell ref="C100:C101"/>
    <mergeCell ref="B102:B105"/>
    <mergeCell ref="C102:C105"/>
    <mergeCell ref="B126:B127"/>
    <mergeCell ref="C126:C127"/>
    <mergeCell ref="B135:B137"/>
    <mergeCell ref="C135:C137"/>
    <mergeCell ref="B106:B107"/>
    <mergeCell ref="C106:C107"/>
    <mergeCell ref="B108:B110"/>
    <mergeCell ref="C108:C110"/>
    <mergeCell ref="B112:B113"/>
    <mergeCell ref="C112:C113"/>
    <mergeCell ref="B114:B117"/>
    <mergeCell ref="C114:C117"/>
    <mergeCell ref="B118:B120"/>
    <mergeCell ref="C118:C120"/>
    <mergeCell ref="B133:B134"/>
    <mergeCell ref="C133:C134"/>
    <mergeCell ref="D135:D136"/>
    <mergeCell ref="B142:B144"/>
    <mergeCell ref="C142:C144"/>
    <mergeCell ref="B145:B147"/>
    <mergeCell ref="C145:C147"/>
    <mergeCell ref="B138:B139"/>
    <mergeCell ref="C138:C139"/>
    <mergeCell ref="B148:B150"/>
    <mergeCell ref="C148:C150"/>
    <mergeCell ref="B151:B155"/>
    <mergeCell ref="C151:C155"/>
    <mergeCell ref="B159:B160"/>
    <mergeCell ref="C159:C160"/>
    <mergeCell ref="B178:B179"/>
    <mergeCell ref="C178:C179"/>
    <mergeCell ref="B163:B164"/>
    <mergeCell ref="C163:C164"/>
    <mergeCell ref="B170:B171"/>
    <mergeCell ref="C170:C171"/>
    <mergeCell ref="B174:B175"/>
    <mergeCell ref="C174:C175"/>
    <mergeCell ref="C157:C158"/>
    <mergeCell ref="B157:B158"/>
  </mergeCells>
  <hyperlinks>
    <hyperlink ref="B8" r:id="rId1" display="Discussed in detail in wp [2020.02 Understanding the internal control]" xr:uid="{C984252C-18F1-4702-9C75-E7A3CF55FB8E}"/>
    <hyperlink ref="B7" r:id="rId2" display="Discussed in detail in wp [2020.02 Understanding the internal control]" xr:uid="{9329F9B9-59A2-4FC9-8196-115645C51E69}"/>
    <hyperlink ref="B6" r:id="rId3" display="Discussed in detail in wp [2020.02 Understanding the internal control]" xr:uid="{A2F028A6-9147-4CC8-8D3A-D4E1D21CA4CD}"/>
    <hyperlink ref="B9" r:id="rId4" display="Discussed in detail in wp [2020.02 Understanding the internal control]" xr:uid="{5FF5B668-022E-43ED-8EBD-39E2B7EC6A95}"/>
    <hyperlink ref="B4:B5" r:id="rId5" display="Discussed in detail in wp [2020.01 Understanding the entity]" xr:uid="{34CB439D-5BB7-4D36-8DD8-80BFB6675382}"/>
  </hyperlinks>
  <pageMargins left="0.7" right="0.7" top="0.75" bottom="0.75" header="0.3" footer="0.3"/>
  <pageSetup paperSize="9" scale="77" orientation="landscape" horizontalDpi="300" verticalDpi="300" r:id="rId6"/>
  <colBreaks count="1" manualBreakCount="1">
    <brk id="7"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A99F8-A725-4E10-AEA2-9FD1964D8B67}">
  <sheetPr filterMode="1"/>
  <dimension ref="B2:T202"/>
  <sheetViews>
    <sheetView topLeftCell="A3" workbookViewId="0">
      <selection activeCell="I4" sqref="I4"/>
    </sheetView>
  </sheetViews>
  <sheetFormatPr defaultRowHeight="13.2" x14ac:dyDescent="0.3"/>
  <cols>
    <col min="1" max="1" width="8.88671875" style="290"/>
    <col min="2" max="2" width="27.44140625" style="290" bestFit="1" customWidth="1"/>
    <col min="3" max="3" width="22.33203125" style="290" bestFit="1" customWidth="1"/>
    <col min="4" max="4" width="9.88671875" style="290" hidden="1" customWidth="1"/>
    <col min="5" max="5" width="24.5546875" style="290" hidden="1" customWidth="1"/>
    <col min="6" max="8" width="0" style="290" hidden="1" customWidth="1"/>
    <col min="9" max="9" width="60.77734375" style="290" customWidth="1"/>
    <col min="10" max="11" width="48.44140625" style="290" customWidth="1"/>
    <col min="12" max="19" width="8.88671875" style="290"/>
    <col min="20" max="20" width="0" style="290" hidden="1" customWidth="1"/>
    <col min="21" max="16384" width="8.88671875" style="290"/>
  </cols>
  <sheetData>
    <row r="2" spans="2:20" x14ac:dyDescent="0.3">
      <c r="J2" s="803" t="s">
        <v>2069</v>
      </c>
      <c r="K2" s="803"/>
    </row>
    <row r="3" spans="2:20" x14ac:dyDescent="0.3">
      <c r="B3" s="650" t="s">
        <v>2121</v>
      </c>
      <c r="C3" s="650" t="s">
        <v>30</v>
      </c>
      <c r="D3" s="650" t="s">
        <v>30</v>
      </c>
      <c r="E3" s="650"/>
      <c r="F3" s="650" t="s">
        <v>212</v>
      </c>
      <c r="G3" s="650" t="s">
        <v>1887</v>
      </c>
      <c r="H3" s="650"/>
      <c r="I3" s="650" t="s">
        <v>2067</v>
      </c>
      <c r="J3" s="650" t="s">
        <v>2068</v>
      </c>
      <c r="K3" s="650" t="s">
        <v>2070</v>
      </c>
    </row>
    <row r="4" spans="2:20" ht="39.6" x14ac:dyDescent="0.3">
      <c r="B4" s="333" t="s">
        <v>24</v>
      </c>
      <c r="C4" s="333" t="s">
        <v>554</v>
      </c>
      <c r="D4" s="333" t="str">
        <f t="shared" ref="D4:D14" si="0">LEFT(G4)</f>
        <v>A</v>
      </c>
      <c r="E4" s="333" t="str">
        <f t="shared" ref="E4:E35" si="1">IF(MID(G4,2,1)="R", "OK","CHECK")</f>
        <v>OK</v>
      </c>
      <c r="F4" s="333" t="s">
        <v>1885</v>
      </c>
      <c r="G4" s="333" t="str">
        <f t="shared" ref="G4:G35" si="2">TRIM(F4)</f>
        <v>ARSKFA7 - Risk of misstatement of fixed assets because the depreciation method and / or depreciation rate adopted are not in compliance with the applicable statutes</v>
      </c>
      <c r="H4" s="333" t="str">
        <f t="shared" ref="H4:H35" si="3">MID(G4,LEN(D4)+1,T4-LEN(D4))</f>
        <v>RSKFA7 - Risk of misstatement of fixed assets because the depreciation method and / or depreciation rate adopted are not in compliance with the applicable statutes</v>
      </c>
      <c r="I4" s="644" t="s">
        <v>1510</v>
      </c>
      <c r="J4" s="333" t="s">
        <v>2081</v>
      </c>
      <c r="K4" s="644" t="s">
        <v>2103</v>
      </c>
      <c r="T4" s="290">
        <f t="shared" ref="T4:T26" si="4">LEN(G4)</f>
        <v>164</v>
      </c>
    </row>
    <row r="5" spans="2:20" ht="39.6" hidden="1" x14ac:dyDescent="0.3">
      <c r="B5" s="334" t="s">
        <v>24</v>
      </c>
      <c r="C5" s="334" t="s">
        <v>554</v>
      </c>
      <c r="D5" s="334" t="str">
        <f t="shared" si="0"/>
        <v>A</v>
      </c>
      <c r="E5" s="334" t="str">
        <f t="shared" si="1"/>
        <v>OK</v>
      </c>
      <c r="F5" s="334" t="s">
        <v>1873</v>
      </c>
      <c r="G5" s="334" t="str">
        <f t="shared" si="2"/>
        <v>ARSKFA3 - Risk of understatement of fixed assets because fixed assets purchased have been expensed and not capitalised.</v>
      </c>
      <c r="H5" s="334" t="str">
        <f t="shared" si="3"/>
        <v>RSKFA3 - Risk of understatement of fixed assets because fixed assets purchased have been expensed and not capitalised.</v>
      </c>
      <c r="I5" s="645" t="s">
        <v>724</v>
      </c>
      <c r="J5" s="645" t="s">
        <v>2098</v>
      </c>
      <c r="K5" s="334" t="s">
        <v>1500</v>
      </c>
      <c r="T5" s="290">
        <f t="shared" si="4"/>
        <v>119</v>
      </c>
    </row>
    <row r="6" spans="2:20" ht="39.6" hidden="1" x14ac:dyDescent="0.3">
      <c r="B6" s="334" t="s">
        <v>24</v>
      </c>
      <c r="C6" s="334" t="s">
        <v>554</v>
      </c>
      <c r="D6" s="334" t="str">
        <f t="shared" si="0"/>
        <v>A</v>
      </c>
      <c r="E6" s="334" t="str">
        <f t="shared" si="1"/>
        <v>OK</v>
      </c>
      <c r="F6" s="334" t="s">
        <v>1877</v>
      </c>
      <c r="G6" s="334" t="str">
        <f t="shared" si="2"/>
        <v>ARSKFA4 - Risk of overstatement of fixed assets because repairs and maintenance expenses have been incorrectly capitalised as fixed assets.</v>
      </c>
      <c r="H6" s="334" t="str">
        <f t="shared" si="3"/>
        <v>RSKFA4 - Risk of overstatement of fixed assets because repairs and maintenance expenses have been incorrectly capitalised as fixed assets.</v>
      </c>
      <c r="I6" s="645" t="s">
        <v>1503</v>
      </c>
      <c r="J6" s="645" t="s">
        <v>2099</v>
      </c>
      <c r="K6" s="645" t="s">
        <v>2100</v>
      </c>
      <c r="T6" s="290">
        <f t="shared" si="4"/>
        <v>139</v>
      </c>
    </row>
    <row r="7" spans="2:20" ht="52.8" hidden="1" x14ac:dyDescent="0.3">
      <c r="B7" s="334" t="s">
        <v>24</v>
      </c>
      <c r="C7" s="334" t="s">
        <v>554</v>
      </c>
      <c r="D7" s="334" t="str">
        <f t="shared" si="0"/>
        <v>A</v>
      </c>
      <c r="E7" s="334" t="str">
        <f t="shared" si="1"/>
        <v>OK</v>
      </c>
      <c r="F7" s="334" t="s">
        <v>1883</v>
      </c>
      <c r="G7" s="334" t="str">
        <f t="shared" si="2"/>
        <v>ARSKFA6 - Risk of misstatement of fixed assets because initial measurement, subsequent measurement and impairment testing of fixed assets have not been done in the manner specified in the financial reporting framework</v>
      </c>
      <c r="H7" s="334" t="str">
        <f t="shared" si="3"/>
        <v>RSKFA6 - Risk of misstatement of fixed assets because initial measurement, subsequent measurement and impairment testing of fixed assets have not been done in the manner specified in the financial reporting framework</v>
      </c>
      <c r="I7" s="645" t="s">
        <v>1508</v>
      </c>
      <c r="J7" s="334" t="s">
        <v>1502</v>
      </c>
      <c r="K7" s="645" t="s">
        <v>2102</v>
      </c>
      <c r="T7" s="290">
        <f t="shared" si="4"/>
        <v>217</v>
      </c>
    </row>
    <row r="8" spans="2:20" ht="66" hidden="1" x14ac:dyDescent="0.3">
      <c r="B8" s="334" t="s">
        <v>24</v>
      </c>
      <c r="C8" s="334" t="s">
        <v>19</v>
      </c>
      <c r="D8" s="334" t="str">
        <f t="shared" si="0"/>
        <v>C</v>
      </c>
      <c r="E8" s="334" t="str">
        <f t="shared" si="1"/>
        <v>OK</v>
      </c>
      <c r="F8" s="334" t="s">
        <v>1864</v>
      </c>
      <c r="G8" s="334" t="str">
        <f t="shared" si="2"/>
        <v>CRSKFA1 - Risk of understatement of fixed assets because assets acquired by the entity are not recorded.</v>
      </c>
      <c r="H8" s="334" t="str">
        <f t="shared" si="3"/>
        <v>RSKFA1 - Risk of understatement of fixed assets because assets acquired by the entity are not recorded.</v>
      </c>
      <c r="I8" s="645" t="s">
        <v>722</v>
      </c>
      <c r="J8" s="645" t="s">
        <v>2079</v>
      </c>
      <c r="K8" s="645" t="s">
        <v>2096</v>
      </c>
      <c r="T8" s="290">
        <f t="shared" si="4"/>
        <v>104</v>
      </c>
    </row>
    <row r="9" spans="2:20" ht="26.4" x14ac:dyDescent="0.3">
      <c r="B9" s="334" t="s">
        <v>24</v>
      </c>
      <c r="C9" s="334" t="s">
        <v>19</v>
      </c>
      <c r="D9" s="334" t="str">
        <f t="shared" si="0"/>
        <v>C</v>
      </c>
      <c r="E9" s="334" t="str">
        <f t="shared" si="1"/>
        <v>OK</v>
      </c>
      <c r="F9" s="334" t="s">
        <v>1868</v>
      </c>
      <c r="G9" s="334" t="str">
        <f t="shared" si="2"/>
        <v>CRSKFA2 - Risk of understatement of fixed assets because assets in use and still owned by the entity have been wrongly recorded as disposed.</v>
      </c>
      <c r="H9" s="334" t="str">
        <f t="shared" si="3"/>
        <v>RSKFA2 - Risk of understatement of fixed assets because assets in use and still owned by the entity have been wrongly recorded as disposed.</v>
      </c>
      <c r="I9" s="645" t="s">
        <v>723</v>
      </c>
      <c r="J9" s="334" t="s">
        <v>2081</v>
      </c>
      <c r="K9" s="645" t="s">
        <v>1496</v>
      </c>
      <c r="T9" s="290">
        <f t="shared" si="4"/>
        <v>140</v>
      </c>
    </row>
    <row r="10" spans="2:20" ht="26.4" x14ac:dyDescent="0.3">
      <c r="B10" s="334" t="s">
        <v>24</v>
      </c>
      <c r="C10" s="334" t="s">
        <v>26</v>
      </c>
      <c r="D10" s="334" t="str">
        <f t="shared" si="0"/>
        <v>E</v>
      </c>
      <c r="E10" s="334" t="str">
        <f t="shared" si="1"/>
        <v>OK</v>
      </c>
      <c r="F10" s="334" t="s">
        <v>1866</v>
      </c>
      <c r="G10" s="334" t="str">
        <f t="shared" si="2"/>
        <v>ERSKFA2 - Risk of understatement of fixed assets because assets in use and still owned by the entity have been wrongly recorded as disposed.</v>
      </c>
      <c r="H10" s="334" t="str">
        <f t="shared" si="3"/>
        <v>RSKFA2 - Risk of understatement of fixed assets because assets in use and still owned by the entity have been wrongly recorded as disposed.</v>
      </c>
      <c r="I10" s="645" t="s">
        <v>723</v>
      </c>
      <c r="J10" s="334" t="s">
        <v>2081</v>
      </c>
      <c r="K10" s="645" t="s">
        <v>1496</v>
      </c>
      <c r="T10" s="290">
        <f t="shared" si="4"/>
        <v>140</v>
      </c>
    </row>
    <row r="11" spans="2:20" ht="39.6" hidden="1" x14ac:dyDescent="0.3">
      <c r="B11" s="334" t="s">
        <v>24</v>
      </c>
      <c r="C11" s="334" t="s">
        <v>26</v>
      </c>
      <c r="D11" s="334" t="str">
        <f t="shared" si="0"/>
        <v>E</v>
      </c>
      <c r="E11" s="334" t="str">
        <f t="shared" si="1"/>
        <v>OK</v>
      </c>
      <c r="F11" s="334" t="s">
        <v>1870</v>
      </c>
      <c r="G11" s="334" t="str">
        <f t="shared" si="2"/>
        <v>ERSKFA3 - Risk of understatement of fixed assets because fixed assets purchased have been expensed and not capitalised.</v>
      </c>
      <c r="H11" s="334" t="str">
        <f t="shared" si="3"/>
        <v>RSKFA3 - Risk of understatement of fixed assets because fixed assets purchased have been expensed and not capitalised.</v>
      </c>
      <c r="I11" s="645" t="s">
        <v>724</v>
      </c>
      <c r="J11" s="645" t="s">
        <v>2098</v>
      </c>
      <c r="K11" s="334" t="s">
        <v>1500</v>
      </c>
      <c r="T11" s="290">
        <f t="shared" si="4"/>
        <v>119</v>
      </c>
    </row>
    <row r="12" spans="2:20" ht="39.6" hidden="1" x14ac:dyDescent="0.3">
      <c r="B12" s="334" t="s">
        <v>24</v>
      </c>
      <c r="C12" s="334" t="s">
        <v>26</v>
      </c>
      <c r="D12" s="334" t="str">
        <f t="shared" si="0"/>
        <v>E</v>
      </c>
      <c r="E12" s="334" t="str">
        <f t="shared" si="1"/>
        <v>OK</v>
      </c>
      <c r="F12" s="334" t="s">
        <v>1874</v>
      </c>
      <c r="G12" s="334" t="str">
        <f t="shared" si="2"/>
        <v>ERSKFA4 - Risk of overstatement of fixed assets because repairs and maintenance expenses have been incorrectly capitalised as fixed assets.</v>
      </c>
      <c r="H12" s="334" t="str">
        <f t="shared" si="3"/>
        <v>RSKFA4 - Risk of overstatement of fixed assets because repairs and maintenance expenses have been incorrectly capitalised as fixed assets.</v>
      </c>
      <c r="I12" s="645" t="s">
        <v>1503</v>
      </c>
      <c r="J12" s="645" t="s">
        <v>2099</v>
      </c>
      <c r="K12" s="645" t="s">
        <v>2100</v>
      </c>
      <c r="T12" s="290">
        <f t="shared" si="4"/>
        <v>139</v>
      </c>
    </row>
    <row r="13" spans="2:20" ht="52.8" hidden="1" x14ac:dyDescent="0.3">
      <c r="B13" s="334" t="s">
        <v>24</v>
      </c>
      <c r="C13" s="334" t="s">
        <v>26</v>
      </c>
      <c r="D13" s="334" t="str">
        <f t="shared" si="0"/>
        <v>E</v>
      </c>
      <c r="E13" s="334" t="str">
        <f t="shared" si="1"/>
        <v>OK</v>
      </c>
      <c r="F13" s="334" t="s">
        <v>1878</v>
      </c>
      <c r="G13" s="334" t="str">
        <f t="shared" si="2"/>
        <v>ERSKFA5 - Risk of overstatement of fixed assets because assets disposed of have not been recorded in the fixed asset register / general ledger.</v>
      </c>
      <c r="H13" s="334" t="str">
        <f t="shared" si="3"/>
        <v>RSKFA5 - Risk of overstatement of fixed assets because assets disposed of have not been recorded in the fixed asset register / general ledger.</v>
      </c>
      <c r="I13" s="645" t="s">
        <v>1505</v>
      </c>
      <c r="J13" s="334" t="s">
        <v>1803</v>
      </c>
      <c r="K13" s="645" t="s">
        <v>2101</v>
      </c>
      <c r="T13" s="290">
        <f t="shared" si="4"/>
        <v>143</v>
      </c>
    </row>
    <row r="14" spans="2:20" ht="52.8" hidden="1" x14ac:dyDescent="0.3">
      <c r="B14" s="334" t="s">
        <v>24</v>
      </c>
      <c r="C14" s="334" t="s">
        <v>26</v>
      </c>
      <c r="D14" s="334" t="str">
        <f t="shared" si="0"/>
        <v>E</v>
      </c>
      <c r="E14" s="334" t="str">
        <f t="shared" si="1"/>
        <v>OK</v>
      </c>
      <c r="F14" s="334" t="s">
        <v>1880</v>
      </c>
      <c r="G14" s="334" t="str">
        <f t="shared" si="2"/>
        <v>ERSKFA6 - Risk of misstatement of fixed assets because initial measurement, subsequent measurement and impairment testing of fixed assets have not been done in the manner specified in the financial reporting framework</v>
      </c>
      <c r="H14" s="334" t="str">
        <f t="shared" si="3"/>
        <v>RSKFA6 - Risk of misstatement of fixed assets because initial measurement, subsequent measurement and impairment testing of fixed assets have not been done in the manner specified in the financial reporting framework</v>
      </c>
      <c r="I14" s="645" t="s">
        <v>1508</v>
      </c>
      <c r="J14" s="334" t="s">
        <v>1502</v>
      </c>
      <c r="K14" s="645" t="s">
        <v>2102</v>
      </c>
      <c r="T14" s="290">
        <f t="shared" si="4"/>
        <v>217</v>
      </c>
    </row>
    <row r="15" spans="2:20" ht="66" hidden="1" x14ac:dyDescent="0.3">
      <c r="B15" s="334" t="s">
        <v>24</v>
      </c>
      <c r="C15" s="334" t="s">
        <v>1812</v>
      </c>
      <c r="D15" s="334" t="str">
        <f>LEFT(G15,3)</f>
        <v>P&amp;D</v>
      </c>
      <c r="E15" s="334" t="str">
        <f t="shared" si="1"/>
        <v>CHECK</v>
      </c>
      <c r="F15" s="334" t="s">
        <v>1863</v>
      </c>
      <c r="G15" s="334" t="str">
        <f t="shared" si="2"/>
        <v>P&amp;DRSKFA1 - Risk of understatement of fixed assets because assets acquired by the entity are not recorded.</v>
      </c>
      <c r="H15" s="334" t="str">
        <f t="shared" si="3"/>
        <v>RSKFA1 - Risk of understatement of fixed assets because assets acquired by the entity are not recorded.</v>
      </c>
      <c r="I15" s="645" t="s">
        <v>722</v>
      </c>
      <c r="J15" s="645" t="s">
        <v>2079</v>
      </c>
      <c r="K15" s="645" t="s">
        <v>2096</v>
      </c>
      <c r="T15" s="290">
        <f t="shared" si="4"/>
        <v>106</v>
      </c>
    </row>
    <row r="16" spans="2:20" ht="39.6" x14ac:dyDescent="0.3">
      <c r="B16" s="334" t="s">
        <v>24</v>
      </c>
      <c r="C16" s="334" t="s">
        <v>1886</v>
      </c>
      <c r="D16" s="334" t="str">
        <f t="shared" ref="D16:D54" si="5">LEFT(G16)</f>
        <v>R</v>
      </c>
      <c r="E16" s="334" t="str">
        <f t="shared" si="1"/>
        <v>OK</v>
      </c>
      <c r="F16" s="334" t="s">
        <v>1867</v>
      </c>
      <c r="G16" s="334" t="str">
        <f t="shared" si="2"/>
        <v>RRSKFA2 - Risk of understatement of fixed assets because assets in use and still owned by the entity have been wrongly recorded as disposed.</v>
      </c>
      <c r="H16" s="334" t="str">
        <f t="shared" si="3"/>
        <v>RSKFA2 - Risk of understatement of fixed assets because assets in use and still owned by the entity have been wrongly recorded as disposed.</v>
      </c>
      <c r="I16" s="645" t="s">
        <v>723</v>
      </c>
      <c r="J16" s="334" t="s">
        <v>2081</v>
      </c>
      <c r="K16" s="645" t="s">
        <v>2097</v>
      </c>
      <c r="T16" s="290">
        <f t="shared" si="4"/>
        <v>140</v>
      </c>
    </row>
    <row r="17" spans="2:20" ht="39.6" hidden="1" x14ac:dyDescent="0.3">
      <c r="B17" s="334" t="s">
        <v>24</v>
      </c>
      <c r="C17" s="334" t="s">
        <v>1886</v>
      </c>
      <c r="D17" s="334" t="str">
        <f t="shared" si="5"/>
        <v>R</v>
      </c>
      <c r="E17" s="334" t="str">
        <f t="shared" si="1"/>
        <v>OK</v>
      </c>
      <c r="F17" s="334" t="s">
        <v>1871</v>
      </c>
      <c r="G17" s="334" t="str">
        <f t="shared" si="2"/>
        <v>RRSKFA3 - Risk of understatement of fixed assets because fixed assets purchased have been expensed and not capitalised.</v>
      </c>
      <c r="H17" s="334" t="str">
        <f t="shared" si="3"/>
        <v>RSKFA3 - Risk of understatement of fixed assets because fixed assets purchased have been expensed and not capitalised.</v>
      </c>
      <c r="I17" s="645" t="s">
        <v>724</v>
      </c>
      <c r="J17" s="645" t="s">
        <v>2098</v>
      </c>
      <c r="K17" s="334" t="s">
        <v>1500</v>
      </c>
      <c r="T17" s="290">
        <f t="shared" si="4"/>
        <v>119</v>
      </c>
    </row>
    <row r="18" spans="2:20" ht="39.6" hidden="1" x14ac:dyDescent="0.3">
      <c r="B18" s="334" t="s">
        <v>24</v>
      </c>
      <c r="C18" s="334" t="s">
        <v>1886</v>
      </c>
      <c r="D18" s="334" t="str">
        <f t="shared" si="5"/>
        <v>R</v>
      </c>
      <c r="E18" s="334" t="str">
        <f t="shared" si="1"/>
        <v>OK</v>
      </c>
      <c r="F18" s="334" t="s">
        <v>1875</v>
      </c>
      <c r="G18" s="334" t="str">
        <f t="shared" si="2"/>
        <v>RRSKFA4 - Risk of overstatement of fixed assets because repairs and maintenance expenses have been incorrectly capitalised as fixed assets.</v>
      </c>
      <c r="H18" s="334" t="str">
        <f t="shared" si="3"/>
        <v>RSKFA4 - Risk of overstatement of fixed assets because repairs and maintenance expenses have been incorrectly capitalised as fixed assets.</v>
      </c>
      <c r="I18" s="645" t="s">
        <v>1503</v>
      </c>
      <c r="J18" s="645" t="s">
        <v>2099</v>
      </c>
      <c r="K18" s="645" t="s">
        <v>2100</v>
      </c>
      <c r="T18" s="290">
        <f t="shared" si="4"/>
        <v>139</v>
      </c>
    </row>
    <row r="19" spans="2:20" ht="52.8" hidden="1" x14ac:dyDescent="0.3">
      <c r="B19" s="334" t="s">
        <v>24</v>
      </c>
      <c r="C19" s="334" t="s">
        <v>1886</v>
      </c>
      <c r="D19" s="334" t="str">
        <f t="shared" si="5"/>
        <v>R</v>
      </c>
      <c r="E19" s="334" t="str">
        <f t="shared" si="1"/>
        <v>OK</v>
      </c>
      <c r="F19" s="334" t="s">
        <v>1879</v>
      </c>
      <c r="G19" s="334" t="str">
        <f t="shared" si="2"/>
        <v>RRSKFA5 - Risk of overstatement of fixed assets because assets disposed of have not been recorded in the fixed asset register / general ledger.</v>
      </c>
      <c r="H19" s="334" t="str">
        <f t="shared" si="3"/>
        <v>RSKFA5 - Risk of overstatement of fixed assets because assets disposed of have not been recorded in the fixed asset register / general ledger.</v>
      </c>
      <c r="I19" s="645" t="s">
        <v>1505</v>
      </c>
      <c r="J19" s="334" t="s">
        <v>1803</v>
      </c>
      <c r="K19" s="645" t="s">
        <v>2101</v>
      </c>
      <c r="T19" s="290">
        <f t="shared" si="4"/>
        <v>143</v>
      </c>
    </row>
    <row r="20" spans="2:20" ht="52.8" hidden="1" x14ac:dyDescent="0.3">
      <c r="B20" s="334" t="s">
        <v>24</v>
      </c>
      <c r="C20" s="334" t="s">
        <v>1886</v>
      </c>
      <c r="D20" s="334" t="str">
        <f t="shared" si="5"/>
        <v>R</v>
      </c>
      <c r="E20" s="334" t="str">
        <f t="shared" si="1"/>
        <v>OK</v>
      </c>
      <c r="F20" s="334" t="s">
        <v>1881</v>
      </c>
      <c r="G20" s="334" t="str">
        <f t="shared" si="2"/>
        <v>RRSKFA6 - Risk of misstatement of fixed assets because initial measurement, subsequent measurement and impairment testing of fixed assets have not been done in the manner specified in the financial reporting framework</v>
      </c>
      <c r="H20" s="334" t="str">
        <f t="shared" si="3"/>
        <v>RSKFA6 - Risk of misstatement of fixed assets because initial measurement, subsequent measurement and impairment testing of fixed assets have not been done in the manner specified in the financial reporting framework</v>
      </c>
      <c r="I20" s="645" t="s">
        <v>1508</v>
      </c>
      <c r="J20" s="334" t="s">
        <v>1502</v>
      </c>
      <c r="K20" s="645" t="s">
        <v>2102</v>
      </c>
      <c r="T20" s="290">
        <f t="shared" si="4"/>
        <v>217</v>
      </c>
    </row>
    <row r="21" spans="2:20" ht="39.6" x14ac:dyDescent="0.3">
      <c r="B21" s="334" t="s">
        <v>24</v>
      </c>
      <c r="C21" s="334" t="s">
        <v>25</v>
      </c>
      <c r="D21" s="334" t="str">
        <f t="shared" si="5"/>
        <v>V</v>
      </c>
      <c r="E21" s="334" t="str">
        <f t="shared" si="1"/>
        <v>OK</v>
      </c>
      <c r="F21" s="334" t="s">
        <v>1884</v>
      </c>
      <c r="G21" s="334" t="str">
        <f t="shared" si="2"/>
        <v>VRSKFA7 - Risk of misstatement of fixed assets because the depreciation method and / or depreciation rate adopted are not in compliance with the applicable statutes</v>
      </c>
      <c r="H21" s="334" t="str">
        <f t="shared" si="3"/>
        <v>RSKFA7 - Risk of misstatement of fixed assets because the depreciation method and / or depreciation rate adopted are not in compliance with the applicable statutes</v>
      </c>
      <c r="I21" s="645" t="s">
        <v>1510</v>
      </c>
      <c r="J21" s="334" t="s">
        <v>2081</v>
      </c>
      <c r="K21" s="645" t="s">
        <v>2103</v>
      </c>
      <c r="T21" s="290">
        <f t="shared" si="4"/>
        <v>164</v>
      </c>
    </row>
    <row r="22" spans="2:20" ht="66" hidden="1" x14ac:dyDescent="0.3">
      <c r="B22" s="334" t="s">
        <v>24</v>
      </c>
      <c r="C22" s="334" t="s">
        <v>25</v>
      </c>
      <c r="D22" s="334" t="str">
        <f t="shared" si="5"/>
        <v>V</v>
      </c>
      <c r="E22" s="334" t="str">
        <f t="shared" si="1"/>
        <v>OK</v>
      </c>
      <c r="F22" s="334" t="s">
        <v>1865</v>
      </c>
      <c r="G22" s="334" t="str">
        <f t="shared" si="2"/>
        <v>VRSKFA1 - Risk of understatement of fixed assets because assets acquired by the entity are not recorded.</v>
      </c>
      <c r="H22" s="334" t="str">
        <f t="shared" si="3"/>
        <v>RSKFA1 - Risk of understatement of fixed assets because assets acquired by the entity are not recorded.</v>
      </c>
      <c r="I22" s="645" t="s">
        <v>722</v>
      </c>
      <c r="J22" s="645" t="s">
        <v>2079</v>
      </c>
      <c r="K22" s="645" t="s">
        <v>2096</v>
      </c>
      <c r="T22" s="290">
        <f t="shared" si="4"/>
        <v>104</v>
      </c>
    </row>
    <row r="23" spans="2:20" ht="39.6" hidden="1" x14ac:dyDescent="0.3">
      <c r="B23" s="334" t="s">
        <v>24</v>
      </c>
      <c r="C23" s="334" t="s">
        <v>25</v>
      </c>
      <c r="D23" s="334" t="str">
        <f t="shared" si="5"/>
        <v>V</v>
      </c>
      <c r="E23" s="334" t="str">
        <f t="shared" si="1"/>
        <v>OK</v>
      </c>
      <c r="F23" s="334" t="s">
        <v>1872</v>
      </c>
      <c r="G23" s="334" t="str">
        <f t="shared" si="2"/>
        <v>VRSKFA3 - Risk of understatement of fixed assets because fixed assets purchased have been expensed and not capitalised.</v>
      </c>
      <c r="H23" s="334" t="str">
        <f t="shared" si="3"/>
        <v>RSKFA3 - Risk of understatement of fixed assets because fixed assets purchased have been expensed and not capitalised.</v>
      </c>
      <c r="I23" s="645" t="s">
        <v>724</v>
      </c>
      <c r="J23" s="645" t="s">
        <v>2098</v>
      </c>
      <c r="K23" s="334" t="s">
        <v>1500</v>
      </c>
      <c r="T23" s="290">
        <f t="shared" si="4"/>
        <v>119</v>
      </c>
    </row>
    <row r="24" spans="2:20" ht="39.6" hidden="1" x14ac:dyDescent="0.3">
      <c r="B24" s="334" t="s">
        <v>24</v>
      </c>
      <c r="C24" s="334" t="s">
        <v>25</v>
      </c>
      <c r="D24" s="334" t="str">
        <f t="shared" si="5"/>
        <v>V</v>
      </c>
      <c r="E24" s="334" t="str">
        <f t="shared" si="1"/>
        <v>OK</v>
      </c>
      <c r="F24" s="334" t="s">
        <v>1876</v>
      </c>
      <c r="G24" s="334" t="str">
        <f t="shared" si="2"/>
        <v>VRSKFA4 - Risk of overstatement of fixed assets because repairs and maintenance expenses have been incorrectly capitalised as fixed assets.</v>
      </c>
      <c r="H24" s="334" t="str">
        <f t="shared" si="3"/>
        <v>RSKFA4 - Risk of overstatement of fixed assets because repairs and maintenance expenses have been incorrectly capitalised as fixed assets.</v>
      </c>
      <c r="I24" s="645" t="s">
        <v>1503</v>
      </c>
      <c r="J24" s="645" t="s">
        <v>2099</v>
      </c>
      <c r="K24" s="645" t="s">
        <v>2100</v>
      </c>
      <c r="T24" s="290">
        <f t="shared" si="4"/>
        <v>139</v>
      </c>
    </row>
    <row r="25" spans="2:20" ht="52.8" hidden="1" x14ac:dyDescent="0.3">
      <c r="B25" s="334" t="s">
        <v>24</v>
      </c>
      <c r="C25" s="334" t="s">
        <v>25</v>
      </c>
      <c r="D25" s="334" t="str">
        <f t="shared" si="5"/>
        <v>V</v>
      </c>
      <c r="E25" s="334" t="str">
        <f t="shared" si="1"/>
        <v>OK</v>
      </c>
      <c r="F25" s="334" t="s">
        <v>1882</v>
      </c>
      <c r="G25" s="334" t="str">
        <f t="shared" si="2"/>
        <v>VRSKFA6 - Risk of misstatement of fixed assets because initial measurement, subsequent measurement and impairment testing of fixed assets have not been done in the manner specified in the financial reporting framework</v>
      </c>
      <c r="H25" s="334" t="str">
        <f t="shared" si="3"/>
        <v>RSKFA6 - Risk of misstatement of fixed assets because initial measurement, subsequent measurement and impairment testing of fixed assets have not been done in the manner specified in the financial reporting framework</v>
      </c>
      <c r="I25" s="645" t="s">
        <v>1508</v>
      </c>
      <c r="J25" s="334" t="s">
        <v>1502</v>
      </c>
      <c r="K25" s="645" t="s">
        <v>2102</v>
      </c>
      <c r="T25" s="290">
        <f t="shared" si="4"/>
        <v>217</v>
      </c>
    </row>
    <row r="26" spans="2:20" ht="39.6" x14ac:dyDescent="0.3">
      <c r="B26" s="334" t="s">
        <v>24</v>
      </c>
      <c r="C26" s="334" t="s">
        <v>25</v>
      </c>
      <c r="D26" s="334" t="str">
        <f t="shared" si="5"/>
        <v>V</v>
      </c>
      <c r="E26" s="334" t="str">
        <f t="shared" si="1"/>
        <v>OK</v>
      </c>
      <c r="F26" s="334" t="s">
        <v>1869</v>
      </c>
      <c r="G26" s="334" t="str">
        <f t="shared" si="2"/>
        <v>VRSKFA2 - Risk of understatement of fixed assets because assets in use and still owned by the entity have been wrongly recorded as disposed.</v>
      </c>
      <c r="H26" s="334" t="str">
        <f t="shared" si="3"/>
        <v>RSKFA2 - Risk of understatement of fixed assets because assets in use and still owned by the entity have been wrongly recorded as disposed.</v>
      </c>
      <c r="I26" s="645" t="s">
        <v>723</v>
      </c>
      <c r="J26" s="334" t="s">
        <v>2081</v>
      </c>
      <c r="K26" s="645" t="s">
        <v>2097</v>
      </c>
      <c r="T26" s="290">
        <f t="shared" si="4"/>
        <v>140</v>
      </c>
    </row>
    <row r="27" spans="2:20" ht="26.4" hidden="1" x14ac:dyDescent="0.3">
      <c r="B27" s="334" t="s">
        <v>190</v>
      </c>
      <c r="C27" s="334" t="s">
        <v>19</v>
      </c>
      <c r="D27" s="334" t="str">
        <f t="shared" si="5"/>
        <v>C</v>
      </c>
      <c r="E27" s="334" t="str">
        <f t="shared" si="1"/>
        <v>OK</v>
      </c>
      <c r="F27" s="334" t="s">
        <v>1904</v>
      </c>
      <c r="G27" s="334" t="str">
        <f t="shared" si="2"/>
        <v>CRSKCB6 - Risk of understatement of Bank because interest accrued in the bank accounts have not been recorded by the entity.</v>
      </c>
      <c r="H27" s="334" t="str">
        <f t="shared" si="3"/>
        <v>RSKCB6 - Risk of understatement of Bank because interest accrued in the bank accounts have not been recorded by the entity.</v>
      </c>
      <c r="I27" s="645" t="s">
        <v>740</v>
      </c>
      <c r="J27" s="645" t="s">
        <v>2074</v>
      </c>
      <c r="K27" s="645" t="s">
        <v>2076</v>
      </c>
      <c r="T27" s="290">
        <f t="shared" ref="T27:T45" si="6">LEN(G27)</f>
        <v>124</v>
      </c>
    </row>
    <row r="28" spans="2:20" ht="39.6" hidden="1" x14ac:dyDescent="0.3">
      <c r="B28" s="646" t="s">
        <v>190</v>
      </c>
      <c r="C28" s="646" t="s">
        <v>19</v>
      </c>
      <c r="D28" s="334" t="str">
        <f t="shared" si="5"/>
        <v>C</v>
      </c>
      <c r="E28" s="334" t="str">
        <f t="shared" si="1"/>
        <v>OK</v>
      </c>
      <c r="F28" s="334" t="s">
        <v>2063</v>
      </c>
      <c r="G28" s="334" t="str">
        <f t="shared" si="2"/>
        <v>CRSKCB4 - Risk of overstatement of bank balance (Eg: non-existent bank receipts have been recorded, bank payments or charges omitted to be recorded etc)</v>
      </c>
      <c r="H28" s="334" t="str">
        <f t="shared" si="3"/>
        <v>RSKCB4 - Risk of overstatement of bank balance (Eg: non-existent bank receipts have been recorded, bank payments or charges omitted to be recorded etc)</v>
      </c>
      <c r="I28" s="645" t="s">
        <v>1524</v>
      </c>
      <c r="J28" s="645" t="s">
        <v>2075</v>
      </c>
      <c r="K28" s="645" t="s">
        <v>2076</v>
      </c>
      <c r="T28" s="290">
        <f t="shared" si="6"/>
        <v>152</v>
      </c>
    </row>
    <row r="29" spans="2:20" ht="39.6" hidden="1" x14ac:dyDescent="0.3">
      <c r="B29" s="646" t="s">
        <v>190</v>
      </c>
      <c r="C29" s="646" t="s">
        <v>19</v>
      </c>
      <c r="D29" s="334" t="str">
        <f t="shared" si="5"/>
        <v>C</v>
      </c>
      <c r="E29" s="334" t="str">
        <f t="shared" si="1"/>
        <v>OK</v>
      </c>
      <c r="F29" s="334" t="s">
        <v>1901</v>
      </c>
      <c r="G29" s="334" t="str">
        <f t="shared" si="2"/>
        <v>CRSKCB5 - Risk of understatement of bank balance (Eg: non-existent bank payments recorded, bank receipts omitted to be recorded etc)</v>
      </c>
      <c r="H29" s="334" t="str">
        <f t="shared" si="3"/>
        <v>RSKCB5 - Risk of understatement of bank balance (Eg: non-existent bank payments recorded, bank receipts omitted to be recorded etc)</v>
      </c>
      <c r="I29" s="645" t="s">
        <v>1529</v>
      </c>
      <c r="J29" s="645" t="s">
        <v>2075</v>
      </c>
      <c r="K29" s="645" t="s">
        <v>2076</v>
      </c>
      <c r="T29" s="290">
        <f t="shared" si="6"/>
        <v>132</v>
      </c>
    </row>
    <row r="30" spans="2:20" ht="39.6" hidden="1" x14ac:dyDescent="0.3">
      <c r="B30" s="334" t="s">
        <v>190</v>
      </c>
      <c r="C30" s="334" t="s">
        <v>26</v>
      </c>
      <c r="D30" s="334" t="str">
        <f t="shared" si="5"/>
        <v>E</v>
      </c>
      <c r="E30" s="334" t="str">
        <f t="shared" si="1"/>
        <v>OK</v>
      </c>
      <c r="F30" s="334" t="s">
        <v>1888</v>
      </c>
      <c r="G30" s="334" t="str">
        <f t="shared" si="2"/>
        <v>ERSKCB1 - Risk of overstatement of Cash balance (Eg: non-existent cash receipts have been recorded, cash payments omited to be recorded etc.)</v>
      </c>
      <c r="H30" s="334" t="str">
        <f t="shared" si="3"/>
        <v>RSKCB1 - Risk of overstatement of Cash balance (Eg: non-existent cash receipts have been recorded, cash payments omited to be recorded etc.)</v>
      </c>
      <c r="I30" s="645" t="s">
        <v>1514</v>
      </c>
      <c r="J30" s="604" t="s">
        <v>1516</v>
      </c>
      <c r="K30" s="645" t="s">
        <v>2072</v>
      </c>
      <c r="T30" s="290">
        <f t="shared" si="6"/>
        <v>141</v>
      </c>
    </row>
    <row r="31" spans="2:20" ht="39.6" hidden="1" x14ac:dyDescent="0.3">
      <c r="B31" s="334" t="s">
        <v>190</v>
      </c>
      <c r="C31" s="334" t="s">
        <v>26</v>
      </c>
      <c r="D31" s="334" t="str">
        <f t="shared" si="5"/>
        <v>E</v>
      </c>
      <c r="E31" s="334" t="str">
        <f t="shared" si="1"/>
        <v>OK</v>
      </c>
      <c r="F31" s="334" t="s">
        <v>1891</v>
      </c>
      <c r="G31" s="334" t="str">
        <f t="shared" si="2"/>
        <v>ERSKCB2 - Risk of understatement of Cash balance (Eg: non-existent cash payments have been recorded, cash receipts omited to be recorded etc.)</v>
      </c>
      <c r="H31" s="334" t="str">
        <f t="shared" si="3"/>
        <v>RSKCB2 - Risk of understatement of Cash balance (Eg: non-existent cash payments have been recorded, cash receipts omited to be recorded etc.)</v>
      </c>
      <c r="I31" s="645" t="s">
        <v>1519</v>
      </c>
      <c r="J31" s="334" t="s">
        <v>1516</v>
      </c>
      <c r="K31" s="645" t="s">
        <v>2072</v>
      </c>
      <c r="T31" s="290">
        <f t="shared" si="6"/>
        <v>142</v>
      </c>
    </row>
    <row r="32" spans="2:20" ht="39.6" hidden="1" x14ac:dyDescent="0.3">
      <c r="B32" s="334" t="s">
        <v>190</v>
      </c>
      <c r="C32" s="334" t="s">
        <v>26</v>
      </c>
      <c r="D32" s="334" t="str">
        <f t="shared" si="5"/>
        <v>E</v>
      </c>
      <c r="E32" s="334" t="str">
        <f t="shared" si="1"/>
        <v>OK</v>
      </c>
      <c r="F32" s="334" t="s">
        <v>1894</v>
      </c>
      <c r="G32" s="334" t="str">
        <f t="shared" si="2"/>
        <v>ERSKCB3 - Risk of misstatement of Cash because cash on hand has been misappropriated / stolen.</v>
      </c>
      <c r="H32" s="334" t="str">
        <f t="shared" si="3"/>
        <v>RSKCB3 - Risk of misstatement of Cash because cash on hand has been misappropriated / stolen.</v>
      </c>
      <c r="I32" s="645" t="s">
        <v>1520</v>
      </c>
      <c r="J32" s="645" t="s">
        <v>2071</v>
      </c>
      <c r="K32" s="645" t="s">
        <v>2073</v>
      </c>
      <c r="T32" s="290">
        <f t="shared" si="6"/>
        <v>94</v>
      </c>
    </row>
    <row r="33" spans="2:20" ht="39.6" hidden="1" x14ac:dyDescent="0.3">
      <c r="B33" s="334" t="s">
        <v>190</v>
      </c>
      <c r="C33" s="334" t="s">
        <v>26</v>
      </c>
      <c r="D33" s="334" t="str">
        <f t="shared" si="5"/>
        <v>E</v>
      </c>
      <c r="E33" s="334" t="str">
        <f t="shared" si="1"/>
        <v>OK</v>
      </c>
      <c r="F33" s="334" t="s">
        <v>1896</v>
      </c>
      <c r="G33" s="334" t="str">
        <f t="shared" si="2"/>
        <v>ERSKCB4 - Risk of overstatement of bank balance (Eg: non-existent bank receipts have been recorded, bank payments or charges omitted to be recorded etc)</v>
      </c>
      <c r="H33" s="334" t="str">
        <f t="shared" si="3"/>
        <v>RSKCB4 - Risk of overstatement of bank balance (Eg: non-existent bank receipts have been recorded, bank payments or charges omitted to be recorded etc)</v>
      </c>
      <c r="I33" s="645" t="s">
        <v>1524</v>
      </c>
      <c r="J33" s="645" t="s">
        <v>2075</v>
      </c>
      <c r="K33" s="645" t="s">
        <v>2076</v>
      </c>
      <c r="T33" s="290">
        <f t="shared" si="6"/>
        <v>152</v>
      </c>
    </row>
    <row r="34" spans="2:20" ht="39.6" hidden="1" x14ac:dyDescent="0.3">
      <c r="B34" s="334" t="s">
        <v>190</v>
      </c>
      <c r="C34" s="334" t="s">
        <v>26</v>
      </c>
      <c r="D34" s="334" t="str">
        <f t="shared" si="5"/>
        <v>E</v>
      </c>
      <c r="E34" s="334" t="str">
        <f t="shared" si="1"/>
        <v>OK</v>
      </c>
      <c r="F34" s="334" t="s">
        <v>1899</v>
      </c>
      <c r="G34" s="334" t="str">
        <f t="shared" si="2"/>
        <v>ERSKCB5 - Risk of understatement of bank balance (Eg: non-existent bank payments recorded, bank receipts omitted to be recorded etc)</v>
      </c>
      <c r="H34" s="334" t="str">
        <f t="shared" si="3"/>
        <v>RSKCB5 - Risk of understatement of bank balance (Eg: non-existent bank payments recorded, bank receipts omitted to be recorded etc)</v>
      </c>
      <c r="I34" s="645" t="s">
        <v>1529</v>
      </c>
      <c r="J34" s="645" t="s">
        <v>2075</v>
      </c>
      <c r="K34" s="645" t="s">
        <v>2076</v>
      </c>
      <c r="T34" s="290">
        <f t="shared" si="6"/>
        <v>132</v>
      </c>
    </row>
    <row r="35" spans="2:20" ht="26.4" hidden="1" x14ac:dyDescent="0.3">
      <c r="B35" s="334" t="s">
        <v>190</v>
      </c>
      <c r="C35" s="334" t="s">
        <v>1886</v>
      </c>
      <c r="D35" s="334" t="str">
        <f t="shared" si="5"/>
        <v>R</v>
      </c>
      <c r="E35" s="334" t="str">
        <f t="shared" si="1"/>
        <v>OK</v>
      </c>
      <c r="F35" s="334" t="s">
        <v>1903</v>
      </c>
      <c r="G35" s="334" t="str">
        <f t="shared" si="2"/>
        <v>RRSKCB6 - Risk of understatement of Bank because interest accrued in the bank accounts have not been recorded by the entity.</v>
      </c>
      <c r="H35" s="334" t="str">
        <f t="shared" si="3"/>
        <v>RSKCB6 - Risk of understatement of Bank because interest accrued in the bank accounts have not been recorded by the entity.</v>
      </c>
      <c r="I35" s="645" t="s">
        <v>740</v>
      </c>
      <c r="J35" s="645" t="s">
        <v>2074</v>
      </c>
      <c r="K35" s="645" t="s">
        <v>2076</v>
      </c>
      <c r="T35" s="290">
        <f t="shared" si="6"/>
        <v>124</v>
      </c>
    </row>
    <row r="36" spans="2:20" ht="39.6" hidden="1" x14ac:dyDescent="0.3">
      <c r="B36" s="334" t="s">
        <v>190</v>
      </c>
      <c r="C36" s="334" t="s">
        <v>1886</v>
      </c>
      <c r="D36" s="334" t="str">
        <f t="shared" si="5"/>
        <v>R</v>
      </c>
      <c r="E36" s="334" t="str">
        <f t="shared" ref="E36:E67" si="7">IF(MID(G36,2,1)="R", "OK","CHECK")</f>
        <v>OK</v>
      </c>
      <c r="F36" s="334" t="s">
        <v>1889</v>
      </c>
      <c r="G36" s="334" t="str">
        <f t="shared" ref="G36:G67" si="8">TRIM(F36)</f>
        <v>RRSKCB1 - Risk of overstatement of Cash balance (Eg: non-existent cash receipts have been recorded, cash payments omited to be recorded etc.)</v>
      </c>
      <c r="H36" s="334" t="str">
        <f t="shared" ref="H36:H67" si="9">MID(G36,LEN(D36)+1,T36-LEN(D36))</f>
        <v>RSKCB1 - Risk of overstatement of Cash balance (Eg: non-existent cash receipts have been recorded, cash payments omited to be recorded etc.)</v>
      </c>
      <c r="I36" s="645" t="s">
        <v>1514</v>
      </c>
      <c r="J36" s="604" t="s">
        <v>1516</v>
      </c>
      <c r="K36" s="645" t="s">
        <v>2072</v>
      </c>
      <c r="T36" s="290">
        <f t="shared" si="6"/>
        <v>141</v>
      </c>
    </row>
    <row r="37" spans="2:20" ht="39.6" hidden="1" x14ac:dyDescent="0.3">
      <c r="B37" s="334" t="s">
        <v>190</v>
      </c>
      <c r="C37" s="334" t="s">
        <v>1886</v>
      </c>
      <c r="D37" s="334" t="str">
        <f t="shared" si="5"/>
        <v>R</v>
      </c>
      <c r="E37" s="334" t="str">
        <f t="shared" si="7"/>
        <v>OK</v>
      </c>
      <c r="F37" s="334" t="s">
        <v>1892</v>
      </c>
      <c r="G37" s="334" t="str">
        <f t="shared" si="8"/>
        <v>RRSKCB2 - Risk of understatement of Cash balance (Eg: non-existent cash payments have been recorded, cash receipts omited to be recorded etc.)</v>
      </c>
      <c r="H37" s="334" t="str">
        <f t="shared" si="9"/>
        <v>RSKCB2 - Risk of understatement of Cash balance (Eg: non-existent cash payments have been recorded, cash receipts omited to be recorded etc.)</v>
      </c>
      <c r="I37" s="645" t="s">
        <v>1519</v>
      </c>
      <c r="J37" s="334" t="s">
        <v>1516</v>
      </c>
      <c r="K37" s="645" t="s">
        <v>2072</v>
      </c>
      <c r="T37" s="290">
        <f t="shared" si="6"/>
        <v>142</v>
      </c>
    </row>
    <row r="38" spans="2:20" ht="39.6" hidden="1" x14ac:dyDescent="0.3">
      <c r="B38" s="334" t="s">
        <v>190</v>
      </c>
      <c r="C38" s="334" t="s">
        <v>1886</v>
      </c>
      <c r="D38" s="334" t="str">
        <f t="shared" si="5"/>
        <v>R</v>
      </c>
      <c r="E38" s="334" t="str">
        <f t="shared" si="7"/>
        <v>OK</v>
      </c>
      <c r="F38" s="334" t="s">
        <v>1895</v>
      </c>
      <c r="G38" s="334" t="str">
        <f t="shared" si="8"/>
        <v>RRSKCB3 - Risk of misstatement of Cash because cash on hand has been misappropriated / stolen.</v>
      </c>
      <c r="H38" s="334" t="str">
        <f t="shared" si="9"/>
        <v>RSKCB3 - Risk of misstatement of Cash because cash on hand has been misappropriated / stolen.</v>
      </c>
      <c r="I38" s="645" t="s">
        <v>1520</v>
      </c>
      <c r="J38" s="645" t="s">
        <v>2071</v>
      </c>
      <c r="K38" s="645" t="s">
        <v>2073</v>
      </c>
      <c r="T38" s="290">
        <f t="shared" si="6"/>
        <v>94</v>
      </c>
    </row>
    <row r="39" spans="2:20" ht="39.6" hidden="1" x14ac:dyDescent="0.3">
      <c r="B39" s="334" t="s">
        <v>190</v>
      </c>
      <c r="C39" s="334" t="s">
        <v>1886</v>
      </c>
      <c r="D39" s="334" t="str">
        <f t="shared" si="5"/>
        <v>R</v>
      </c>
      <c r="E39" s="334" t="str">
        <f t="shared" si="7"/>
        <v>OK</v>
      </c>
      <c r="F39" s="334" t="s">
        <v>1897</v>
      </c>
      <c r="G39" s="334" t="str">
        <f t="shared" si="8"/>
        <v>RRSKCB4 - Risk of overstatement of bank balance (Eg: non-existent bank receipts have been recorded, bank payments or charges omitted to be recorded etc)</v>
      </c>
      <c r="H39" s="334" t="str">
        <f t="shared" si="9"/>
        <v>RSKCB4 - Risk of overstatement of bank balance (Eg: non-existent bank receipts have been recorded, bank payments or charges omitted to be recorded etc)</v>
      </c>
      <c r="I39" s="645" t="s">
        <v>1524</v>
      </c>
      <c r="J39" s="645" t="s">
        <v>2075</v>
      </c>
      <c r="K39" s="645" t="s">
        <v>2076</v>
      </c>
      <c r="T39" s="290">
        <f t="shared" si="6"/>
        <v>152</v>
      </c>
    </row>
    <row r="40" spans="2:20" ht="39.6" hidden="1" x14ac:dyDescent="0.3">
      <c r="B40" s="334" t="s">
        <v>190</v>
      </c>
      <c r="C40" s="334" t="s">
        <v>1886</v>
      </c>
      <c r="D40" s="334" t="str">
        <f t="shared" si="5"/>
        <v>R</v>
      </c>
      <c r="E40" s="334" t="str">
        <f t="shared" si="7"/>
        <v>OK</v>
      </c>
      <c r="F40" s="334" t="s">
        <v>1900</v>
      </c>
      <c r="G40" s="334" t="str">
        <f t="shared" si="8"/>
        <v>RRSKCB5 - Risk of understatement of bank balance (Eg: non-existent bank payments recorded, bank receipts omitted to be recorded etc)</v>
      </c>
      <c r="H40" s="334" t="str">
        <f t="shared" si="9"/>
        <v>RSKCB5 - Risk of understatement of bank balance (Eg: non-existent bank payments recorded, bank receipts omitted to be recorded etc)</v>
      </c>
      <c r="I40" s="645" t="s">
        <v>1529</v>
      </c>
      <c r="J40" s="645" t="s">
        <v>2075</v>
      </c>
      <c r="K40" s="645" t="s">
        <v>2076</v>
      </c>
      <c r="T40" s="290">
        <f t="shared" si="6"/>
        <v>132</v>
      </c>
    </row>
    <row r="41" spans="2:20" ht="39.6" hidden="1" x14ac:dyDescent="0.3">
      <c r="B41" s="334" t="s">
        <v>190</v>
      </c>
      <c r="C41" s="334" t="s">
        <v>25</v>
      </c>
      <c r="D41" s="334" t="str">
        <f t="shared" si="5"/>
        <v>V</v>
      </c>
      <c r="E41" s="334" t="str">
        <f t="shared" si="7"/>
        <v>OK</v>
      </c>
      <c r="F41" s="334" t="s">
        <v>1890</v>
      </c>
      <c r="G41" s="334" t="str">
        <f t="shared" si="8"/>
        <v>VRSKCB1 - Risk of overstatement of Cash balance (Eg: non-existent cash receipts have been recorded, cash payments omited to be recorded etc.)</v>
      </c>
      <c r="H41" s="334" t="str">
        <f t="shared" si="9"/>
        <v>RSKCB1 - Risk of overstatement of Cash balance (Eg: non-existent cash receipts have been recorded, cash payments omited to be recorded etc.)</v>
      </c>
      <c r="I41" s="645" t="s">
        <v>1514</v>
      </c>
      <c r="J41" s="604" t="s">
        <v>1516</v>
      </c>
      <c r="K41" s="645" t="s">
        <v>2072</v>
      </c>
      <c r="T41" s="290">
        <f t="shared" si="6"/>
        <v>141</v>
      </c>
    </row>
    <row r="42" spans="2:20" ht="39.6" hidden="1" x14ac:dyDescent="0.3">
      <c r="B42" s="334" t="s">
        <v>190</v>
      </c>
      <c r="C42" s="334" t="s">
        <v>25</v>
      </c>
      <c r="D42" s="334" t="str">
        <f t="shared" si="5"/>
        <v>V</v>
      </c>
      <c r="E42" s="334" t="str">
        <f t="shared" si="7"/>
        <v>OK</v>
      </c>
      <c r="F42" s="334" t="s">
        <v>1893</v>
      </c>
      <c r="G42" s="334" t="str">
        <f t="shared" si="8"/>
        <v>VRSKCB2 - Risk of understatement of Cash balance (Eg: non-existent cash payments have been recorded, cash receipts omited to be recorded etc.)</v>
      </c>
      <c r="H42" s="334" t="str">
        <f t="shared" si="9"/>
        <v>RSKCB2 - Risk of understatement of Cash balance (Eg: non-existent cash payments have been recorded, cash receipts omited to be recorded etc.)</v>
      </c>
      <c r="I42" s="645" t="s">
        <v>1519</v>
      </c>
      <c r="J42" s="334" t="s">
        <v>1516</v>
      </c>
      <c r="K42" s="645" t="s">
        <v>2072</v>
      </c>
      <c r="T42" s="290">
        <f t="shared" si="6"/>
        <v>142</v>
      </c>
    </row>
    <row r="43" spans="2:20" ht="39.6" hidden="1" x14ac:dyDescent="0.3">
      <c r="B43" s="646" t="s">
        <v>190</v>
      </c>
      <c r="C43" s="646" t="s">
        <v>25</v>
      </c>
      <c r="D43" s="334" t="str">
        <f t="shared" si="5"/>
        <v>V</v>
      </c>
      <c r="E43" s="334" t="str">
        <f t="shared" si="7"/>
        <v>OK</v>
      </c>
      <c r="F43" s="334" t="s">
        <v>1902</v>
      </c>
      <c r="G43" s="334" t="str">
        <f t="shared" si="8"/>
        <v>VRSKCB5 - Risk of understatement of bank balance (Eg: non-existent bank payments recorded, bank receipts omitted to be recorded etc)</v>
      </c>
      <c r="H43" s="334" t="str">
        <f t="shared" si="9"/>
        <v>RSKCB5 - Risk of understatement of bank balance (Eg: non-existent bank payments recorded, bank receipts omitted to be recorded etc)</v>
      </c>
      <c r="I43" s="645" t="s">
        <v>1529</v>
      </c>
      <c r="J43" s="645" t="s">
        <v>2075</v>
      </c>
      <c r="K43" s="645" t="s">
        <v>2076</v>
      </c>
      <c r="T43" s="290">
        <f t="shared" si="6"/>
        <v>132</v>
      </c>
    </row>
    <row r="44" spans="2:20" ht="26.4" hidden="1" x14ac:dyDescent="0.3">
      <c r="B44" s="334" t="s">
        <v>190</v>
      </c>
      <c r="C44" s="334" t="s">
        <v>25</v>
      </c>
      <c r="D44" s="334" t="str">
        <f t="shared" si="5"/>
        <v>V</v>
      </c>
      <c r="E44" s="334" t="str">
        <f t="shared" si="7"/>
        <v>OK</v>
      </c>
      <c r="F44" s="334" t="s">
        <v>1905</v>
      </c>
      <c r="G44" s="334" t="str">
        <f t="shared" si="8"/>
        <v>VRSKCB6 - Risk of understatement of Bank because interest accrued in the bank accounts have not been recorded by the entity.</v>
      </c>
      <c r="H44" s="334" t="str">
        <f t="shared" si="9"/>
        <v>RSKCB6 - Risk of understatement of Bank because interest accrued in the bank accounts have not been recorded by the entity.</v>
      </c>
      <c r="I44" s="645" t="s">
        <v>740</v>
      </c>
      <c r="J44" s="645" t="s">
        <v>2074</v>
      </c>
      <c r="K44" s="645" t="s">
        <v>2076</v>
      </c>
      <c r="T44" s="290">
        <f t="shared" si="6"/>
        <v>124</v>
      </c>
    </row>
    <row r="45" spans="2:20" ht="39.6" hidden="1" x14ac:dyDescent="0.3">
      <c r="B45" s="334" t="s">
        <v>190</v>
      </c>
      <c r="C45" s="334" t="s">
        <v>25</v>
      </c>
      <c r="D45" s="334" t="str">
        <f t="shared" si="5"/>
        <v>V</v>
      </c>
      <c r="E45" s="334" t="str">
        <f t="shared" si="7"/>
        <v>OK</v>
      </c>
      <c r="F45" s="334" t="s">
        <v>1898</v>
      </c>
      <c r="G45" s="334" t="str">
        <f t="shared" si="8"/>
        <v>VRSKCB4 - Risk of overstatement of bank balance (Eg: non-existent bank receipts have been recorded, bank payments or charges omitted to be recorded etc)</v>
      </c>
      <c r="H45" s="334" t="str">
        <f t="shared" si="9"/>
        <v>RSKCB4 - Risk of overstatement of bank balance (Eg: non-existent bank receipts have been recorded, bank payments or charges omitted to be recorded etc)</v>
      </c>
      <c r="I45" s="645" t="s">
        <v>1524</v>
      </c>
      <c r="J45" s="645" t="s">
        <v>2075</v>
      </c>
      <c r="K45" s="645" t="s">
        <v>2076</v>
      </c>
      <c r="T45" s="290">
        <f t="shared" si="6"/>
        <v>152</v>
      </c>
    </row>
    <row r="46" spans="2:20" ht="39.6" hidden="1" x14ac:dyDescent="0.3">
      <c r="B46" s="334" t="s">
        <v>480</v>
      </c>
      <c r="C46" s="334" t="s">
        <v>326</v>
      </c>
      <c r="D46" s="334" t="str">
        <f t="shared" si="5"/>
        <v>A</v>
      </c>
      <c r="E46" s="334" t="str">
        <f t="shared" si="7"/>
        <v>OK</v>
      </c>
      <c r="F46" s="334" t="s">
        <v>1910</v>
      </c>
      <c r="G46" s="334" t="str">
        <f t="shared" si="8"/>
        <v>ARSKPAY2 - Risk of misstatement of payroll expense due to recording of payroll cost in the wrong period.</v>
      </c>
      <c r="H46" s="334" t="str">
        <f t="shared" si="9"/>
        <v>RSKPAY2 - Risk of misstatement of payroll expense due to recording of payroll cost in the wrong period.</v>
      </c>
      <c r="I46" s="645" t="s">
        <v>743</v>
      </c>
      <c r="J46" s="334" t="s">
        <v>1531</v>
      </c>
      <c r="K46" s="645" t="s">
        <v>2113</v>
      </c>
      <c r="T46" s="290">
        <f>LEN(G46)</f>
        <v>104</v>
      </c>
    </row>
    <row r="47" spans="2:20" ht="39.6" x14ac:dyDescent="0.3">
      <c r="B47" s="334" t="s">
        <v>480</v>
      </c>
      <c r="C47" s="334" t="s">
        <v>326</v>
      </c>
      <c r="D47" s="334" t="str">
        <f t="shared" si="5"/>
        <v>A</v>
      </c>
      <c r="E47" s="334" t="str">
        <f t="shared" si="7"/>
        <v>OK</v>
      </c>
      <c r="F47" s="334" t="s">
        <v>1913</v>
      </c>
      <c r="G47" s="334" t="str">
        <f t="shared" si="8"/>
        <v>ARSKPAY3 - Risk of understatement of payroll cost because the withheld taxes and other deductions are not recorded (i.e., payroll cost is recorded for net payroll and not gross payroll).</v>
      </c>
      <c r="H47" s="334" t="str">
        <f t="shared" si="9"/>
        <v>RSKPAY3 - Risk of understatement of payroll cost because the withheld taxes and other deductions are not recorded (i.e., payroll cost is recorded for net payroll and not gross payroll).</v>
      </c>
      <c r="I47" s="645" t="s">
        <v>744</v>
      </c>
      <c r="J47" s="334" t="s">
        <v>2081</v>
      </c>
      <c r="K47" s="334" t="s">
        <v>1794</v>
      </c>
      <c r="T47" s="290">
        <f t="shared" ref="T47:T60" si="10">LEN(G47)</f>
        <v>186</v>
      </c>
    </row>
    <row r="48" spans="2:20" ht="52.8" x14ac:dyDescent="0.3">
      <c r="B48" s="334" t="s">
        <v>480</v>
      </c>
      <c r="C48" s="334" t="s">
        <v>326</v>
      </c>
      <c r="D48" s="334" t="str">
        <f t="shared" si="5"/>
        <v>A</v>
      </c>
      <c r="E48" s="334" t="str">
        <f t="shared" si="7"/>
        <v>OK</v>
      </c>
      <c r="F48" s="334" t="s">
        <v>1915</v>
      </c>
      <c r="G48" s="334" t="str">
        <f t="shared" si="8"/>
        <v>ARSKPAY4 - Risk of misstatement of Provident Fund and ESI expense recorded because the statutory rate of contribution applied is incorrect or contribution has not been calculated for all employees due to processing errors.</v>
      </c>
      <c r="H48" s="334" t="str">
        <f t="shared" si="9"/>
        <v>RSKPAY4 - Risk of misstatement of Provident Fund and ESI expense recorded because the statutory rate of contribution applied is incorrect or contribution has not been calculated for all employees due to processing errors.</v>
      </c>
      <c r="I48" s="645" t="s">
        <v>745</v>
      </c>
      <c r="J48" s="334" t="s">
        <v>2081</v>
      </c>
      <c r="K48" s="334" t="s">
        <v>1794</v>
      </c>
      <c r="T48" s="290">
        <f t="shared" si="10"/>
        <v>222</v>
      </c>
    </row>
    <row r="49" spans="2:20" ht="52.8" x14ac:dyDescent="0.3">
      <c r="B49" s="334" t="s">
        <v>480</v>
      </c>
      <c r="C49" s="334" t="s">
        <v>326</v>
      </c>
      <c r="D49" s="334" t="str">
        <f t="shared" si="5"/>
        <v>A</v>
      </c>
      <c r="E49" s="334" t="str">
        <f t="shared" si="7"/>
        <v>OK</v>
      </c>
      <c r="F49" s="334" t="s">
        <v>1917</v>
      </c>
      <c r="G49" s="334" t="str">
        <f t="shared" si="8"/>
        <v>ARSKPAY5 - Risk of misstatement of leave salary expense and accrual because the leave, salary and other relevant data provided for actuarial valuation is incorrect and disclosures required as per the financial reporting framework are not given</v>
      </c>
      <c r="H49" s="334" t="str">
        <f t="shared" si="9"/>
        <v>RSKPAY5 - Risk of misstatement of leave salary expense and accrual because the leave, salary and other relevant data provided for actuarial valuation is incorrect and disclosures required as per the financial reporting framework are not given</v>
      </c>
      <c r="I49" s="645" t="s">
        <v>1533</v>
      </c>
      <c r="J49" s="334" t="s">
        <v>2081</v>
      </c>
      <c r="K49" s="645" t="s">
        <v>1795</v>
      </c>
      <c r="T49" s="290">
        <f t="shared" si="10"/>
        <v>243</v>
      </c>
    </row>
    <row r="50" spans="2:20" ht="39.6" hidden="1" x14ac:dyDescent="0.3">
      <c r="B50" s="334" t="s">
        <v>480</v>
      </c>
      <c r="C50" s="334" t="s">
        <v>326</v>
      </c>
      <c r="D50" s="334" t="str">
        <f t="shared" si="5"/>
        <v>A</v>
      </c>
      <c r="E50" s="334" t="str">
        <f t="shared" si="7"/>
        <v>OK</v>
      </c>
      <c r="F50" s="334" t="s">
        <v>1908</v>
      </c>
      <c r="G50" s="334" t="str">
        <f t="shared" si="8"/>
        <v>ARSKPAY1 - Risk of misstatement of payroll expense due to recording of incorrect amount as payroll cost (i.e., due to updation of wrong salary cost in the payroll master file).</v>
      </c>
      <c r="H50" s="334" t="str">
        <f t="shared" si="9"/>
        <v>RSKPAY1 - Risk of misstatement of payroll expense due to recording of incorrect amount as payroll cost (i.e., due to updation of wrong salary cost in the payroll master file).</v>
      </c>
      <c r="I50" s="645" t="s">
        <v>742</v>
      </c>
      <c r="J50" s="334" t="s">
        <v>1531</v>
      </c>
      <c r="K50" s="645" t="s">
        <v>2113</v>
      </c>
      <c r="T50" s="290">
        <f t="shared" si="10"/>
        <v>176</v>
      </c>
    </row>
    <row r="51" spans="2:20" ht="39.6" x14ac:dyDescent="0.3">
      <c r="B51" s="334" t="s">
        <v>480</v>
      </c>
      <c r="C51" s="334" t="s">
        <v>19</v>
      </c>
      <c r="D51" s="334" t="str">
        <f t="shared" si="5"/>
        <v>C</v>
      </c>
      <c r="E51" s="334" t="str">
        <f t="shared" si="7"/>
        <v>OK</v>
      </c>
      <c r="F51" s="334" t="s">
        <v>1912</v>
      </c>
      <c r="G51" s="334" t="str">
        <f t="shared" si="8"/>
        <v>CRSKPAY3 - Risk of understatement of payroll cost because the withheld taxes and other deductions are not recorded (i.e., payroll cost is recorded for net payroll and not gross payroll).</v>
      </c>
      <c r="H51" s="334" t="str">
        <f t="shared" si="9"/>
        <v>RSKPAY3 - Risk of understatement of payroll cost because the withheld taxes and other deductions are not recorded (i.e., payroll cost is recorded for net payroll and not gross payroll).</v>
      </c>
      <c r="I51" s="645" t="s">
        <v>744</v>
      </c>
      <c r="J51" s="334" t="s">
        <v>2081</v>
      </c>
      <c r="K51" s="334" t="s">
        <v>1794</v>
      </c>
      <c r="T51" s="290">
        <f t="shared" si="10"/>
        <v>186</v>
      </c>
    </row>
    <row r="52" spans="2:20" ht="52.8" x14ac:dyDescent="0.3">
      <c r="B52" s="334" t="s">
        <v>480</v>
      </c>
      <c r="C52" s="334" t="s">
        <v>19</v>
      </c>
      <c r="D52" s="334" t="str">
        <f t="shared" si="5"/>
        <v>C</v>
      </c>
      <c r="E52" s="334" t="str">
        <f t="shared" si="7"/>
        <v>OK</v>
      </c>
      <c r="F52" s="334" t="s">
        <v>1914</v>
      </c>
      <c r="G52" s="334" t="str">
        <f t="shared" si="8"/>
        <v>CRSKPAY4 - Risk of misstatement of Provident Fund and ESI expense recorded because the statutory rate of contribution applied is incorrect or contribution has not been calculated for all employees due to processing errors.</v>
      </c>
      <c r="H52" s="334" t="str">
        <f t="shared" si="9"/>
        <v>RSKPAY4 - Risk of misstatement of Provident Fund and ESI expense recorded because the statutory rate of contribution applied is incorrect or contribution has not been calculated for all employees due to processing errors.</v>
      </c>
      <c r="I52" s="645" t="s">
        <v>745</v>
      </c>
      <c r="J52" s="334" t="s">
        <v>2081</v>
      </c>
      <c r="K52" s="334" t="s">
        <v>1794</v>
      </c>
      <c r="T52" s="290">
        <f t="shared" si="10"/>
        <v>222</v>
      </c>
    </row>
    <row r="53" spans="2:20" ht="52.8" x14ac:dyDescent="0.3">
      <c r="B53" s="334" t="s">
        <v>480</v>
      </c>
      <c r="C53" s="334" t="s">
        <v>19</v>
      </c>
      <c r="D53" s="334" t="str">
        <f t="shared" si="5"/>
        <v>C</v>
      </c>
      <c r="E53" s="334" t="str">
        <f t="shared" si="7"/>
        <v>OK</v>
      </c>
      <c r="F53" s="334" t="s">
        <v>1916</v>
      </c>
      <c r="G53" s="334" t="str">
        <f t="shared" si="8"/>
        <v>CRSKPAY5 - Risk of misstatement of leave salary expense and accrual because the leave, salary and other relevant data provided for actuarial valuation is incorrect and disclosures required as per the financial reporting framework are not given</v>
      </c>
      <c r="H53" s="334" t="str">
        <f t="shared" si="9"/>
        <v>RSKPAY5 - Risk of misstatement of leave salary expense and accrual because the leave, salary and other relevant data provided for actuarial valuation is incorrect and disclosures required as per the financial reporting framework are not given</v>
      </c>
      <c r="I53" s="645" t="s">
        <v>1533</v>
      </c>
      <c r="J53" s="334" t="s">
        <v>2081</v>
      </c>
      <c r="K53" s="645" t="s">
        <v>1795</v>
      </c>
      <c r="T53" s="290">
        <f t="shared" si="10"/>
        <v>243</v>
      </c>
    </row>
    <row r="54" spans="2:20" ht="39.6" hidden="1" x14ac:dyDescent="0.3">
      <c r="B54" s="334" t="s">
        <v>480</v>
      </c>
      <c r="C54" s="334" t="s">
        <v>19</v>
      </c>
      <c r="D54" s="334" t="str">
        <f t="shared" si="5"/>
        <v>C</v>
      </c>
      <c r="E54" s="334" t="str">
        <f t="shared" si="7"/>
        <v>OK</v>
      </c>
      <c r="F54" s="334" t="s">
        <v>1907</v>
      </c>
      <c r="G54" s="334" t="str">
        <f t="shared" si="8"/>
        <v>CRSKPAY1 - Risk of misstatement of payroll expense due to recording of incorrect amount as payroll cost (i.e., due to updation of wrong salary cost in the payroll master file).</v>
      </c>
      <c r="H54" s="334" t="str">
        <f t="shared" si="9"/>
        <v>RSKPAY1 - Risk of misstatement of payroll expense due to recording of incorrect amount as payroll cost (i.e., due to updation of wrong salary cost in the payroll master file).</v>
      </c>
      <c r="I54" s="645" t="s">
        <v>742</v>
      </c>
      <c r="J54" s="334" t="s">
        <v>1531</v>
      </c>
      <c r="K54" s="645" t="s">
        <v>2113</v>
      </c>
      <c r="T54" s="290">
        <f t="shared" si="10"/>
        <v>176</v>
      </c>
    </row>
    <row r="55" spans="2:20" ht="52.8" x14ac:dyDescent="0.3">
      <c r="B55" s="334" t="s">
        <v>480</v>
      </c>
      <c r="C55" s="334" t="s">
        <v>552</v>
      </c>
      <c r="D55" s="334" t="str">
        <f>LEFT(G55,2)</f>
        <v>CL</v>
      </c>
      <c r="E55" s="334" t="str">
        <f t="shared" si="7"/>
        <v>CHECK</v>
      </c>
      <c r="F55" s="334" t="s">
        <v>1919</v>
      </c>
      <c r="G55" s="334" t="str">
        <f t="shared" si="8"/>
        <v>CLRSKPAY6 - Risk that employee costs are not recorded in the correct ledgers according to their nature (direct wages, indirect costs, staff welfare etc) which could impact calculation of production overhead rates and consquently inventory valuation.</v>
      </c>
      <c r="H55" s="334" t="str">
        <f t="shared" si="9"/>
        <v>RSKPAY6 - Risk that employee costs are not recorded in the correct ledgers according to their nature (direct wages, indirect costs, staff welfare etc) which could impact calculation of production overhead rates and consquently inventory valuation.</v>
      </c>
      <c r="I55" s="645" t="s">
        <v>1789</v>
      </c>
      <c r="J55" s="334" t="s">
        <v>2081</v>
      </c>
      <c r="K55" s="645" t="s">
        <v>1790</v>
      </c>
      <c r="T55" s="290">
        <f t="shared" si="10"/>
        <v>249</v>
      </c>
    </row>
    <row r="56" spans="2:20" ht="52.8" x14ac:dyDescent="0.3">
      <c r="B56" s="334" t="s">
        <v>480</v>
      </c>
      <c r="C56" s="646" t="s">
        <v>552</v>
      </c>
      <c r="D56" s="334" t="str">
        <f>LEFT(G56,2)</f>
        <v>CL</v>
      </c>
      <c r="E56" s="334" t="str">
        <f t="shared" si="7"/>
        <v>CHECK</v>
      </c>
      <c r="F56" s="334" t="s">
        <v>1918</v>
      </c>
      <c r="G56" s="334" t="str">
        <f t="shared" si="8"/>
        <v>CLRSKPAY5 - Risk of misstatement of leave salary expense and accrual because the leave, salary and other relevant data provided for actuarial valuation is incorrect and disclosures required as per the financial reporting framework are not given</v>
      </c>
      <c r="H56" s="334" t="str">
        <f t="shared" si="9"/>
        <v>RSKPAY5 - Risk of misstatement of leave salary expense and accrual because the leave, salary and other relevant data provided for actuarial valuation is incorrect and disclosures required as per the financial reporting framework are not given</v>
      </c>
      <c r="I56" s="645" t="s">
        <v>1533</v>
      </c>
      <c r="J56" s="334" t="s">
        <v>2081</v>
      </c>
      <c r="K56" s="645" t="s">
        <v>1795</v>
      </c>
      <c r="T56" s="290">
        <f t="shared" si="10"/>
        <v>244</v>
      </c>
    </row>
    <row r="57" spans="2:20" ht="39.6" hidden="1" x14ac:dyDescent="0.3">
      <c r="B57" s="334" t="s">
        <v>480</v>
      </c>
      <c r="C57" s="334" t="s">
        <v>310</v>
      </c>
      <c r="D57" s="334" t="str">
        <f>LEFT(G57,2)</f>
        <v>CO</v>
      </c>
      <c r="E57" s="334" t="str">
        <f t="shared" si="7"/>
        <v>CHECK</v>
      </c>
      <c r="F57" s="334" t="s">
        <v>1911</v>
      </c>
      <c r="G57" s="334" t="str">
        <f t="shared" si="8"/>
        <v>CORSKPAY2 - Risk of misstatement of payroll expense due to recording of payroll cost in the wrong period.</v>
      </c>
      <c r="H57" s="334" t="str">
        <f t="shared" si="9"/>
        <v>RSKPAY2 - Risk of misstatement of payroll expense due to recording of payroll cost in the wrong period.</v>
      </c>
      <c r="I57" s="645" t="s">
        <v>743</v>
      </c>
      <c r="J57" s="334" t="s">
        <v>1531</v>
      </c>
      <c r="K57" s="645" t="s">
        <v>2113</v>
      </c>
      <c r="T57" s="290">
        <f t="shared" si="10"/>
        <v>105</v>
      </c>
    </row>
    <row r="58" spans="2:20" ht="39.6" hidden="1" x14ac:dyDescent="0.3">
      <c r="B58" s="646" t="s">
        <v>480</v>
      </c>
      <c r="C58" s="646" t="s">
        <v>310</v>
      </c>
      <c r="D58" s="334" t="str">
        <f>LEFT(G58,2)</f>
        <v>CO</v>
      </c>
      <c r="E58" s="334" t="str">
        <f t="shared" si="7"/>
        <v>CHECK</v>
      </c>
      <c r="F58" s="334" t="s">
        <v>1909</v>
      </c>
      <c r="G58" s="334" t="str">
        <f t="shared" si="8"/>
        <v>CORSKPAY1 - Risk of misstatement of payroll expense due to recording of incorrect amount as payroll cost (i.e., due to updation of wrong salary cost in the payroll master file).</v>
      </c>
      <c r="H58" s="334" t="str">
        <f t="shared" si="9"/>
        <v>RSKPAY1 - Risk of misstatement of payroll expense due to recording of incorrect amount as payroll cost (i.e., due to updation of wrong salary cost in the payroll master file).</v>
      </c>
      <c r="I58" s="645" t="s">
        <v>742</v>
      </c>
      <c r="J58" s="334" t="s">
        <v>1531</v>
      </c>
      <c r="K58" s="645" t="s">
        <v>2113</v>
      </c>
      <c r="T58" s="290">
        <f t="shared" si="10"/>
        <v>177</v>
      </c>
    </row>
    <row r="59" spans="2:20" ht="39.6" hidden="1" x14ac:dyDescent="0.3">
      <c r="B59" s="334" t="s">
        <v>480</v>
      </c>
      <c r="C59" s="334" t="s">
        <v>306</v>
      </c>
      <c r="D59" s="334" t="str">
        <f>LEFT(G59)</f>
        <v>O</v>
      </c>
      <c r="E59" s="334" t="str">
        <f t="shared" si="7"/>
        <v>OK</v>
      </c>
      <c r="F59" s="334" t="s">
        <v>1906</v>
      </c>
      <c r="G59" s="334" t="str">
        <f t="shared" si="8"/>
        <v>ORSKPAY1 - Risk of misstatement of payroll expense due to recording of incorrect amount as payroll cost (i.e., due to updation of wrong salary cost in the payroll master file).</v>
      </c>
      <c r="H59" s="334" t="str">
        <f t="shared" si="9"/>
        <v>RSKPAY1 - Risk of misstatement of payroll expense due to recording of incorrect amount as payroll cost (i.e., due to updation of wrong salary cost in the payroll master file).</v>
      </c>
      <c r="I59" s="645" t="s">
        <v>742</v>
      </c>
      <c r="J59" s="334" t="s">
        <v>1531</v>
      </c>
      <c r="K59" s="645" t="s">
        <v>2113</v>
      </c>
      <c r="T59" s="290">
        <f t="shared" si="10"/>
        <v>176</v>
      </c>
    </row>
    <row r="60" spans="2:20" ht="52.8" x14ac:dyDescent="0.3">
      <c r="B60" s="334" t="s">
        <v>480</v>
      </c>
      <c r="C60" s="334" t="s">
        <v>1812</v>
      </c>
      <c r="D60" s="334" t="str">
        <f>LEFT(G60,3)</f>
        <v>P&amp;D</v>
      </c>
      <c r="E60" s="334" t="str">
        <f t="shared" si="7"/>
        <v>CHECK</v>
      </c>
      <c r="F60" s="334" t="s">
        <v>1920</v>
      </c>
      <c r="G60" s="334" t="str">
        <f t="shared" si="8"/>
        <v>P&amp;DRSKPAY6 - Risk that employee costs are not recorded in the correct ledgers according to their nature (direct wages, indirect costs, staff welfare etc) which could impact calculation of production overhead rates and consquently inventory valuation.</v>
      </c>
      <c r="H60" s="334" t="str">
        <f t="shared" si="9"/>
        <v>RSKPAY6 - Risk that employee costs are not recorded in the correct ledgers according to their nature (direct wages, indirect costs, staff welfare etc) which could impact calculation of production overhead rates and consquently inventory valuation.</v>
      </c>
      <c r="I60" s="645" t="s">
        <v>1789</v>
      </c>
      <c r="J60" s="334" t="s">
        <v>2081</v>
      </c>
      <c r="K60" s="645" t="s">
        <v>1790</v>
      </c>
      <c r="T60" s="290">
        <f t="shared" si="10"/>
        <v>250</v>
      </c>
    </row>
    <row r="61" spans="2:20" ht="39.6" hidden="1" x14ac:dyDescent="0.3">
      <c r="B61" s="334" t="s">
        <v>63</v>
      </c>
      <c r="C61" s="334" t="s">
        <v>554</v>
      </c>
      <c r="D61" s="334" t="str">
        <f t="shared" ref="D61:D67" si="11">LEFT(G61)</f>
        <v>A</v>
      </c>
      <c r="E61" s="334" t="str">
        <f t="shared" si="7"/>
        <v>OK</v>
      </c>
      <c r="F61" s="334" t="s">
        <v>1929</v>
      </c>
      <c r="G61" s="334" t="str">
        <f t="shared" si="8"/>
        <v>ARSKINV3 - Risk of overstatement of Inventory because inventory is old, obsolete, damaged, not usable or is saleable at amounts less than that at which it is recorded.</v>
      </c>
      <c r="H61" s="334" t="str">
        <f t="shared" si="9"/>
        <v>RSKINV3 - Risk of overstatement of Inventory because inventory is old, obsolete, damaged, not usable or is saleable at amounts less than that at which it is recorded.</v>
      </c>
      <c r="I61" s="645" t="s">
        <v>1538</v>
      </c>
      <c r="J61" s="334" t="s">
        <v>1723</v>
      </c>
      <c r="K61" s="645" t="s">
        <v>2107</v>
      </c>
      <c r="T61" s="290">
        <f t="shared" ref="T61:T113" si="12">LEN(G61)</f>
        <v>167</v>
      </c>
    </row>
    <row r="62" spans="2:20" ht="66" x14ac:dyDescent="0.3">
      <c r="B62" s="334" t="s">
        <v>63</v>
      </c>
      <c r="C62" s="334" t="s">
        <v>554</v>
      </c>
      <c r="D62" s="334" t="str">
        <f t="shared" si="11"/>
        <v>A</v>
      </c>
      <c r="E62" s="334" t="str">
        <f t="shared" si="7"/>
        <v>OK</v>
      </c>
      <c r="F62" s="334" t="s">
        <v>1931</v>
      </c>
      <c r="G62" s="334" t="str">
        <f t="shared" si="8"/>
        <v>ARSKINV4 -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v>
      </c>
      <c r="H62" s="334" t="str">
        <f t="shared" si="9"/>
        <v>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v>
      </c>
      <c r="I62" s="645" t="s">
        <v>1541</v>
      </c>
      <c r="J62" s="334" t="s">
        <v>2081</v>
      </c>
      <c r="K62" s="334" t="s">
        <v>1542</v>
      </c>
      <c r="T62" s="290">
        <f t="shared" si="12"/>
        <v>311</v>
      </c>
    </row>
    <row r="63" spans="2:20" ht="39.6" x14ac:dyDescent="0.3">
      <c r="B63" s="334" t="s">
        <v>63</v>
      </c>
      <c r="C63" s="334" t="s">
        <v>554</v>
      </c>
      <c r="D63" s="334" t="str">
        <f t="shared" si="11"/>
        <v>A</v>
      </c>
      <c r="E63" s="334" t="str">
        <f t="shared" si="7"/>
        <v>OK</v>
      </c>
      <c r="F63" s="334" t="s">
        <v>1933</v>
      </c>
      <c r="G63" s="334" t="str">
        <f t="shared" si="8"/>
        <v>ARSKINV5 - Risk that inventory balances are intentionally misstated so as to ensure better working capital borrowing limits</v>
      </c>
      <c r="H63" s="334" t="str">
        <f t="shared" si="9"/>
        <v>RSKINV5 - Risk that inventory balances are intentionally misstated so as to ensure better working capital borrowing limits</v>
      </c>
      <c r="I63" s="645" t="s">
        <v>1543</v>
      </c>
      <c r="J63" s="334" t="s">
        <v>2081</v>
      </c>
      <c r="K63" s="645" t="s">
        <v>1545</v>
      </c>
      <c r="T63" s="290">
        <f t="shared" si="12"/>
        <v>123</v>
      </c>
    </row>
    <row r="64" spans="2:20" ht="39.6" hidden="1" x14ac:dyDescent="0.3">
      <c r="B64" s="334" t="s">
        <v>63</v>
      </c>
      <c r="C64" s="334" t="s">
        <v>19</v>
      </c>
      <c r="D64" s="334" t="str">
        <f t="shared" si="11"/>
        <v>C</v>
      </c>
      <c r="E64" s="334" t="str">
        <f t="shared" si="7"/>
        <v>OK</v>
      </c>
      <c r="F64" s="334" t="s">
        <v>1923</v>
      </c>
      <c r="G64" s="334" t="str">
        <f t="shared" si="8"/>
        <v>CRSKINV1 - Risk of understatement of Inventory because inventory on hand and inventory received from suppliers are not included in inventory records.</v>
      </c>
      <c r="H64" s="334" t="str">
        <f t="shared" si="9"/>
        <v>RSKINV1 - Risk of understatement of Inventory because inventory on hand and inventory received from suppliers are not included in inventory records.</v>
      </c>
      <c r="I64" s="645" t="s">
        <v>747</v>
      </c>
      <c r="J64" s="334" t="s">
        <v>1535</v>
      </c>
      <c r="K64" s="645" t="s">
        <v>2106</v>
      </c>
      <c r="T64" s="290">
        <f t="shared" si="12"/>
        <v>149</v>
      </c>
    </row>
    <row r="65" spans="2:20" ht="26.4" hidden="1" x14ac:dyDescent="0.3">
      <c r="B65" s="334" t="s">
        <v>63</v>
      </c>
      <c r="C65" s="334" t="s">
        <v>19</v>
      </c>
      <c r="D65" s="334" t="str">
        <f t="shared" si="11"/>
        <v>C</v>
      </c>
      <c r="E65" s="334" t="str">
        <f t="shared" si="7"/>
        <v>OK</v>
      </c>
      <c r="F65" s="334" t="s">
        <v>1927</v>
      </c>
      <c r="G65" s="334" t="str">
        <f t="shared" si="8"/>
        <v>CRSKINV2 - Risk of overstatement of Inventory because inventory records include inventory that has been sold to customers / consumed.</v>
      </c>
      <c r="H65" s="334" t="str">
        <f t="shared" si="9"/>
        <v>RSKINV2 - Risk of overstatement of Inventory because inventory records include inventory that has been sold to customers / consumed.</v>
      </c>
      <c r="I65" s="645" t="s">
        <v>748</v>
      </c>
      <c r="J65" s="334" t="s">
        <v>1535</v>
      </c>
      <c r="K65" s="645" t="s">
        <v>2106</v>
      </c>
      <c r="T65" s="290">
        <f t="shared" si="12"/>
        <v>133</v>
      </c>
    </row>
    <row r="66" spans="2:20" ht="39.6" hidden="1" x14ac:dyDescent="0.3">
      <c r="B66" s="334" t="s">
        <v>63</v>
      </c>
      <c r="C66" s="334" t="s">
        <v>26</v>
      </c>
      <c r="D66" s="334" t="str">
        <f t="shared" si="11"/>
        <v>E</v>
      </c>
      <c r="E66" s="334" t="str">
        <f t="shared" si="7"/>
        <v>OK</v>
      </c>
      <c r="F66" s="334" t="s">
        <v>1921</v>
      </c>
      <c r="G66" s="334" t="str">
        <f t="shared" si="8"/>
        <v>ERSKINV1 - Risk of understatement of Inventory because inventory on hand and inventory received from suppliers are not included in inventory records.</v>
      </c>
      <c r="H66" s="334" t="str">
        <f t="shared" si="9"/>
        <v>RSKINV1 - Risk of understatement of Inventory because inventory on hand and inventory received from suppliers are not included in inventory records.</v>
      </c>
      <c r="I66" s="645" t="s">
        <v>747</v>
      </c>
      <c r="J66" s="334" t="s">
        <v>1535</v>
      </c>
      <c r="K66" s="645" t="s">
        <v>2106</v>
      </c>
      <c r="T66" s="290">
        <f t="shared" si="12"/>
        <v>149</v>
      </c>
    </row>
    <row r="67" spans="2:20" ht="26.4" hidden="1" x14ac:dyDescent="0.3">
      <c r="B67" s="334" t="s">
        <v>63</v>
      </c>
      <c r="C67" s="334" t="s">
        <v>26</v>
      </c>
      <c r="D67" s="334" t="str">
        <f t="shared" si="11"/>
        <v>E</v>
      </c>
      <c r="E67" s="334" t="str">
        <f t="shared" si="7"/>
        <v>OK</v>
      </c>
      <c r="F67" s="334" t="s">
        <v>1925</v>
      </c>
      <c r="G67" s="334" t="str">
        <f t="shared" si="8"/>
        <v>ERSKINV2 - Risk of overstatement of Inventory because inventory records include inventory that has been sold to customers / consumed.</v>
      </c>
      <c r="H67" s="334" t="str">
        <f t="shared" si="9"/>
        <v>RSKINV2 - Risk of overstatement of Inventory because inventory records include inventory that has been sold to customers / consumed.</v>
      </c>
      <c r="I67" s="645" t="s">
        <v>748</v>
      </c>
      <c r="J67" s="334" t="s">
        <v>1535</v>
      </c>
      <c r="K67" s="645" t="s">
        <v>2106</v>
      </c>
      <c r="T67" s="290">
        <f t="shared" si="12"/>
        <v>133</v>
      </c>
    </row>
    <row r="68" spans="2:20" ht="39.6" x14ac:dyDescent="0.3">
      <c r="B68" s="334" t="s">
        <v>63</v>
      </c>
      <c r="C68" s="334" t="s">
        <v>1812</v>
      </c>
      <c r="D68" s="334" t="str">
        <f>LEFT(G68,3)</f>
        <v>P&amp;D</v>
      </c>
      <c r="E68" s="334" t="str">
        <f t="shared" ref="E68:E99" si="13">IF(MID(G68,2,1)="R", "OK","CHECK")</f>
        <v>CHECK</v>
      </c>
      <c r="F68" s="334" t="s">
        <v>1934</v>
      </c>
      <c r="G68" s="334" t="str">
        <f t="shared" ref="G68:G99" si="14">TRIM(F68)</f>
        <v>P&amp;DRSKINV5 - Risk that inventory balances are intentionally misstated so as to ensure better working capital borrowing limits</v>
      </c>
      <c r="H68" s="334" t="str">
        <f t="shared" ref="H68:H99" si="15">MID(G68,LEN(D68)+1,T68-LEN(D68))</f>
        <v>RSKINV5 - Risk that inventory balances are intentionally misstated so as to ensure better working capital borrowing limits</v>
      </c>
      <c r="I68" s="645" t="s">
        <v>1543</v>
      </c>
      <c r="J68" s="334" t="s">
        <v>2081</v>
      </c>
      <c r="K68" s="645" t="s">
        <v>1545</v>
      </c>
      <c r="T68" s="290">
        <f t="shared" si="12"/>
        <v>125</v>
      </c>
    </row>
    <row r="69" spans="2:20" ht="39.6" hidden="1" x14ac:dyDescent="0.3">
      <c r="B69" s="334" t="s">
        <v>63</v>
      </c>
      <c r="C69" s="334" t="s">
        <v>1886</v>
      </c>
      <c r="D69" s="334" t="str">
        <f t="shared" ref="D69:D79" si="16">LEFT(G69)</f>
        <v>R</v>
      </c>
      <c r="E69" s="334" t="str">
        <f t="shared" si="13"/>
        <v>OK</v>
      </c>
      <c r="F69" s="334" t="s">
        <v>1922</v>
      </c>
      <c r="G69" s="334" t="str">
        <f t="shared" si="14"/>
        <v>RRSKINV1 - Risk of understatement of Inventory because inventory on hand and inventory received from suppliers are not included in inventory records.</v>
      </c>
      <c r="H69" s="334" t="str">
        <f t="shared" si="15"/>
        <v>RSKINV1 - Risk of understatement of Inventory because inventory on hand and inventory received from suppliers are not included in inventory records.</v>
      </c>
      <c r="I69" s="645" t="s">
        <v>747</v>
      </c>
      <c r="J69" s="334" t="s">
        <v>1535</v>
      </c>
      <c r="K69" s="645" t="s">
        <v>2106</v>
      </c>
      <c r="T69" s="290">
        <f t="shared" si="12"/>
        <v>149</v>
      </c>
    </row>
    <row r="70" spans="2:20" ht="26.4" hidden="1" x14ac:dyDescent="0.3">
      <c r="B70" s="334" t="s">
        <v>63</v>
      </c>
      <c r="C70" s="334" t="s">
        <v>1886</v>
      </c>
      <c r="D70" s="334" t="str">
        <f t="shared" si="16"/>
        <v>R</v>
      </c>
      <c r="E70" s="334" t="str">
        <f t="shared" si="13"/>
        <v>OK</v>
      </c>
      <c r="F70" s="334" t="s">
        <v>1926</v>
      </c>
      <c r="G70" s="334" t="str">
        <f t="shared" si="14"/>
        <v>RRSKINV2 - Risk of overstatement of Inventory because inventory records include inventory that has been sold to customers / consumed.</v>
      </c>
      <c r="H70" s="334" t="str">
        <f t="shared" si="15"/>
        <v>RSKINV2 - Risk of overstatement of Inventory because inventory records include inventory that has been sold to customers / consumed.</v>
      </c>
      <c r="I70" s="645" t="s">
        <v>748</v>
      </c>
      <c r="J70" s="334" t="s">
        <v>1535</v>
      </c>
      <c r="K70" s="645" t="s">
        <v>2106</v>
      </c>
      <c r="T70" s="290">
        <f t="shared" si="12"/>
        <v>133</v>
      </c>
    </row>
    <row r="71" spans="2:20" ht="39.6" hidden="1" x14ac:dyDescent="0.3">
      <c r="B71" s="334" t="s">
        <v>63</v>
      </c>
      <c r="C71" s="334" t="s">
        <v>25</v>
      </c>
      <c r="D71" s="334" t="str">
        <f t="shared" si="16"/>
        <v>V</v>
      </c>
      <c r="E71" s="334" t="str">
        <f t="shared" si="13"/>
        <v>OK</v>
      </c>
      <c r="F71" s="334" t="s">
        <v>1928</v>
      </c>
      <c r="G71" s="334" t="str">
        <f t="shared" si="14"/>
        <v>VRSKINV3 - Risk of overstatement of Inventory because inventory is old, obsolete, damaged, not usable or is saleable at amounts less than that at which it is recorded.</v>
      </c>
      <c r="H71" s="334" t="str">
        <f t="shared" si="15"/>
        <v>RSKINV3 - Risk of overstatement of Inventory because inventory is old, obsolete, damaged, not usable or is saleable at amounts less than that at which it is recorded.</v>
      </c>
      <c r="I71" s="645" t="s">
        <v>1538</v>
      </c>
      <c r="J71" s="334" t="s">
        <v>1723</v>
      </c>
      <c r="K71" s="645" t="s">
        <v>2107</v>
      </c>
      <c r="T71" s="290">
        <f t="shared" si="12"/>
        <v>167</v>
      </c>
    </row>
    <row r="72" spans="2:20" ht="66" x14ac:dyDescent="0.3">
      <c r="B72" s="334" t="s">
        <v>63</v>
      </c>
      <c r="C72" s="334" t="s">
        <v>25</v>
      </c>
      <c r="D72" s="334" t="str">
        <f t="shared" si="16"/>
        <v>V</v>
      </c>
      <c r="E72" s="334" t="str">
        <f t="shared" si="13"/>
        <v>OK</v>
      </c>
      <c r="F72" s="334" t="s">
        <v>1930</v>
      </c>
      <c r="G72" s="334" t="str">
        <f t="shared" si="14"/>
        <v>VRSKINV4 -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v>
      </c>
      <c r="H72" s="334" t="str">
        <f t="shared" si="15"/>
        <v>RSKINV4 - Risk of misstatement of Inventory because the prices used to value inventory and / or the valuation principles and methods used are incorrect and associated material costs and overheads (production and indirect overheads) are not allocated to Finished goods and work in progress on a reasonable basis</v>
      </c>
      <c r="I72" s="645" t="s">
        <v>1541</v>
      </c>
      <c r="J72" s="334" t="s">
        <v>2081</v>
      </c>
      <c r="K72" s="334" t="s">
        <v>1542</v>
      </c>
      <c r="T72" s="290">
        <f t="shared" si="12"/>
        <v>311</v>
      </c>
    </row>
    <row r="73" spans="2:20" ht="39.6" x14ac:dyDescent="0.3">
      <c r="B73" s="334" t="s">
        <v>63</v>
      </c>
      <c r="C73" s="334" t="s">
        <v>25</v>
      </c>
      <c r="D73" s="334" t="str">
        <f t="shared" si="16"/>
        <v>V</v>
      </c>
      <c r="E73" s="334" t="str">
        <f t="shared" si="13"/>
        <v>OK</v>
      </c>
      <c r="F73" s="334" t="s">
        <v>1932</v>
      </c>
      <c r="G73" s="334" t="str">
        <f t="shared" si="14"/>
        <v>VRSKINV5 - Risk that inventory balances are intentionally misstated so as to ensure better working capital borrowing limits</v>
      </c>
      <c r="H73" s="334" t="str">
        <f t="shared" si="15"/>
        <v>RSKINV5 - Risk that inventory balances are intentionally misstated so as to ensure better working capital borrowing limits</v>
      </c>
      <c r="I73" s="645" t="s">
        <v>1543</v>
      </c>
      <c r="J73" s="334" t="s">
        <v>2081</v>
      </c>
      <c r="K73" s="645" t="s">
        <v>1545</v>
      </c>
      <c r="T73" s="290">
        <f t="shared" si="12"/>
        <v>123</v>
      </c>
    </row>
    <row r="74" spans="2:20" ht="39.6" hidden="1" x14ac:dyDescent="0.3">
      <c r="B74" s="334" t="s">
        <v>63</v>
      </c>
      <c r="C74" s="334" t="s">
        <v>25</v>
      </c>
      <c r="D74" s="334" t="str">
        <f t="shared" si="16"/>
        <v>V</v>
      </c>
      <c r="E74" s="334" t="str">
        <f t="shared" si="13"/>
        <v>OK</v>
      </c>
      <c r="F74" s="334" t="s">
        <v>1924</v>
      </c>
      <c r="G74" s="334" t="str">
        <f t="shared" si="14"/>
        <v>VRSKINV1 - Risk of understatement of Inventory because inventory on hand and inventory received from suppliers are not included in inventory records.</v>
      </c>
      <c r="H74" s="334" t="str">
        <f t="shared" si="15"/>
        <v>RSKINV1 - Risk of understatement of Inventory because inventory on hand and inventory received from suppliers are not included in inventory records.</v>
      </c>
      <c r="I74" s="645" t="s">
        <v>747</v>
      </c>
      <c r="J74" s="334" t="s">
        <v>1535</v>
      </c>
      <c r="K74" s="645" t="s">
        <v>2106</v>
      </c>
      <c r="T74" s="290">
        <f t="shared" si="12"/>
        <v>149</v>
      </c>
    </row>
    <row r="75" spans="2:20" ht="39.6" x14ac:dyDescent="0.3">
      <c r="B75" s="334" t="s">
        <v>517</v>
      </c>
      <c r="C75" s="334" t="s">
        <v>554</v>
      </c>
      <c r="D75" s="334" t="str">
        <f t="shared" si="16"/>
        <v>A</v>
      </c>
      <c r="E75" s="334" t="str">
        <f t="shared" si="13"/>
        <v>OK</v>
      </c>
      <c r="F75" s="334" t="s">
        <v>1945</v>
      </c>
      <c r="G75" s="334" t="str">
        <f t="shared" si="14"/>
        <v>ARSKDRS4 - Risk of overstatement of Accounts receivable because of understatement of allowance for doubtful debts.</v>
      </c>
      <c r="H75" s="334" t="str">
        <f t="shared" si="15"/>
        <v>RSKDRS4 - Risk of overstatement of Accounts receivable because of understatement of allowance for doubtful debts.</v>
      </c>
      <c r="I75" s="645" t="s">
        <v>1562</v>
      </c>
      <c r="J75" s="334" t="s">
        <v>2081</v>
      </c>
      <c r="K75" s="645" t="s">
        <v>2093</v>
      </c>
      <c r="T75" s="290">
        <f t="shared" si="12"/>
        <v>114</v>
      </c>
    </row>
    <row r="76" spans="2:20" ht="105.6" hidden="1" x14ac:dyDescent="0.3">
      <c r="B76" s="334" t="s">
        <v>517</v>
      </c>
      <c r="C76" s="334" t="s">
        <v>19</v>
      </c>
      <c r="D76" s="334" t="str">
        <f t="shared" si="16"/>
        <v>C</v>
      </c>
      <c r="E76" s="334" t="str">
        <f t="shared" si="13"/>
        <v>OK</v>
      </c>
      <c r="F76" s="334" t="s">
        <v>1942</v>
      </c>
      <c r="G76" s="334" t="str">
        <f t="shared" si="14"/>
        <v>CRSKDRS3 - Risk of misstatement of Accounts receivable because receipts from customers is recorded more than once or are not recorded at all.</v>
      </c>
      <c r="H76" s="334" t="str">
        <f t="shared" si="15"/>
        <v>RSKDRS3 - Risk of misstatement of Accounts receivable because receipts from customers is recorded more than once or are not recorded at all.</v>
      </c>
      <c r="I76" s="645" t="s">
        <v>2066</v>
      </c>
      <c r="J76" s="645" t="s">
        <v>2074</v>
      </c>
      <c r="K76" s="645" t="s">
        <v>2092</v>
      </c>
      <c r="T76" s="290">
        <f t="shared" si="12"/>
        <v>141</v>
      </c>
    </row>
    <row r="77" spans="2:20" ht="39.6" hidden="1" x14ac:dyDescent="0.3">
      <c r="B77" s="334" t="s">
        <v>517</v>
      </c>
      <c r="C77" s="334" t="s">
        <v>26</v>
      </c>
      <c r="D77" s="334" t="str">
        <f t="shared" si="16"/>
        <v>E</v>
      </c>
      <c r="E77" s="334" t="str">
        <f t="shared" si="13"/>
        <v>OK</v>
      </c>
      <c r="F77" s="334" t="s">
        <v>1935</v>
      </c>
      <c r="G77" s="334" t="str">
        <f t="shared" si="14"/>
        <v>ERSKDRS1 - Risk of misstatement of Accounts receivable because invoices issued and recorded do not relate to valid sales / shipments or because invoices are not recorded at all.</v>
      </c>
      <c r="H77" s="334" t="str">
        <f t="shared" si="15"/>
        <v>RSKDRS1 - Risk of misstatement of Accounts receivable because invoices issued and recorded do not relate to valid sales / shipments or because invoices are not recorded at all.</v>
      </c>
      <c r="I77" s="645" t="s">
        <v>2064</v>
      </c>
      <c r="J77" s="334" t="s">
        <v>1490</v>
      </c>
      <c r="K77" s="645" t="s">
        <v>1526</v>
      </c>
      <c r="T77" s="290">
        <f t="shared" si="12"/>
        <v>177</v>
      </c>
    </row>
    <row r="78" spans="2:20" ht="105.6" hidden="1" x14ac:dyDescent="0.3">
      <c r="B78" s="334" t="s">
        <v>517</v>
      </c>
      <c r="C78" s="334" t="s">
        <v>26</v>
      </c>
      <c r="D78" s="334" t="str">
        <f t="shared" si="16"/>
        <v>E</v>
      </c>
      <c r="E78" s="334" t="str">
        <f t="shared" si="13"/>
        <v>OK</v>
      </c>
      <c r="F78" s="334" t="s">
        <v>1939</v>
      </c>
      <c r="G78" s="334" t="str">
        <f t="shared" si="14"/>
        <v>ERSKDRS3 - Risk of misstatement of Accounts receivable because receipts from customers is recorded more than once or are not recorded at all.</v>
      </c>
      <c r="H78" s="334" t="str">
        <f t="shared" si="15"/>
        <v>RSKDRS3 - Risk of misstatement of Accounts receivable because receipts from customers is recorded more than once or are not recorded at all.</v>
      </c>
      <c r="I78" s="645" t="s">
        <v>2066</v>
      </c>
      <c r="J78" s="645" t="s">
        <v>2074</v>
      </c>
      <c r="K78" s="645" t="s">
        <v>2092</v>
      </c>
      <c r="T78" s="290">
        <f t="shared" si="12"/>
        <v>141</v>
      </c>
    </row>
    <row r="79" spans="2:20" ht="26.4" hidden="1" x14ac:dyDescent="0.3">
      <c r="B79" s="334" t="s">
        <v>517</v>
      </c>
      <c r="C79" s="334" t="s">
        <v>26</v>
      </c>
      <c r="D79" s="334" t="str">
        <f t="shared" si="16"/>
        <v>E</v>
      </c>
      <c r="E79" s="334" t="str">
        <f t="shared" si="13"/>
        <v>OK</v>
      </c>
      <c r="F79" s="334" t="s">
        <v>1946</v>
      </c>
      <c r="G79" s="334" t="str">
        <f t="shared" si="14"/>
        <v>ERSKDRS5 - Risk of overstatement of bad debts because debtors are written off as bad without proper approvals</v>
      </c>
      <c r="H79" s="334" t="str">
        <f t="shared" si="15"/>
        <v>RSKDRS5 - Risk of overstatement of bad debts because debtors are written off as bad without proper approvals</v>
      </c>
      <c r="I79" s="645" t="s">
        <v>1566</v>
      </c>
      <c r="J79" s="334" t="s">
        <v>1567</v>
      </c>
      <c r="K79" s="334" t="s">
        <v>1568</v>
      </c>
      <c r="T79" s="290">
        <f t="shared" si="12"/>
        <v>109</v>
      </c>
    </row>
    <row r="80" spans="2:20" ht="39.6" x14ac:dyDescent="0.3">
      <c r="B80" s="334" t="s">
        <v>517</v>
      </c>
      <c r="C80" s="334" t="s">
        <v>1812</v>
      </c>
      <c r="D80" s="334" t="str">
        <f>LEFT(G80,3)</f>
        <v>P&amp;D</v>
      </c>
      <c r="E80" s="334" t="str">
        <f t="shared" si="13"/>
        <v>CHECK</v>
      </c>
      <c r="F80" s="334" t="s">
        <v>1949</v>
      </c>
      <c r="G80" s="334" t="str">
        <f t="shared" si="14"/>
        <v>P&amp;DRSKDRS6 - Risk that debts due from directors, related parties of the entity are not separately disclosed as per reporting requirements</v>
      </c>
      <c r="H80" s="334" t="str">
        <f t="shared" si="15"/>
        <v>RSKDRS6 - Risk that debts due from directors, related parties of the entity are not separately disclosed as per reporting requirements</v>
      </c>
      <c r="I80" s="645" t="s">
        <v>1569</v>
      </c>
      <c r="J80" s="334" t="s">
        <v>2081</v>
      </c>
      <c r="K80" s="645" t="s">
        <v>1571</v>
      </c>
      <c r="T80" s="290">
        <f t="shared" si="12"/>
        <v>137</v>
      </c>
    </row>
    <row r="81" spans="2:20" ht="39.6" hidden="1" x14ac:dyDescent="0.3">
      <c r="B81" s="334" t="s">
        <v>517</v>
      </c>
      <c r="C81" s="334" t="s">
        <v>1886</v>
      </c>
      <c r="D81" s="334" t="str">
        <f t="shared" ref="D81:D93" si="17">LEFT(G81)</f>
        <v>R</v>
      </c>
      <c r="E81" s="334" t="str">
        <f t="shared" si="13"/>
        <v>OK</v>
      </c>
      <c r="F81" s="334" t="s">
        <v>1937</v>
      </c>
      <c r="G81" s="334" t="str">
        <f t="shared" si="14"/>
        <v>RRSKDRS2 - Risk of misstatement of Accounts receivable because of errors in the calculation of sales value on the invoice.</v>
      </c>
      <c r="H81" s="334" t="str">
        <f t="shared" si="15"/>
        <v>RSKDRS2 - Risk of misstatement of Accounts receivable because of errors in the calculation of sales value on the invoice.</v>
      </c>
      <c r="I81" s="645" t="s">
        <v>2065</v>
      </c>
      <c r="J81" s="645" t="s">
        <v>2091</v>
      </c>
      <c r="K81" s="334" t="s">
        <v>1552</v>
      </c>
      <c r="T81" s="290">
        <f t="shared" si="12"/>
        <v>122</v>
      </c>
    </row>
    <row r="82" spans="2:20" ht="39.6" x14ac:dyDescent="0.3">
      <c r="B82" s="334" t="s">
        <v>517</v>
      </c>
      <c r="C82" s="334" t="s">
        <v>1886</v>
      </c>
      <c r="D82" s="334" t="str">
        <f t="shared" si="17"/>
        <v>R</v>
      </c>
      <c r="E82" s="334" t="str">
        <f t="shared" si="13"/>
        <v>OK</v>
      </c>
      <c r="F82" s="334" t="s">
        <v>1943</v>
      </c>
      <c r="G82" s="334" t="str">
        <f t="shared" si="14"/>
        <v>RRSKDRS4 - Risk of overstatement of Accounts receivable because of understatement of allowance for doubtful debts.</v>
      </c>
      <c r="H82" s="334" t="str">
        <f t="shared" si="15"/>
        <v>RSKDRS4 - Risk of overstatement of Accounts receivable because of understatement of allowance for doubtful debts.</v>
      </c>
      <c r="I82" s="645" t="s">
        <v>1562</v>
      </c>
      <c r="J82" s="334" t="s">
        <v>2081</v>
      </c>
      <c r="K82" s="645" t="s">
        <v>2093</v>
      </c>
      <c r="T82" s="290">
        <f t="shared" si="12"/>
        <v>114</v>
      </c>
    </row>
    <row r="83" spans="2:20" ht="39.6" x14ac:dyDescent="0.3">
      <c r="B83" s="334" t="s">
        <v>517</v>
      </c>
      <c r="C83" s="334" t="s">
        <v>1886</v>
      </c>
      <c r="D83" s="334" t="str">
        <f t="shared" si="17"/>
        <v>R</v>
      </c>
      <c r="E83" s="334" t="str">
        <f t="shared" si="13"/>
        <v>OK</v>
      </c>
      <c r="F83" s="334" t="s">
        <v>1936</v>
      </c>
      <c r="G83" s="334" t="str">
        <f t="shared" si="14"/>
        <v>RRSKDRS1 - Risk of misstatement of Accounts receivable because invoices issued and recorded do not relate to valid sales / shipments or because invoices are not recorded at all.</v>
      </c>
      <c r="H83" s="334" t="str">
        <f t="shared" si="15"/>
        <v>RSKDRS1 - Risk of misstatement of Accounts receivable because invoices issued and recorded do not relate to valid sales / shipments or because invoices are not recorded at all.</v>
      </c>
      <c r="I83" s="645" t="s">
        <v>2064</v>
      </c>
      <c r="J83" s="334" t="s">
        <v>2081</v>
      </c>
      <c r="K83" s="645" t="s">
        <v>2090</v>
      </c>
      <c r="T83" s="290">
        <f t="shared" si="12"/>
        <v>177</v>
      </c>
    </row>
    <row r="84" spans="2:20" ht="105.6" hidden="1" x14ac:dyDescent="0.3">
      <c r="B84" s="334" t="s">
        <v>517</v>
      </c>
      <c r="C84" s="334" t="s">
        <v>1886</v>
      </c>
      <c r="D84" s="334" t="str">
        <f t="shared" si="17"/>
        <v>R</v>
      </c>
      <c r="E84" s="334" t="str">
        <f t="shared" si="13"/>
        <v>OK</v>
      </c>
      <c r="F84" s="334" t="s">
        <v>1940</v>
      </c>
      <c r="G84" s="334" t="str">
        <f t="shared" si="14"/>
        <v>RRSKDRS3 - Risk of misstatement of Accounts receivable because receipts from customers is recorded more than once or are not recorded at all.</v>
      </c>
      <c r="H84" s="334" t="str">
        <f t="shared" si="15"/>
        <v>RSKDRS3 - Risk of misstatement of Accounts receivable because receipts from customers is recorded more than once or are not recorded at all.</v>
      </c>
      <c r="I84" s="645" t="s">
        <v>2066</v>
      </c>
      <c r="J84" s="645" t="s">
        <v>2074</v>
      </c>
      <c r="K84" s="645" t="s">
        <v>2092</v>
      </c>
      <c r="T84" s="290">
        <f t="shared" si="12"/>
        <v>141</v>
      </c>
    </row>
    <row r="85" spans="2:20" ht="26.4" hidden="1" x14ac:dyDescent="0.3">
      <c r="B85" s="334" t="s">
        <v>517</v>
      </c>
      <c r="C85" s="334" t="s">
        <v>1886</v>
      </c>
      <c r="D85" s="334" t="str">
        <f t="shared" si="17"/>
        <v>R</v>
      </c>
      <c r="E85" s="334" t="str">
        <f t="shared" si="13"/>
        <v>OK</v>
      </c>
      <c r="F85" s="334" t="s">
        <v>1947</v>
      </c>
      <c r="G85" s="334" t="str">
        <f t="shared" si="14"/>
        <v>RRSKDRS5 - Risk of overstatement of bad debts because debtors are written off as bad without proper approvals</v>
      </c>
      <c r="H85" s="334" t="str">
        <f t="shared" si="15"/>
        <v>RSKDRS5 - Risk of overstatement of bad debts because debtors are written off as bad without proper approvals</v>
      </c>
      <c r="I85" s="645" t="s">
        <v>1566</v>
      </c>
      <c r="J85" s="334" t="s">
        <v>1567</v>
      </c>
      <c r="K85" s="334" t="s">
        <v>1568</v>
      </c>
      <c r="T85" s="290">
        <f t="shared" si="12"/>
        <v>109</v>
      </c>
    </row>
    <row r="86" spans="2:20" ht="39.6" hidden="1" x14ac:dyDescent="0.3">
      <c r="B86" s="334" t="s">
        <v>517</v>
      </c>
      <c r="C86" s="334" t="s">
        <v>25</v>
      </c>
      <c r="D86" s="334" t="str">
        <f t="shared" si="17"/>
        <v>V</v>
      </c>
      <c r="E86" s="334" t="str">
        <f t="shared" si="13"/>
        <v>OK</v>
      </c>
      <c r="F86" s="334" t="s">
        <v>1938</v>
      </c>
      <c r="G86" s="334" t="str">
        <f t="shared" si="14"/>
        <v>VRSKDRS2 - Risk of misstatement of Accounts receivable because of errors in the calculation of sales value on the invoice.</v>
      </c>
      <c r="H86" s="334" t="str">
        <f t="shared" si="15"/>
        <v>RSKDRS2 - Risk of misstatement of Accounts receivable because of errors in the calculation of sales value on the invoice.</v>
      </c>
      <c r="I86" s="645" t="s">
        <v>2065</v>
      </c>
      <c r="J86" s="645" t="s">
        <v>2091</v>
      </c>
      <c r="K86" s="334" t="s">
        <v>1552</v>
      </c>
      <c r="T86" s="290">
        <f t="shared" si="12"/>
        <v>122</v>
      </c>
    </row>
    <row r="87" spans="2:20" ht="39.6" x14ac:dyDescent="0.3">
      <c r="B87" s="334" t="s">
        <v>517</v>
      </c>
      <c r="C87" s="334" t="s">
        <v>25</v>
      </c>
      <c r="D87" s="334" t="str">
        <f t="shared" si="17"/>
        <v>V</v>
      </c>
      <c r="E87" s="334" t="str">
        <f t="shared" si="13"/>
        <v>OK</v>
      </c>
      <c r="F87" s="334" t="s">
        <v>1944</v>
      </c>
      <c r="G87" s="334" t="str">
        <f t="shared" si="14"/>
        <v>VRSKDRS4 - Risk of overstatement of Accounts receivable because of understatement of allowance for doubtful debts.</v>
      </c>
      <c r="H87" s="334" t="str">
        <f t="shared" si="15"/>
        <v>RSKDRS4 - Risk of overstatement of Accounts receivable because of understatement of allowance for doubtful debts.</v>
      </c>
      <c r="I87" s="645" t="s">
        <v>1562</v>
      </c>
      <c r="J87" s="334" t="s">
        <v>2081</v>
      </c>
      <c r="K87" s="645" t="s">
        <v>2093</v>
      </c>
      <c r="T87" s="290">
        <f t="shared" si="12"/>
        <v>114</v>
      </c>
    </row>
    <row r="88" spans="2:20" ht="105.6" hidden="1" x14ac:dyDescent="0.3">
      <c r="B88" s="334" t="s">
        <v>517</v>
      </c>
      <c r="C88" s="334" t="s">
        <v>25</v>
      </c>
      <c r="D88" s="334" t="str">
        <f t="shared" si="17"/>
        <v>V</v>
      </c>
      <c r="E88" s="334" t="str">
        <f t="shared" si="13"/>
        <v>OK</v>
      </c>
      <c r="F88" s="334" t="s">
        <v>1941</v>
      </c>
      <c r="G88" s="334" t="str">
        <f t="shared" si="14"/>
        <v>VRSKDRS3 - Risk of misstatement of Accounts receivable because receipts from customers is recorded more than once or are not recorded at all.</v>
      </c>
      <c r="H88" s="334" t="str">
        <f t="shared" si="15"/>
        <v>RSKDRS3 - Risk of misstatement of Accounts receivable because receipts from customers is recorded more than once or are not recorded at all.</v>
      </c>
      <c r="I88" s="645" t="s">
        <v>2066</v>
      </c>
      <c r="J88" s="645" t="s">
        <v>2074</v>
      </c>
      <c r="K88" s="645" t="s">
        <v>2092</v>
      </c>
      <c r="T88" s="290">
        <f t="shared" si="12"/>
        <v>141</v>
      </c>
    </row>
    <row r="89" spans="2:20" ht="26.4" hidden="1" x14ac:dyDescent="0.3">
      <c r="B89" s="334" t="s">
        <v>517</v>
      </c>
      <c r="C89" s="334" t="s">
        <v>25</v>
      </c>
      <c r="D89" s="334" t="str">
        <f t="shared" si="17"/>
        <v>V</v>
      </c>
      <c r="E89" s="334" t="str">
        <f t="shared" si="13"/>
        <v>OK</v>
      </c>
      <c r="F89" s="334" t="s">
        <v>1948</v>
      </c>
      <c r="G89" s="334" t="str">
        <f t="shared" si="14"/>
        <v>VRSKDRS5 - Risk of overstatement of bad debts because debtors are written off as bad without proper approvals</v>
      </c>
      <c r="H89" s="334" t="str">
        <f t="shared" si="15"/>
        <v>RSKDRS5 - Risk of overstatement of bad debts because debtors are written off as bad without proper approvals</v>
      </c>
      <c r="I89" s="645" t="s">
        <v>1566</v>
      </c>
      <c r="J89" s="334" t="s">
        <v>1567</v>
      </c>
      <c r="K89" s="334" t="s">
        <v>1568</v>
      </c>
      <c r="T89" s="290">
        <f t="shared" si="12"/>
        <v>109</v>
      </c>
    </row>
    <row r="90" spans="2:20" ht="39.6" x14ac:dyDescent="0.3">
      <c r="B90" s="334" t="s">
        <v>1398</v>
      </c>
      <c r="C90" s="334" t="s">
        <v>554</v>
      </c>
      <c r="D90" s="334" t="str">
        <f t="shared" si="17"/>
        <v>A</v>
      </c>
      <c r="E90" s="334" t="str">
        <f t="shared" si="13"/>
        <v>OK</v>
      </c>
      <c r="F90" s="334" t="s">
        <v>1957</v>
      </c>
      <c r="G90" s="334" t="str">
        <f t="shared" si="14"/>
        <v>ARSKINMT2-Risk of misstatement of investments in shares and mutual funds since amounts invested are not accounted and measured as per the requirements of relevant accounting standards</v>
      </c>
      <c r="H90" s="334" t="str">
        <f t="shared" si="15"/>
        <v>RSKINMT2-Risk of misstatement of investments in shares and mutual funds since amounts invested are not accounted and measured as per the requirements of relevant accounting standards</v>
      </c>
      <c r="I90" s="645" t="s">
        <v>1575</v>
      </c>
      <c r="J90" s="334" t="s">
        <v>2081</v>
      </c>
      <c r="K90" s="645" t="s">
        <v>1576</v>
      </c>
      <c r="T90" s="290">
        <f t="shared" si="12"/>
        <v>183</v>
      </c>
    </row>
    <row r="91" spans="2:20" ht="39.6" x14ac:dyDescent="0.3">
      <c r="B91" s="334" t="s">
        <v>1398</v>
      </c>
      <c r="C91" s="334" t="s">
        <v>19</v>
      </c>
      <c r="D91" s="334" t="str">
        <f t="shared" si="17"/>
        <v>C</v>
      </c>
      <c r="E91" s="334" t="str">
        <f t="shared" si="13"/>
        <v>OK</v>
      </c>
      <c r="F91" s="334" t="s">
        <v>1952</v>
      </c>
      <c r="G91" s="334" t="str">
        <f t="shared" si="14"/>
        <v>CRSKINMT1-Risk of misstatement of investment in chit funds since payments to chit companies are not correctly accounted in the books of account</v>
      </c>
      <c r="H91" s="334" t="str">
        <f t="shared" si="15"/>
        <v>RSKINMT1-Risk of misstatement of investment in chit funds since payments to chit companies are not correctly accounted in the books of account</v>
      </c>
      <c r="I91" s="645" t="s">
        <v>1572</v>
      </c>
      <c r="J91" s="334" t="s">
        <v>2081</v>
      </c>
      <c r="K91" s="645" t="s">
        <v>2104</v>
      </c>
      <c r="T91" s="290">
        <f t="shared" si="12"/>
        <v>143</v>
      </c>
    </row>
    <row r="92" spans="2:20" ht="39.6" x14ac:dyDescent="0.3">
      <c r="B92" s="334" t="s">
        <v>1398</v>
      </c>
      <c r="C92" s="334" t="s">
        <v>26</v>
      </c>
      <c r="D92" s="334" t="str">
        <f t="shared" si="17"/>
        <v>E</v>
      </c>
      <c r="E92" s="334" t="str">
        <f t="shared" si="13"/>
        <v>OK</v>
      </c>
      <c r="F92" s="334" t="s">
        <v>1950</v>
      </c>
      <c r="G92" s="334" t="str">
        <f t="shared" si="14"/>
        <v>ERSKINMT1-Risk of misstatement of investment in chit funds since payments to chit companies are not correctly accounted in the books of account</v>
      </c>
      <c r="H92" s="334" t="str">
        <f t="shared" si="15"/>
        <v>RSKINMT1-Risk of misstatement of investment in chit funds since payments to chit companies are not correctly accounted in the books of account</v>
      </c>
      <c r="I92" s="645" t="s">
        <v>1572</v>
      </c>
      <c r="J92" s="334" t="s">
        <v>2081</v>
      </c>
      <c r="K92" s="645" t="s">
        <v>2104</v>
      </c>
      <c r="T92" s="290">
        <f t="shared" si="12"/>
        <v>143</v>
      </c>
    </row>
    <row r="93" spans="2:20" ht="39.6" x14ac:dyDescent="0.3">
      <c r="B93" s="334" t="s">
        <v>1398</v>
      </c>
      <c r="C93" s="334" t="s">
        <v>26</v>
      </c>
      <c r="D93" s="334" t="str">
        <f t="shared" si="17"/>
        <v>E</v>
      </c>
      <c r="E93" s="334" t="str">
        <f t="shared" si="13"/>
        <v>OK</v>
      </c>
      <c r="F93" s="334" t="s">
        <v>1954</v>
      </c>
      <c r="G93" s="334" t="str">
        <f t="shared" si="14"/>
        <v>ERSKINMT2-Risk of misstatement of investments in shares and mutual funds since amounts invested are not accounted and measured as per the requirements of relevant accounting standards</v>
      </c>
      <c r="H93" s="334" t="str">
        <f t="shared" si="15"/>
        <v>RSKINMT2-Risk of misstatement of investments in shares and mutual funds since amounts invested are not accounted and measured as per the requirements of relevant accounting standards</v>
      </c>
      <c r="I93" s="645" t="s">
        <v>1575</v>
      </c>
      <c r="J93" s="334" t="s">
        <v>2081</v>
      </c>
      <c r="K93" s="645" t="s">
        <v>1576</v>
      </c>
      <c r="T93" s="290">
        <f t="shared" si="12"/>
        <v>183</v>
      </c>
    </row>
    <row r="94" spans="2:20" ht="52.8" x14ac:dyDescent="0.3">
      <c r="B94" s="334" t="s">
        <v>1398</v>
      </c>
      <c r="C94" s="334" t="s">
        <v>1812</v>
      </c>
      <c r="D94" s="334" t="str">
        <f>LEFT(G94,3)</f>
        <v>P&amp;D</v>
      </c>
      <c r="E94" s="334" t="str">
        <f t="shared" si="13"/>
        <v>CHECK</v>
      </c>
      <c r="F94" s="334" t="s">
        <v>1959</v>
      </c>
      <c r="G94" s="334" t="str">
        <f t="shared" si="14"/>
        <v>P&amp;DRSKINMT3-Risk that investments made by the company are not appropriately classified and disclosed in the financial statements</v>
      </c>
      <c r="H94" s="334" t="str">
        <f t="shared" si="15"/>
        <v>RSKINMT3-Risk that investments made by the company are not appropriately classified and disclosed in the financial statements</v>
      </c>
      <c r="I94" s="645" t="s">
        <v>1577</v>
      </c>
      <c r="J94" s="334" t="s">
        <v>2081</v>
      </c>
      <c r="K94" s="645" t="s">
        <v>2105</v>
      </c>
      <c r="T94" s="290">
        <f t="shared" si="12"/>
        <v>128</v>
      </c>
    </row>
    <row r="95" spans="2:20" ht="39.6" x14ac:dyDescent="0.3">
      <c r="B95" s="334" t="s">
        <v>1398</v>
      </c>
      <c r="C95" s="334" t="s">
        <v>1886</v>
      </c>
      <c r="D95" s="334" t="str">
        <f t="shared" ref="D95:D108" si="18">LEFT(G95)</f>
        <v>R</v>
      </c>
      <c r="E95" s="334" t="str">
        <f t="shared" si="13"/>
        <v>OK</v>
      </c>
      <c r="F95" s="334" t="s">
        <v>1951</v>
      </c>
      <c r="G95" s="334" t="str">
        <f t="shared" si="14"/>
        <v>RRSKINMT1-Risk of misstatement of investment in chit funds since payments to chit companies are not correctly accounted in the books of account</v>
      </c>
      <c r="H95" s="334" t="str">
        <f t="shared" si="15"/>
        <v>RSKINMT1-Risk of misstatement of investment in chit funds since payments to chit companies are not correctly accounted in the books of account</v>
      </c>
      <c r="I95" s="645" t="s">
        <v>1572</v>
      </c>
      <c r="J95" s="334" t="s">
        <v>2081</v>
      </c>
      <c r="K95" s="645" t="s">
        <v>2104</v>
      </c>
      <c r="T95" s="290">
        <f t="shared" si="12"/>
        <v>143</v>
      </c>
    </row>
    <row r="96" spans="2:20" ht="39.6" x14ac:dyDescent="0.3">
      <c r="B96" s="334" t="s">
        <v>1398</v>
      </c>
      <c r="C96" s="334" t="s">
        <v>1886</v>
      </c>
      <c r="D96" s="334" t="str">
        <f t="shared" si="18"/>
        <v>R</v>
      </c>
      <c r="E96" s="334" t="str">
        <f t="shared" si="13"/>
        <v>OK</v>
      </c>
      <c r="F96" s="334" t="s">
        <v>1955</v>
      </c>
      <c r="G96" s="334" t="str">
        <f t="shared" si="14"/>
        <v>RRSKINMT2-Risk of misstatement of investments in shares and mutual funds since amounts invested are not accounted and measured as per the requirements of relevant accounting standards</v>
      </c>
      <c r="H96" s="334" t="str">
        <f t="shared" si="15"/>
        <v>RSKINMT2-Risk of misstatement of investments in shares and mutual funds since amounts invested are not accounted and measured as per the requirements of relevant accounting standards</v>
      </c>
      <c r="I96" s="645" t="s">
        <v>1575</v>
      </c>
      <c r="J96" s="334" t="s">
        <v>2081</v>
      </c>
      <c r="K96" s="645" t="s">
        <v>1576</v>
      </c>
      <c r="T96" s="290">
        <f t="shared" si="12"/>
        <v>183</v>
      </c>
    </row>
    <row r="97" spans="2:20" ht="52.8" x14ac:dyDescent="0.3">
      <c r="B97" s="334" t="s">
        <v>1398</v>
      </c>
      <c r="C97" s="334" t="s">
        <v>25</v>
      </c>
      <c r="D97" s="334" t="str">
        <f t="shared" si="18"/>
        <v>V</v>
      </c>
      <c r="E97" s="334" t="str">
        <f t="shared" si="13"/>
        <v>OK</v>
      </c>
      <c r="F97" s="334" t="s">
        <v>1958</v>
      </c>
      <c r="G97" s="334" t="str">
        <f t="shared" si="14"/>
        <v>VRSKINMT3-Risk that investments made by the company are not appropriately classified and disclosed in the financial statements</v>
      </c>
      <c r="H97" s="334" t="str">
        <f t="shared" si="15"/>
        <v>RSKINMT3-Risk that investments made by the company are not appropriately classified and disclosed in the financial statements</v>
      </c>
      <c r="I97" s="645" t="s">
        <v>1577</v>
      </c>
      <c r="J97" s="334" t="s">
        <v>2081</v>
      </c>
      <c r="K97" s="645" t="s">
        <v>2105</v>
      </c>
      <c r="T97" s="290">
        <f t="shared" si="12"/>
        <v>126</v>
      </c>
    </row>
    <row r="98" spans="2:20" ht="39.6" x14ac:dyDescent="0.3">
      <c r="B98" s="334" t="s">
        <v>1398</v>
      </c>
      <c r="C98" s="334" t="s">
        <v>25</v>
      </c>
      <c r="D98" s="334" t="str">
        <f t="shared" si="18"/>
        <v>V</v>
      </c>
      <c r="E98" s="334" t="str">
        <f t="shared" si="13"/>
        <v>OK</v>
      </c>
      <c r="F98" s="334" t="s">
        <v>1956</v>
      </c>
      <c r="G98" s="334" t="str">
        <f t="shared" si="14"/>
        <v>VRSKINMT2-Risk of misstatement of investments in shares and mutual funds since amounts invested are not accounted and measured as per the requirements of relevant accounting standards</v>
      </c>
      <c r="H98" s="334" t="str">
        <f t="shared" si="15"/>
        <v>RSKINMT2-Risk of misstatement of investments in shares and mutual funds since amounts invested are not accounted and measured as per the requirements of relevant accounting standards</v>
      </c>
      <c r="I98" s="645" t="s">
        <v>1575</v>
      </c>
      <c r="J98" s="334" t="s">
        <v>2081</v>
      </c>
      <c r="K98" s="645" t="s">
        <v>1576</v>
      </c>
      <c r="T98" s="290">
        <f t="shared" si="12"/>
        <v>183</v>
      </c>
    </row>
    <row r="99" spans="2:20" ht="39.6" x14ac:dyDescent="0.3">
      <c r="B99" s="334" t="s">
        <v>1398</v>
      </c>
      <c r="C99" s="334" t="s">
        <v>25</v>
      </c>
      <c r="D99" s="334" t="str">
        <f t="shared" si="18"/>
        <v>V</v>
      </c>
      <c r="E99" s="334" t="str">
        <f t="shared" si="13"/>
        <v>OK</v>
      </c>
      <c r="F99" s="334" t="s">
        <v>1953</v>
      </c>
      <c r="G99" s="334" t="str">
        <f t="shared" si="14"/>
        <v>VRSKINMT1-Risk of misstatement of investment in chit funds since payments to chit companies are not correctly accounted in the books of account</v>
      </c>
      <c r="H99" s="334" t="str">
        <f t="shared" si="15"/>
        <v>RSKINMT1-Risk of misstatement of investment in chit funds since payments to chit companies are not correctly accounted in the books of account</v>
      </c>
      <c r="I99" s="645" t="s">
        <v>1572</v>
      </c>
      <c r="J99" s="334" t="s">
        <v>2081</v>
      </c>
      <c r="K99" s="645" t="s">
        <v>2104</v>
      </c>
      <c r="T99" s="290">
        <f t="shared" si="12"/>
        <v>143</v>
      </c>
    </row>
    <row r="100" spans="2:20" ht="26.4" x14ac:dyDescent="0.3">
      <c r="B100" s="334" t="s">
        <v>527</v>
      </c>
      <c r="C100" s="334" t="s">
        <v>554</v>
      </c>
      <c r="D100" s="334" t="str">
        <f t="shared" si="18"/>
        <v>A</v>
      </c>
      <c r="E100" s="334" t="str">
        <f t="shared" ref="E100:E131" si="19">IF(MID(G100,2,1)="R", "OK","CHECK")</f>
        <v>OK</v>
      </c>
      <c r="F100" s="334" t="s">
        <v>1969</v>
      </c>
      <c r="G100" s="334" t="str">
        <f t="shared" ref="G100:G131" si="20">TRIM(F100)</f>
        <v>ARSKDBT5 - Risk of erroneous classification of loan outstanding balance and interest expense in the financial statements</v>
      </c>
      <c r="H100" s="334" t="str">
        <f t="shared" ref="H100:H131" si="21">MID(G100,LEN(D100)+1,T100-LEN(D100))</f>
        <v>RSKDBT5 - Risk of erroneous classification of loan outstanding balance and interest expense in the financial statements</v>
      </c>
      <c r="I100" s="645" t="s">
        <v>1599</v>
      </c>
      <c r="J100" s="334" t="s">
        <v>2081</v>
      </c>
      <c r="K100" s="645" t="s">
        <v>2087</v>
      </c>
      <c r="T100" s="290">
        <f t="shared" si="12"/>
        <v>120</v>
      </c>
    </row>
    <row r="101" spans="2:20" ht="52.8" hidden="1" x14ac:dyDescent="0.3">
      <c r="B101" s="334" t="s">
        <v>527</v>
      </c>
      <c r="C101" s="334" t="s">
        <v>554</v>
      </c>
      <c r="D101" s="334" t="str">
        <f t="shared" si="18"/>
        <v>A</v>
      </c>
      <c r="E101" s="334" t="str">
        <f t="shared" si="19"/>
        <v>OK</v>
      </c>
      <c r="F101" s="334" t="s">
        <v>1971</v>
      </c>
      <c r="G101" s="334" t="str">
        <f t="shared" si="20"/>
        <v>ARSKDBT6 - Risk of failure to disclose or erroneous classification of guarantees and other non fund based financial arrangements in the financial statements</v>
      </c>
      <c r="H101" s="334" t="str">
        <f t="shared" si="21"/>
        <v>RSKDBT6 - Risk of failure to disclose or erroneous classification of guarantees and other non fund based financial arrangements in the financial statements</v>
      </c>
      <c r="I101" s="645" t="s">
        <v>1603</v>
      </c>
      <c r="J101" s="334" t="s">
        <v>1588</v>
      </c>
      <c r="K101" s="645" t="s">
        <v>2088</v>
      </c>
      <c r="T101" s="290">
        <f t="shared" si="12"/>
        <v>156</v>
      </c>
    </row>
    <row r="102" spans="2:20" ht="66" x14ac:dyDescent="0.3">
      <c r="B102" s="334" t="s">
        <v>527</v>
      </c>
      <c r="C102" s="334" t="s">
        <v>554</v>
      </c>
      <c r="D102" s="334" t="str">
        <f t="shared" si="18"/>
        <v>A</v>
      </c>
      <c r="E102" s="334" t="str">
        <f t="shared" si="19"/>
        <v>OK</v>
      </c>
      <c r="F102" s="334" t="s">
        <v>1967</v>
      </c>
      <c r="G102" s="334" t="str">
        <f t="shared" si="20"/>
        <v>ARSKDBT4 - Risk of misstatement of loan balance and interest expense due to non recording/incorrect recording of interest expense</v>
      </c>
      <c r="H102" s="334" t="str">
        <f t="shared" si="21"/>
        <v>RSKDBT4 - Risk of misstatement of loan balance and interest expense due to non recording/incorrect recording of interest expense</v>
      </c>
      <c r="I102" s="645" t="s">
        <v>1593</v>
      </c>
      <c r="J102" s="334" t="s">
        <v>2081</v>
      </c>
      <c r="K102" s="645" t="s">
        <v>2086</v>
      </c>
      <c r="T102" s="290">
        <f t="shared" si="12"/>
        <v>129</v>
      </c>
    </row>
    <row r="103" spans="2:20" ht="66" x14ac:dyDescent="0.3">
      <c r="B103" s="334" t="s">
        <v>527</v>
      </c>
      <c r="C103" s="334" t="s">
        <v>19</v>
      </c>
      <c r="D103" s="334" t="str">
        <f t="shared" si="18"/>
        <v>C</v>
      </c>
      <c r="E103" s="334" t="str">
        <f t="shared" si="19"/>
        <v>OK</v>
      </c>
      <c r="F103" s="334" t="s">
        <v>1965</v>
      </c>
      <c r="G103" s="334" t="str">
        <f t="shared" si="20"/>
        <v>CRSKDBT4 - Risk of misstatement of loan balance and interest expense due to non recording/incorrect recording of interest expense</v>
      </c>
      <c r="H103" s="334" t="str">
        <f t="shared" si="21"/>
        <v>RSKDBT4 - Risk of misstatement of loan balance and interest expense due to non recording/incorrect recording of interest expense</v>
      </c>
      <c r="I103" s="645" t="s">
        <v>1593</v>
      </c>
      <c r="J103" s="334" t="s">
        <v>2081</v>
      </c>
      <c r="K103" s="645" t="s">
        <v>2086</v>
      </c>
      <c r="T103" s="290">
        <f t="shared" si="12"/>
        <v>129</v>
      </c>
    </row>
    <row r="104" spans="2:20" ht="39.6" hidden="1" x14ac:dyDescent="0.3">
      <c r="B104" s="334" t="s">
        <v>527</v>
      </c>
      <c r="C104" s="334" t="s">
        <v>19</v>
      </c>
      <c r="D104" s="334" t="str">
        <f t="shared" si="18"/>
        <v>C</v>
      </c>
      <c r="E104" s="334" t="str">
        <f t="shared" si="19"/>
        <v>OK</v>
      </c>
      <c r="F104" s="334" t="s">
        <v>1962</v>
      </c>
      <c r="G104" s="334" t="str">
        <f t="shared" si="20"/>
        <v>CRSKDBT1 - Risk of overstatement of recorded debt (Eg: Due to non recording of payments, personal loans of directors/partners accounted in the firm's books etc)</v>
      </c>
      <c r="H104" s="334" t="str">
        <f t="shared" si="21"/>
        <v>RSKDBT1 - Risk of overstatement of recorded debt (Eg: Due to non recording of payments, personal loans of directors/partners accounted in the firm's books etc)</v>
      </c>
      <c r="I104" s="645" t="s">
        <v>1583</v>
      </c>
      <c r="J104" s="645" t="s">
        <v>2082</v>
      </c>
      <c r="K104" s="645" t="s">
        <v>2083</v>
      </c>
      <c r="T104" s="290">
        <f t="shared" si="12"/>
        <v>160</v>
      </c>
    </row>
    <row r="105" spans="2:20" ht="39.6" hidden="1" x14ac:dyDescent="0.3">
      <c r="B105" s="334" t="s">
        <v>527</v>
      </c>
      <c r="C105" s="334" t="s">
        <v>26</v>
      </c>
      <c r="D105" s="334" t="str">
        <f t="shared" si="18"/>
        <v>E</v>
      </c>
      <c r="E105" s="334" t="str">
        <f t="shared" si="19"/>
        <v>OK</v>
      </c>
      <c r="F105" s="334" t="s">
        <v>1960</v>
      </c>
      <c r="G105" s="334" t="str">
        <f t="shared" si="20"/>
        <v>ERSKDBT1 - Risk of overstatement of recorded debt (Eg: Due to non recording of payments, personal loans of directors/partners accounted in the firm's books etc)</v>
      </c>
      <c r="H105" s="334" t="str">
        <f t="shared" si="21"/>
        <v>RSKDBT1 - Risk of overstatement of recorded debt (Eg: Due to non recording of payments, personal loans of directors/partners accounted in the firm's books etc)</v>
      </c>
      <c r="I105" s="645" t="s">
        <v>1583</v>
      </c>
      <c r="J105" s="645" t="s">
        <v>2082</v>
      </c>
      <c r="K105" s="645" t="s">
        <v>2083</v>
      </c>
      <c r="T105" s="290">
        <f t="shared" si="12"/>
        <v>160</v>
      </c>
    </row>
    <row r="106" spans="2:20" ht="26.4" hidden="1" x14ac:dyDescent="0.3">
      <c r="B106" s="334" t="s">
        <v>527</v>
      </c>
      <c r="C106" s="334" t="s">
        <v>2120</v>
      </c>
      <c r="D106" s="334" t="str">
        <f t="shared" si="18"/>
        <v>O</v>
      </c>
      <c r="E106" s="334" t="str">
        <f t="shared" si="19"/>
        <v>OK</v>
      </c>
      <c r="F106" s="334" t="s">
        <v>1963</v>
      </c>
      <c r="G106" s="334" t="str">
        <f t="shared" si="20"/>
        <v>ORSKDBT3 - Risk of non compliance with the terms of the loan</v>
      </c>
      <c r="H106" s="334" t="str">
        <f t="shared" si="21"/>
        <v>RSKDBT3 - Risk of non compliance with the terms of the loan</v>
      </c>
      <c r="I106" s="645" t="s">
        <v>1589</v>
      </c>
      <c r="J106" s="334" t="s">
        <v>1585</v>
      </c>
      <c r="K106" s="645" t="s">
        <v>2084</v>
      </c>
      <c r="T106" s="290">
        <f t="shared" si="12"/>
        <v>60</v>
      </c>
    </row>
    <row r="107" spans="2:20" ht="66" x14ac:dyDescent="0.3">
      <c r="B107" s="334" t="s">
        <v>527</v>
      </c>
      <c r="C107" s="334" t="s">
        <v>2120</v>
      </c>
      <c r="D107" s="334" t="str">
        <f t="shared" si="18"/>
        <v>O</v>
      </c>
      <c r="E107" s="334" t="str">
        <f t="shared" si="19"/>
        <v>OK</v>
      </c>
      <c r="F107" s="334" t="s">
        <v>1964</v>
      </c>
      <c r="G107" s="334" t="str">
        <f t="shared" si="20"/>
        <v>ORSKDBT4 - Risk of misstatement of loan balance and interest expense due to non recording/incorrect recording of interest expense</v>
      </c>
      <c r="H107" s="334" t="str">
        <f t="shared" si="21"/>
        <v>RSKDBT4 - Risk of misstatement of loan balance and interest expense due to non recording/incorrect recording of interest expense</v>
      </c>
      <c r="I107" s="645" t="s">
        <v>1593</v>
      </c>
      <c r="J107" s="334" t="s">
        <v>2081</v>
      </c>
      <c r="K107" s="645" t="s">
        <v>2086</v>
      </c>
      <c r="T107" s="290">
        <f t="shared" si="12"/>
        <v>129</v>
      </c>
    </row>
    <row r="108" spans="2:20" ht="39.6" hidden="1" x14ac:dyDescent="0.3">
      <c r="B108" s="334" t="s">
        <v>527</v>
      </c>
      <c r="C108" s="334" t="s">
        <v>2120</v>
      </c>
      <c r="D108" s="334" t="str">
        <f t="shared" si="18"/>
        <v>O</v>
      </c>
      <c r="E108" s="334" t="str">
        <f t="shared" si="19"/>
        <v>OK</v>
      </c>
      <c r="F108" s="334" t="s">
        <v>1961</v>
      </c>
      <c r="G108" s="334" t="str">
        <f t="shared" si="20"/>
        <v>ORSKDBT1 - Risk of overstatement of recorded debt (Eg: Due to non recording of payments, personal loans of directors/partners accounted in the firm's books etc)</v>
      </c>
      <c r="H108" s="334" t="str">
        <f t="shared" si="21"/>
        <v>RSKDBT1 - Risk of overstatement of recorded debt (Eg: Due to non recording of payments, personal loans of directors/partners accounted in the firm's books etc)</v>
      </c>
      <c r="I108" s="645" t="s">
        <v>1583</v>
      </c>
      <c r="J108" s="645" t="s">
        <v>2082</v>
      </c>
      <c r="K108" s="645" t="s">
        <v>2083</v>
      </c>
      <c r="T108" s="290">
        <f t="shared" si="12"/>
        <v>160</v>
      </c>
    </row>
    <row r="109" spans="2:20" ht="26.4" x14ac:dyDescent="0.3">
      <c r="B109" s="334" t="s">
        <v>527</v>
      </c>
      <c r="C109" s="334" t="s">
        <v>1812</v>
      </c>
      <c r="D109" s="334" t="str">
        <f>LEFT(G109,3)</f>
        <v>P&amp;D</v>
      </c>
      <c r="E109" s="334" t="str">
        <f t="shared" si="19"/>
        <v>CHECK</v>
      </c>
      <c r="F109" s="334" t="s">
        <v>1968</v>
      </c>
      <c r="G109" s="334" t="str">
        <f t="shared" si="20"/>
        <v>P&amp;DRSKDBT5 - Risk of erroneous classification of loan outstanding balance and interest expense in the financial statements</v>
      </c>
      <c r="H109" s="334" t="str">
        <f t="shared" si="21"/>
        <v>RSKDBT5 - Risk of erroneous classification of loan outstanding balance and interest expense in the financial statements</v>
      </c>
      <c r="I109" s="645" t="s">
        <v>1599</v>
      </c>
      <c r="J109" s="334" t="s">
        <v>2081</v>
      </c>
      <c r="K109" s="645" t="s">
        <v>2087</v>
      </c>
      <c r="T109" s="290">
        <f t="shared" si="12"/>
        <v>122</v>
      </c>
    </row>
    <row r="110" spans="2:20" ht="52.8" hidden="1" x14ac:dyDescent="0.3">
      <c r="B110" s="334" t="s">
        <v>527</v>
      </c>
      <c r="C110" s="334" t="s">
        <v>1812</v>
      </c>
      <c r="D110" s="334" t="str">
        <f>LEFT(G110,3)</f>
        <v>P&amp;D</v>
      </c>
      <c r="E110" s="334" t="str">
        <f t="shared" si="19"/>
        <v>CHECK</v>
      </c>
      <c r="F110" s="334" t="s">
        <v>1970</v>
      </c>
      <c r="G110" s="334" t="str">
        <f t="shared" si="20"/>
        <v>P&amp;DRSKDBT6 - Risk of failure to disclose or erroneous classification of guarantees and other non fund based financial arrangements in the financial statements</v>
      </c>
      <c r="H110" s="334" t="str">
        <f t="shared" si="21"/>
        <v>RSKDBT6 - Risk of failure to disclose or erroneous classification of guarantees and other non fund based financial arrangements in the financial statements</v>
      </c>
      <c r="I110" s="645" t="s">
        <v>1603</v>
      </c>
      <c r="J110" s="334" t="s">
        <v>1588</v>
      </c>
      <c r="K110" s="645" t="s">
        <v>2088</v>
      </c>
      <c r="T110" s="290">
        <f t="shared" si="12"/>
        <v>158</v>
      </c>
    </row>
    <row r="111" spans="2:20" ht="39.6" x14ac:dyDescent="0.3">
      <c r="B111" s="334" t="s">
        <v>527</v>
      </c>
      <c r="C111" s="334" t="s">
        <v>1812</v>
      </c>
      <c r="D111" s="334" t="str">
        <f>LEFT(G111,3)</f>
        <v>P&amp;D</v>
      </c>
      <c r="E111" s="334" t="str">
        <f t="shared" si="19"/>
        <v>CHECK</v>
      </c>
      <c r="F111" s="334" t="s">
        <v>1972</v>
      </c>
      <c r="G111" s="334" t="str">
        <f t="shared" si="20"/>
        <v>P&amp;DRSKDBT7 - Risk of incomplete disclosure of particulars with respect to loans such as charges, security details etc</v>
      </c>
      <c r="H111" s="334" t="str">
        <f t="shared" si="21"/>
        <v>RSKDBT7 - Risk of incomplete disclosure of particulars with respect to loans such as charges, security details etc</v>
      </c>
      <c r="I111" s="645" t="s">
        <v>1605</v>
      </c>
      <c r="J111" s="334" t="s">
        <v>2081</v>
      </c>
      <c r="K111" s="645" t="s">
        <v>2089</v>
      </c>
      <c r="T111" s="290">
        <f t="shared" si="12"/>
        <v>117</v>
      </c>
    </row>
    <row r="112" spans="2:20" ht="66" x14ac:dyDescent="0.3">
      <c r="B112" s="334" t="s">
        <v>527</v>
      </c>
      <c r="C112" s="334" t="s">
        <v>25</v>
      </c>
      <c r="D112" s="334" t="str">
        <f t="shared" ref="D112:D124" si="22">LEFT(G112)</f>
        <v>V</v>
      </c>
      <c r="E112" s="334" t="str">
        <f t="shared" si="19"/>
        <v>OK</v>
      </c>
      <c r="F112" s="334" t="s">
        <v>1966</v>
      </c>
      <c r="G112" s="334" t="str">
        <f t="shared" si="20"/>
        <v>VRSKDBT4 - Risk of misstatement of loan balance and interest expense due to non recording/incorrect recording of interest expense</v>
      </c>
      <c r="H112" s="334" t="str">
        <f t="shared" si="21"/>
        <v>RSKDBT4 - Risk of misstatement of loan balance and interest expense due to non recording/incorrect recording of interest expense</v>
      </c>
      <c r="I112" s="645" t="s">
        <v>1593</v>
      </c>
      <c r="J112" s="334" t="s">
        <v>2081</v>
      </c>
      <c r="K112" s="645" t="s">
        <v>2086</v>
      </c>
      <c r="T112" s="290">
        <f t="shared" si="12"/>
        <v>129</v>
      </c>
    </row>
    <row r="113" spans="2:20" ht="39.6" hidden="1" x14ac:dyDescent="0.3">
      <c r="B113" s="334" t="s">
        <v>590</v>
      </c>
      <c r="C113" s="334" t="s">
        <v>554</v>
      </c>
      <c r="D113" s="334" t="str">
        <f t="shared" si="22"/>
        <v>A</v>
      </c>
      <c r="E113" s="334" t="str">
        <f t="shared" si="19"/>
        <v>OK</v>
      </c>
      <c r="F113" s="334" t="s">
        <v>1987</v>
      </c>
      <c r="G113" s="334" t="str">
        <f t="shared" si="20"/>
        <v>ARSKCL6 - Risk of misstatement of supplier balances because amounts outstanding to MSME creditors are not appropriately classified and disclosed</v>
      </c>
      <c r="H113" s="334" t="str">
        <f t="shared" si="21"/>
        <v>RSKCL6 - Risk of misstatement of supplier balances because amounts outstanding to MSME creditors are not appropriately classified and disclosed</v>
      </c>
      <c r="I113" s="645" t="s">
        <v>1622</v>
      </c>
      <c r="J113" s="334" t="s">
        <v>1623</v>
      </c>
      <c r="K113" s="334" t="s">
        <v>1624</v>
      </c>
      <c r="T113" s="290">
        <f t="shared" si="12"/>
        <v>144</v>
      </c>
    </row>
    <row r="114" spans="2:20" ht="52.8" hidden="1" x14ac:dyDescent="0.3">
      <c r="B114" s="334" t="s">
        <v>590</v>
      </c>
      <c r="C114" s="334" t="s">
        <v>554</v>
      </c>
      <c r="D114" s="334" t="str">
        <f t="shared" si="22"/>
        <v>A</v>
      </c>
      <c r="E114" s="334" t="str">
        <f t="shared" si="19"/>
        <v>OK</v>
      </c>
      <c r="F114" s="334" t="s">
        <v>1981</v>
      </c>
      <c r="G114" s="334" t="str">
        <f t="shared" si="20"/>
        <v>ARSKCL3 - Risk of overstatement of Accounts payable because payments to creditors are not recorded or are not netted off with outstanding payable balance</v>
      </c>
      <c r="H114" s="334" t="str">
        <f t="shared" si="21"/>
        <v>RSKCL3 - Risk of overstatement of Accounts payable because payments to creditors are not recorded or are not netted off with outstanding payable balance</v>
      </c>
      <c r="I114" s="645" t="s">
        <v>1772</v>
      </c>
      <c r="J114" s="645" t="s">
        <v>2079</v>
      </c>
      <c r="K114" s="645" t="s">
        <v>2080</v>
      </c>
      <c r="T114" s="290">
        <f t="shared" ref="T114:T170" si="23">LEN(G114)</f>
        <v>153</v>
      </c>
    </row>
    <row r="115" spans="2:20" ht="39.6" hidden="1" x14ac:dyDescent="0.3">
      <c r="B115" s="334" t="s">
        <v>590</v>
      </c>
      <c r="C115" s="334" t="s">
        <v>19</v>
      </c>
      <c r="D115" s="334" t="str">
        <f t="shared" si="22"/>
        <v>C</v>
      </c>
      <c r="E115" s="334" t="str">
        <f t="shared" si="19"/>
        <v>OK</v>
      </c>
      <c r="F115" s="334" t="s">
        <v>1977</v>
      </c>
      <c r="G115" s="334" t="str">
        <f t="shared" si="20"/>
        <v>CRSKCL2 - Risk of understatement of Accounts payable because transactions resulting in accounts payable are not recorded.</v>
      </c>
      <c r="H115" s="334" t="str">
        <f t="shared" si="21"/>
        <v>RSKCL2 - Risk of understatement of Accounts payable because transactions resulting in accounts payable are not recorded.</v>
      </c>
      <c r="I115" s="645" t="s">
        <v>760</v>
      </c>
      <c r="J115" s="334" t="s">
        <v>1609</v>
      </c>
      <c r="K115" s="645" t="s">
        <v>2078</v>
      </c>
      <c r="T115" s="290">
        <f t="shared" si="23"/>
        <v>121</v>
      </c>
    </row>
    <row r="116" spans="2:20" ht="52.8" hidden="1" x14ac:dyDescent="0.3">
      <c r="B116" s="334" t="s">
        <v>590</v>
      </c>
      <c r="C116" s="334" t="s">
        <v>19</v>
      </c>
      <c r="D116" s="334" t="str">
        <f t="shared" si="22"/>
        <v>C</v>
      </c>
      <c r="E116" s="334" t="str">
        <f t="shared" si="19"/>
        <v>OK</v>
      </c>
      <c r="F116" s="334" t="s">
        <v>1980</v>
      </c>
      <c r="G116" s="334" t="str">
        <f t="shared" si="20"/>
        <v>CRSKCL3 - Risk of overstatement of Accounts payable because payments to creditors are not recorded or are not netted off with outstanding payable balance</v>
      </c>
      <c r="H116" s="334" t="str">
        <f t="shared" si="21"/>
        <v>RSKCL3 - Risk of overstatement of Accounts payable because payments to creditors are not recorded or are not netted off with outstanding payable balance</v>
      </c>
      <c r="I116" s="645" t="s">
        <v>1772</v>
      </c>
      <c r="J116" s="645" t="s">
        <v>2079</v>
      </c>
      <c r="K116" s="645" t="s">
        <v>2080</v>
      </c>
      <c r="T116" s="290">
        <f t="shared" si="23"/>
        <v>153</v>
      </c>
    </row>
    <row r="117" spans="2:20" ht="52.8" hidden="1" x14ac:dyDescent="0.3">
      <c r="B117" s="334" t="s">
        <v>590</v>
      </c>
      <c r="C117" s="334" t="s">
        <v>19</v>
      </c>
      <c r="D117" s="334" t="str">
        <f t="shared" si="22"/>
        <v>C</v>
      </c>
      <c r="E117" s="334" t="str">
        <f t="shared" si="19"/>
        <v>OK</v>
      </c>
      <c r="F117" s="334" t="s">
        <v>1975</v>
      </c>
      <c r="G117" s="334" t="str">
        <f t="shared" si="20"/>
        <v>CRSKCL1 - Risk of overstatement of Accounts payable because transactions recorded as accounts payable are non-existant or fictitious.</v>
      </c>
      <c r="H117" s="334" t="str">
        <f t="shared" si="21"/>
        <v>RSKCL1 - Risk of overstatement of Accounts payable because transactions recorded as accounts payable are non-existant or fictitious.</v>
      </c>
      <c r="I117" s="645" t="s">
        <v>759</v>
      </c>
      <c r="J117" s="334" t="s">
        <v>1609</v>
      </c>
      <c r="K117" s="645" t="s">
        <v>2077</v>
      </c>
      <c r="T117" s="290">
        <f t="shared" si="23"/>
        <v>133</v>
      </c>
    </row>
    <row r="118" spans="2:20" ht="52.8" hidden="1" x14ac:dyDescent="0.3">
      <c r="B118" s="334" t="s">
        <v>590</v>
      </c>
      <c r="C118" s="334" t="s">
        <v>26</v>
      </c>
      <c r="D118" s="334" t="str">
        <f t="shared" si="22"/>
        <v>E</v>
      </c>
      <c r="E118" s="334" t="str">
        <f t="shared" si="19"/>
        <v>OK</v>
      </c>
      <c r="F118" s="334" t="s">
        <v>1973</v>
      </c>
      <c r="G118" s="334" t="str">
        <f t="shared" si="20"/>
        <v>ERSKCL1 - Risk of overstatement of Accounts payable because transactions recorded as accounts payable are non-existant or fictitious.</v>
      </c>
      <c r="H118" s="334" t="str">
        <f t="shared" si="21"/>
        <v>RSKCL1 - Risk of overstatement of Accounts payable because transactions recorded as accounts payable are non-existant or fictitious.</v>
      </c>
      <c r="I118" s="645" t="s">
        <v>759</v>
      </c>
      <c r="J118" s="334" t="s">
        <v>1609</v>
      </c>
      <c r="K118" s="645" t="s">
        <v>2077</v>
      </c>
      <c r="T118" s="290">
        <f t="shared" si="23"/>
        <v>133</v>
      </c>
    </row>
    <row r="119" spans="2:20" ht="39.6" hidden="1" x14ac:dyDescent="0.3">
      <c r="B119" s="334" t="s">
        <v>590</v>
      </c>
      <c r="C119" s="334" t="s">
        <v>2120</v>
      </c>
      <c r="D119" s="334" t="str">
        <f t="shared" si="22"/>
        <v>O</v>
      </c>
      <c r="E119" s="334" t="str">
        <f t="shared" si="19"/>
        <v>OK</v>
      </c>
      <c r="F119" s="334" t="s">
        <v>1976</v>
      </c>
      <c r="G119" s="334" t="str">
        <f t="shared" si="20"/>
        <v>ORSKCL2 - Risk of understatement of Accounts payable because transactions resulting in accounts payable are not recorded.</v>
      </c>
      <c r="H119" s="334" t="str">
        <f t="shared" si="21"/>
        <v>RSKCL2 - Risk of understatement of Accounts payable because transactions resulting in accounts payable are not recorded.</v>
      </c>
      <c r="I119" s="645" t="s">
        <v>760</v>
      </c>
      <c r="J119" s="334" t="s">
        <v>1609</v>
      </c>
      <c r="K119" s="645" t="s">
        <v>2078</v>
      </c>
      <c r="T119" s="290">
        <f t="shared" si="23"/>
        <v>121</v>
      </c>
    </row>
    <row r="120" spans="2:20" ht="52.8" hidden="1" x14ac:dyDescent="0.3">
      <c r="B120" s="334" t="s">
        <v>590</v>
      </c>
      <c r="C120" s="334" t="s">
        <v>2120</v>
      </c>
      <c r="D120" s="334" t="str">
        <f t="shared" si="22"/>
        <v>O</v>
      </c>
      <c r="E120" s="334" t="str">
        <f t="shared" si="19"/>
        <v>OK</v>
      </c>
      <c r="F120" s="334" t="s">
        <v>1979</v>
      </c>
      <c r="G120" s="334" t="str">
        <f t="shared" si="20"/>
        <v>ORSKCL3 - Risk of overstatement of Accounts payable because payments to creditors are not recorded or are not netted off with outstanding payable balance</v>
      </c>
      <c r="H120" s="334" t="str">
        <f t="shared" si="21"/>
        <v>RSKCL3 - Risk of overstatement of Accounts payable because payments to creditors are not recorded or are not netted off with outstanding payable balance</v>
      </c>
      <c r="I120" s="645" t="s">
        <v>1772</v>
      </c>
      <c r="J120" s="645" t="s">
        <v>2079</v>
      </c>
      <c r="K120" s="645" t="s">
        <v>2080</v>
      </c>
      <c r="T120" s="290">
        <f t="shared" si="23"/>
        <v>153</v>
      </c>
    </row>
    <row r="121" spans="2:20" ht="39.6" x14ac:dyDescent="0.3">
      <c r="B121" s="334" t="s">
        <v>590</v>
      </c>
      <c r="C121" s="334" t="s">
        <v>2120</v>
      </c>
      <c r="D121" s="334" t="str">
        <f t="shared" si="22"/>
        <v>O</v>
      </c>
      <c r="E121" s="334" t="str">
        <f t="shared" si="19"/>
        <v>OK</v>
      </c>
      <c r="F121" s="334" t="s">
        <v>1982</v>
      </c>
      <c r="G121" s="334" t="str">
        <f t="shared" si="20"/>
        <v>ORSKCL4 - Risk of misstatement of foreign supplier balances because such balances are not restated as on the balance sheet date as specified in the financial reporting framework</v>
      </c>
      <c r="H121" s="334" t="str">
        <f t="shared" si="21"/>
        <v>RSKCL4 - Risk of misstatement of foreign supplier balances because such balances are not restated as on the balance sheet date as specified in the financial reporting framework</v>
      </c>
      <c r="I121" s="645" t="s">
        <v>1617</v>
      </c>
      <c r="J121" s="334" t="s">
        <v>2081</v>
      </c>
      <c r="K121" s="334" t="s">
        <v>1619</v>
      </c>
      <c r="T121" s="290">
        <f t="shared" si="23"/>
        <v>177</v>
      </c>
    </row>
    <row r="122" spans="2:20" ht="39.6" x14ac:dyDescent="0.3">
      <c r="B122" s="334" t="s">
        <v>590</v>
      </c>
      <c r="C122" s="334" t="s">
        <v>2120</v>
      </c>
      <c r="D122" s="334" t="str">
        <f t="shared" si="22"/>
        <v>O</v>
      </c>
      <c r="E122" s="334" t="str">
        <f t="shared" si="19"/>
        <v>OK</v>
      </c>
      <c r="F122" s="334" t="s">
        <v>1984</v>
      </c>
      <c r="G122" s="334" t="str">
        <f t="shared" si="20"/>
        <v>ORSKCL5 - Risk of misstatement of supplier balances because advances made to suppliers for supply of goods/services may end up being irrecoverable if the party does not honour transaction</v>
      </c>
      <c r="H122" s="334" t="str">
        <f t="shared" si="21"/>
        <v>RSKCL5 - Risk of misstatement of supplier balances because advances made to suppliers for supply of goods/services may end up being irrecoverable if the party does not honour transaction</v>
      </c>
      <c r="I122" s="645" t="s">
        <v>1620</v>
      </c>
      <c r="J122" s="334" t="s">
        <v>2081</v>
      </c>
      <c r="K122" s="645" t="s">
        <v>1464</v>
      </c>
      <c r="T122" s="290">
        <f t="shared" si="23"/>
        <v>187</v>
      </c>
    </row>
    <row r="123" spans="2:20" ht="39.6" hidden="1" x14ac:dyDescent="0.3">
      <c r="B123" s="334" t="s">
        <v>590</v>
      </c>
      <c r="C123" s="334" t="s">
        <v>2120</v>
      </c>
      <c r="D123" s="334" t="str">
        <f t="shared" si="22"/>
        <v>O</v>
      </c>
      <c r="E123" s="334" t="str">
        <f t="shared" si="19"/>
        <v>OK</v>
      </c>
      <c r="F123" s="334" t="s">
        <v>1986</v>
      </c>
      <c r="G123" s="334" t="str">
        <f t="shared" si="20"/>
        <v>ORSKCL6 - Risk of misstatement of supplier balances because amounts outstanding to MSME creditors are not appropriately classified and disclosed</v>
      </c>
      <c r="H123" s="334" t="str">
        <f t="shared" si="21"/>
        <v>RSKCL6 - Risk of misstatement of supplier balances because amounts outstanding to MSME creditors are not appropriately classified and disclosed</v>
      </c>
      <c r="I123" s="645" t="s">
        <v>1622</v>
      </c>
      <c r="J123" s="334" t="s">
        <v>1623</v>
      </c>
      <c r="K123" s="334" t="s">
        <v>1624</v>
      </c>
      <c r="T123" s="290">
        <f t="shared" si="23"/>
        <v>144</v>
      </c>
    </row>
    <row r="124" spans="2:20" ht="52.8" hidden="1" x14ac:dyDescent="0.3">
      <c r="B124" s="334" t="s">
        <v>590</v>
      </c>
      <c r="C124" s="334" t="s">
        <v>2120</v>
      </c>
      <c r="D124" s="334" t="str">
        <f t="shared" si="22"/>
        <v>O</v>
      </c>
      <c r="E124" s="334" t="str">
        <f t="shared" si="19"/>
        <v>OK</v>
      </c>
      <c r="F124" s="334" t="s">
        <v>1974</v>
      </c>
      <c r="G124" s="334" t="str">
        <f t="shared" si="20"/>
        <v>ORSKCL1 - Risk of overstatement of Accounts payable because transactions recorded as accounts payable are non-existant or fictitious.</v>
      </c>
      <c r="H124" s="334" t="str">
        <f t="shared" si="21"/>
        <v>RSKCL1 - Risk of overstatement of Accounts payable because transactions recorded as accounts payable are non-existant or fictitious.</v>
      </c>
      <c r="I124" s="645" t="s">
        <v>759</v>
      </c>
      <c r="J124" s="334" t="s">
        <v>1609</v>
      </c>
      <c r="K124" s="645" t="s">
        <v>2077</v>
      </c>
      <c r="T124" s="290">
        <f t="shared" si="23"/>
        <v>133</v>
      </c>
    </row>
    <row r="125" spans="2:20" ht="39.6" hidden="1" x14ac:dyDescent="0.3">
      <c r="B125" s="334" t="s">
        <v>590</v>
      </c>
      <c r="C125" s="334" t="s">
        <v>1812</v>
      </c>
      <c r="D125" s="334" t="str">
        <f>LEFT(G125,3)</f>
        <v>P&amp;D</v>
      </c>
      <c r="E125" s="334" t="str">
        <f t="shared" si="19"/>
        <v>CHECK</v>
      </c>
      <c r="F125" s="334" t="s">
        <v>1988</v>
      </c>
      <c r="G125" s="334" t="str">
        <f t="shared" si="20"/>
        <v>P&amp;DRSKCL6 - Risk of misstatement of supplier balances because amounts outstanding to MSME creditors are not appropriately classified and disclosed</v>
      </c>
      <c r="H125" s="334" t="str">
        <f t="shared" si="21"/>
        <v>RSKCL6 - Risk of misstatement of supplier balances because amounts outstanding to MSME creditors are not appropriately classified and disclosed</v>
      </c>
      <c r="I125" s="645" t="s">
        <v>1622</v>
      </c>
      <c r="J125" s="334" t="s">
        <v>1623</v>
      </c>
      <c r="K125" s="334" t="s">
        <v>1624</v>
      </c>
      <c r="T125" s="290">
        <f t="shared" si="23"/>
        <v>146</v>
      </c>
    </row>
    <row r="126" spans="2:20" ht="39.6" x14ac:dyDescent="0.3">
      <c r="B126" s="334" t="s">
        <v>590</v>
      </c>
      <c r="C126" s="334" t="s">
        <v>25</v>
      </c>
      <c r="D126" s="334" t="str">
        <f t="shared" ref="D126:D142" si="24">LEFT(G126)</f>
        <v>V</v>
      </c>
      <c r="E126" s="334" t="str">
        <f t="shared" si="19"/>
        <v>OK</v>
      </c>
      <c r="F126" s="334" t="s">
        <v>1983</v>
      </c>
      <c r="G126" s="334" t="str">
        <f t="shared" si="20"/>
        <v>VRSKCL4 - Risk of misstatement of foreign supplier balances because such balances are not restated as on the balance sheet date as specified in the financial reporting framework</v>
      </c>
      <c r="H126" s="334" t="str">
        <f t="shared" si="21"/>
        <v>RSKCL4 - Risk of misstatement of foreign supplier balances because such balances are not restated as on the balance sheet date as specified in the financial reporting framework</v>
      </c>
      <c r="I126" s="645" t="s">
        <v>1617</v>
      </c>
      <c r="J126" s="334" t="s">
        <v>2081</v>
      </c>
      <c r="K126" s="334" t="s">
        <v>1619</v>
      </c>
      <c r="T126" s="290">
        <f t="shared" si="23"/>
        <v>177</v>
      </c>
    </row>
    <row r="127" spans="2:20" ht="39.6" x14ac:dyDescent="0.3">
      <c r="B127" s="334" t="s">
        <v>590</v>
      </c>
      <c r="C127" s="334" t="s">
        <v>25</v>
      </c>
      <c r="D127" s="334" t="str">
        <f t="shared" si="24"/>
        <v>V</v>
      </c>
      <c r="E127" s="334" t="str">
        <f t="shared" si="19"/>
        <v>OK</v>
      </c>
      <c r="F127" s="334" t="s">
        <v>1985</v>
      </c>
      <c r="G127" s="334" t="str">
        <f t="shared" si="20"/>
        <v>VRSKCL5 - Risk of misstatement of supplier balances because advances made to suppliers for supply of goods/services may end up being irrecoverable if the party does not honour transaction</v>
      </c>
      <c r="H127" s="334" t="str">
        <f t="shared" si="21"/>
        <v>RSKCL5 - Risk of misstatement of supplier balances because advances made to suppliers for supply of goods/services may end up being irrecoverable if the party does not honour transaction</v>
      </c>
      <c r="I127" s="645" t="s">
        <v>1620</v>
      </c>
      <c r="J127" s="334" t="s">
        <v>2081</v>
      </c>
      <c r="K127" s="645" t="s">
        <v>1464</v>
      </c>
      <c r="T127" s="290">
        <f t="shared" si="23"/>
        <v>187</v>
      </c>
    </row>
    <row r="128" spans="2:20" ht="39.6" hidden="1" x14ac:dyDescent="0.3">
      <c r="B128" s="334" t="s">
        <v>590</v>
      </c>
      <c r="C128" s="334" t="s">
        <v>25</v>
      </c>
      <c r="D128" s="334" t="str">
        <f t="shared" si="24"/>
        <v>V</v>
      </c>
      <c r="E128" s="334" t="str">
        <f t="shared" si="19"/>
        <v>OK</v>
      </c>
      <c r="F128" s="334" t="s">
        <v>1978</v>
      </c>
      <c r="G128" s="334" t="str">
        <f t="shared" si="20"/>
        <v>VRSKCL2 - Risk of understatement of Accounts payable because transactions resulting in accounts payable are not recorded.</v>
      </c>
      <c r="H128" s="334" t="str">
        <f t="shared" si="21"/>
        <v>RSKCL2 - Risk of understatement of Accounts payable because transactions resulting in accounts payable are not recorded.</v>
      </c>
      <c r="I128" s="645" t="s">
        <v>760</v>
      </c>
      <c r="J128" s="334" t="s">
        <v>1609</v>
      </c>
      <c r="K128" s="645" t="s">
        <v>2078</v>
      </c>
      <c r="T128" s="290">
        <f t="shared" si="23"/>
        <v>121</v>
      </c>
    </row>
    <row r="129" spans="2:20" ht="52.8" x14ac:dyDescent="0.3">
      <c r="B129" s="334" t="s">
        <v>1745</v>
      </c>
      <c r="C129" s="334" t="s">
        <v>554</v>
      </c>
      <c r="D129" s="334" t="str">
        <f t="shared" si="24"/>
        <v>A</v>
      </c>
      <c r="E129" s="334" t="str">
        <f t="shared" si="19"/>
        <v>OK</v>
      </c>
      <c r="F129" s="334" t="s">
        <v>1993</v>
      </c>
      <c r="G129" s="334" t="str">
        <f t="shared" si="20"/>
        <v>ARSKEP1 - Risk of misstatement of expenses payable because accrued expenses are not appropriately accounted and classified</v>
      </c>
      <c r="H129" s="334" t="str">
        <f t="shared" si="21"/>
        <v>RSKEP1 - Risk of misstatement of expenses payable because accrued expenses are not appropriately accounted and classified</v>
      </c>
      <c r="I129" s="645" t="s">
        <v>1746</v>
      </c>
      <c r="J129" s="334" t="s">
        <v>2081</v>
      </c>
      <c r="K129" s="645" t="s">
        <v>2094</v>
      </c>
      <c r="T129" s="290">
        <f t="shared" si="23"/>
        <v>122</v>
      </c>
    </row>
    <row r="130" spans="2:20" ht="26.4" x14ac:dyDescent="0.3">
      <c r="B130" s="334" t="s">
        <v>1745</v>
      </c>
      <c r="C130" s="334" t="s">
        <v>554</v>
      </c>
      <c r="D130" s="334" t="str">
        <f t="shared" si="24"/>
        <v>A</v>
      </c>
      <c r="E130" s="334" t="str">
        <f t="shared" si="19"/>
        <v>OK</v>
      </c>
      <c r="F130" s="334" t="s">
        <v>1998</v>
      </c>
      <c r="G130" s="334" t="str">
        <f t="shared" si="20"/>
        <v>ARSKEP2 - Risk of misstatement of expenses payable because expenses payable to staff are not correctly accounted and appropriately classified</v>
      </c>
      <c r="H130" s="334" t="str">
        <f t="shared" si="21"/>
        <v>RSKEP2 - Risk of misstatement of expenses payable because expenses payable to staff are not correctly accounted and appropriately classified</v>
      </c>
      <c r="I130" s="645" t="s">
        <v>1762</v>
      </c>
      <c r="J130" s="334" t="s">
        <v>2081</v>
      </c>
      <c r="K130" s="645" t="s">
        <v>2095</v>
      </c>
      <c r="T130" s="290">
        <f t="shared" si="23"/>
        <v>141</v>
      </c>
    </row>
    <row r="131" spans="2:20" ht="52.8" x14ac:dyDescent="0.3">
      <c r="B131" s="334" t="s">
        <v>1745</v>
      </c>
      <c r="C131" s="334" t="s">
        <v>19</v>
      </c>
      <c r="D131" s="334" t="str">
        <f t="shared" si="24"/>
        <v>C</v>
      </c>
      <c r="E131" s="334" t="str">
        <f t="shared" si="19"/>
        <v>OK</v>
      </c>
      <c r="F131" s="334" t="s">
        <v>1991</v>
      </c>
      <c r="G131" s="334" t="str">
        <f t="shared" si="20"/>
        <v>CRSKEP1 - Risk of misstatement of expenses payable because accrued expenses are not appropriately accounted and classified</v>
      </c>
      <c r="H131" s="334" t="str">
        <f t="shared" si="21"/>
        <v>RSKEP1 - Risk of misstatement of expenses payable because accrued expenses are not appropriately accounted and classified</v>
      </c>
      <c r="I131" s="645" t="s">
        <v>1746</v>
      </c>
      <c r="J131" s="334" t="s">
        <v>2081</v>
      </c>
      <c r="K131" s="645" t="s">
        <v>2094</v>
      </c>
      <c r="T131" s="290">
        <f t="shared" si="23"/>
        <v>122</v>
      </c>
    </row>
    <row r="132" spans="2:20" ht="26.4" x14ac:dyDescent="0.3">
      <c r="B132" s="334" t="s">
        <v>1745</v>
      </c>
      <c r="C132" s="334" t="s">
        <v>19</v>
      </c>
      <c r="D132" s="334" t="str">
        <f t="shared" si="24"/>
        <v>C</v>
      </c>
      <c r="E132" s="334" t="str">
        <f t="shared" ref="E132:E163" si="25">IF(MID(G132,2,1)="R", "OK","CHECK")</f>
        <v>OK</v>
      </c>
      <c r="F132" s="334" t="s">
        <v>1996</v>
      </c>
      <c r="G132" s="334" t="str">
        <f t="shared" ref="G132:G163" si="26">TRIM(F132)</f>
        <v>CRSKEP2 - Risk of misstatement of expenses payable because expenses payable to staff are not correctly accounted and appropriately classified</v>
      </c>
      <c r="H132" s="334" t="str">
        <f t="shared" ref="H132:H163" si="27">MID(G132,LEN(D132)+1,T132-LEN(D132))</f>
        <v>RSKEP2 - Risk of misstatement of expenses payable because expenses payable to staff are not correctly accounted and appropriately classified</v>
      </c>
      <c r="I132" s="645" t="s">
        <v>1762</v>
      </c>
      <c r="J132" s="334" t="s">
        <v>2081</v>
      </c>
      <c r="K132" s="645" t="s">
        <v>2095</v>
      </c>
      <c r="T132" s="290">
        <f t="shared" si="23"/>
        <v>141</v>
      </c>
    </row>
    <row r="133" spans="2:20" ht="52.8" x14ac:dyDescent="0.3">
      <c r="B133" s="334" t="s">
        <v>1745</v>
      </c>
      <c r="C133" s="334" t="s">
        <v>26</v>
      </c>
      <c r="D133" s="334" t="str">
        <f t="shared" si="24"/>
        <v>E</v>
      </c>
      <c r="E133" s="334" t="str">
        <f t="shared" si="25"/>
        <v>OK</v>
      </c>
      <c r="F133" s="334" t="s">
        <v>1989</v>
      </c>
      <c r="G133" s="334" t="str">
        <f t="shared" si="26"/>
        <v>ERSKEP1 - Risk of misstatement of expenses payable because accrued expenses are not appropriately accounted and classified</v>
      </c>
      <c r="H133" s="334" t="str">
        <f t="shared" si="27"/>
        <v>RSKEP1 - Risk of misstatement of expenses payable because accrued expenses are not appropriately accounted and classified</v>
      </c>
      <c r="I133" s="645" t="s">
        <v>1746</v>
      </c>
      <c r="J133" s="334" t="s">
        <v>2081</v>
      </c>
      <c r="K133" s="645" t="s">
        <v>2094</v>
      </c>
      <c r="T133" s="290">
        <f t="shared" si="23"/>
        <v>122</v>
      </c>
    </row>
    <row r="134" spans="2:20" ht="26.4" x14ac:dyDescent="0.3">
      <c r="B134" s="334" t="s">
        <v>1745</v>
      </c>
      <c r="C134" s="334" t="s">
        <v>26</v>
      </c>
      <c r="D134" s="334" t="str">
        <f t="shared" si="24"/>
        <v>E</v>
      </c>
      <c r="E134" s="334" t="str">
        <f t="shared" si="25"/>
        <v>OK</v>
      </c>
      <c r="F134" s="334" t="s">
        <v>1994</v>
      </c>
      <c r="G134" s="334" t="str">
        <f t="shared" si="26"/>
        <v>ERSKEP2 - Risk of misstatement of expenses payable because expenses payable to staff are not correctly accounted and appropriately classified</v>
      </c>
      <c r="H134" s="334" t="str">
        <f t="shared" si="27"/>
        <v>RSKEP2 - Risk of misstatement of expenses payable because expenses payable to staff are not correctly accounted and appropriately classified</v>
      </c>
      <c r="I134" s="645" t="s">
        <v>1762</v>
      </c>
      <c r="J134" s="334" t="s">
        <v>2081</v>
      </c>
      <c r="K134" s="645" t="s">
        <v>2095</v>
      </c>
      <c r="T134" s="290">
        <f t="shared" si="23"/>
        <v>141</v>
      </c>
    </row>
    <row r="135" spans="2:20" ht="52.8" x14ac:dyDescent="0.3">
      <c r="B135" s="334" t="s">
        <v>1745</v>
      </c>
      <c r="C135" s="334" t="s">
        <v>2120</v>
      </c>
      <c r="D135" s="334" t="str">
        <f t="shared" si="24"/>
        <v>O</v>
      </c>
      <c r="E135" s="334" t="str">
        <f t="shared" si="25"/>
        <v>OK</v>
      </c>
      <c r="F135" s="334" t="s">
        <v>1990</v>
      </c>
      <c r="G135" s="334" t="str">
        <f t="shared" si="26"/>
        <v>ORSKEP1 - Risk of misstatement of expenses payable because accrued expenses are not appropriately accounted and classified</v>
      </c>
      <c r="H135" s="334" t="str">
        <f t="shared" si="27"/>
        <v>RSKEP1 - Risk of misstatement of expenses payable because accrued expenses are not appropriately accounted and classified</v>
      </c>
      <c r="I135" s="645" t="s">
        <v>1746</v>
      </c>
      <c r="J135" s="334" t="s">
        <v>2081</v>
      </c>
      <c r="K135" s="645" t="s">
        <v>2094</v>
      </c>
      <c r="T135" s="290">
        <f t="shared" si="23"/>
        <v>122</v>
      </c>
    </row>
    <row r="136" spans="2:20" ht="26.4" x14ac:dyDescent="0.3">
      <c r="B136" s="334" t="s">
        <v>1745</v>
      </c>
      <c r="C136" s="334" t="s">
        <v>2120</v>
      </c>
      <c r="D136" s="334" t="str">
        <f t="shared" si="24"/>
        <v>O</v>
      </c>
      <c r="E136" s="334" t="str">
        <f t="shared" si="25"/>
        <v>OK</v>
      </c>
      <c r="F136" s="334" t="s">
        <v>1995</v>
      </c>
      <c r="G136" s="334" t="str">
        <f t="shared" si="26"/>
        <v>ORSKEP2 - Risk of misstatement of expenses payable because expenses payable to staff are not correctly accounted and appropriately classified</v>
      </c>
      <c r="H136" s="334" t="str">
        <f t="shared" si="27"/>
        <v>RSKEP2 - Risk of misstatement of expenses payable because expenses payable to staff are not correctly accounted and appropriately classified</v>
      </c>
      <c r="I136" s="645" t="s">
        <v>1762</v>
      </c>
      <c r="J136" s="334" t="s">
        <v>2081</v>
      </c>
      <c r="K136" s="645" t="s">
        <v>2095</v>
      </c>
      <c r="T136" s="290">
        <f t="shared" si="23"/>
        <v>141</v>
      </c>
    </row>
    <row r="137" spans="2:20" ht="52.8" x14ac:dyDescent="0.3">
      <c r="B137" s="334" t="s">
        <v>1745</v>
      </c>
      <c r="C137" s="334" t="s">
        <v>25</v>
      </c>
      <c r="D137" s="334" t="str">
        <f t="shared" si="24"/>
        <v>V</v>
      </c>
      <c r="E137" s="334" t="str">
        <f t="shared" si="25"/>
        <v>OK</v>
      </c>
      <c r="F137" s="334" t="s">
        <v>1992</v>
      </c>
      <c r="G137" s="334" t="str">
        <f t="shared" si="26"/>
        <v>VRSKEP1 - Risk of misstatement of expenses payable because accrued expenses are not appropriately accounted and classified</v>
      </c>
      <c r="H137" s="334" t="str">
        <f t="shared" si="27"/>
        <v>RSKEP1 - Risk of misstatement of expenses payable because accrued expenses are not appropriately accounted and classified</v>
      </c>
      <c r="I137" s="645" t="s">
        <v>1746</v>
      </c>
      <c r="J137" s="334" t="s">
        <v>2081</v>
      </c>
      <c r="K137" s="645" t="s">
        <v>2094</v>
      </c>
      <c r="T137" s="290">
        <f t="shared" si="23"/>
        <v>122</v>
      </c>
    </row>
    <row r="138" spans="2:20" ht="26.4" x14ac:dyDescent="0.3">
      <c r="B138" s="334" t="s">
        <v>1745</v>
      </c>
      <c r="C138" s="334" t="s">
        <v>25</v>
      </c>
      <c r="D138" s="334" t="str">
        <f t="shared" si="24"/>
        <v>V</v>
      </c>
      <c r="E138" s="334" t="str">
        <f t="shared" si="25"/>
        <v>OK</v>
      </c>
      <c r="F138" s="334" t="s">
        <v>1997</v>
      </c>
      <c r="G138" s="334" t="str">
        <f t="shared" si="26"/>
        <v>VRSKEP2 - Risk of misstatement of expenses payable because expenses payable to staff are not correctly accounted and appropriately classified</v>
      </c>
      <c r="H138" s="334" t="str">
        <f t="shared" si="27"/>
        <v>RSKEP2 - Risk of misstatement of expenses payable because expenses payable to staff are not correctly accounted and appropriately classified</v>
      </c>
      <c r="I138" s="645" t="s">
        <v>1762</v>
      </c>
      <c r="J138" s="334" t="s">
        <v>2081</v>
      </c>
      <c r="K138" s="645" t="s">
        <v>2095</v>
      </c>
      <c r="T138" s="290">
        <f t="shared" si="23"/>
        <v>141</v>
      </c>
    </row>
    <row r="139" spans="2:20" ht="52.8" hidden="1" x14ac:dyDescent="0.3">
      <c r="B139" s="334" t="s">
        <v>1012</v>
      </c>
      <c r="C139" s="334" t="s">
        <v>554</v>
      </c>
      <c r="D139" s="334" t="str">
        <f t="shared" si="24"/>
        <v>A</v>
      </c>
      <c r="E139" s="334" t="str">
        <f t="shared" si="25"/>
        <v>OK</v>
      </c>
      <c r="F139" s="334" t="s">
        <v>2003</v>
      </c>
      <c r="G139" s="334" t="str">
        <f t="shared" si="26"/>
        <v>ARSKSP1 - Risk of misstatement of statutory liabilities because the liabilities are not calculated as per the applicable statutory provisions</v>
      </c>
      <c r="H139" s="334" t="str">
        <f t="shared" si="27"/>
        <v>RSKSP1 - Risk of misstatement of statutory liabilities because the liabilities are not calculated as per the applicable statutory provisions</v>
      </c>
      <c r="I139" s="645" t="s">
        <v>1014</v>
      </c>
      <c r="J139" s="334" t="s">
        <v>1845</v>
      </c>
      <c r="K139" s="645" t="s">
        <v>2118</v>
      </c>
      <c r="T139" s="290">
        <f t="shared" si="23"/>
        <v>141</v>
      </c>
    </row>
    <row r="140" spans="2:20" ht="39.6" x14ac:dyDescent="0.3">
      <c r="B140" s="334" t="s">
        <v>1012</v>
      </c>
      <c r="C140" s="334" t="s">
        <v>19</v>
      </c>
      <c r="D140" s="334" t="str">
        <f t="shared" si="24"/>
        <v>C</v>
      </c>
      <c r="E140" s="334" t="str">
        <f t="shared" si="25"/>
        <v>OK</v>
      </c>
      <c r="F140" s="334" t="s">
        <v>2005</v>
      </c>
      <c r="G140" s="334" t="str">
        <f t="shared" si="26"/>
        <v>CRSKSP2 - Risk of misstatement of statutory liabilities because the applicable rates are not applied consistently through out the period under audit</v>
      </c>
      <c r="H140" s="334" t="str">
        <f t="shared" si="27"/>
        <v>RSKSP2 - Risk of misstatement of statutory liabilities because the applicable rates are not applied consistently through out the period under audit</v>
      </c>
      <c r="I140" s="645" t="s">
        <v>1013</v>
      </c>
      <c r="J140" s="334" t="s">
        <v>2081</v>
      </c>
      <c r="K140" s="645" t="s">
        <v>2117</v>
      </c>
      <c r="T140" s="290">
        <f t="shared" si="23"/>
        <v>148</v>
      </c>
    </row>
    <row r="141" spans="2:20" ht="26.4" x14ac:dyDescent="0.3">
      <c r="B141" s="334" t="s">
        <v>1012</v>
      </c>
      <c r="C141" s="334" t="s">
        <v>19</v>
      </c>
      <c r="D141" s="334" t="str">
        <f t="shared" si="24"/>
        <v>C</v>
      </c>
      <c r="E141" s="334" t="str">
        <f t="shared" si="25"/>
        <v>OK</v>
      </c>
      <c r="F141" s="334" t="s">
        <v>2008</v>
      </c>
      <c r="G141" s="334" t="str">
        <f t="shared" si="26"/>
        <v>CRSKSP3 - Risk of misstatement of statutory liabilities because the statutory liabilities are not remitted within the applicable due dates</v>
      </c>
      <c r="H141" s="334" t="str">
        <f t="shared" si="27"/>
        <v>RSKSP3 - Risk of misstatement of statutory liabilities because the statutory liabilities are not remitted within the applicable due dates</v>
      </c>
      <c r="I141" s="645" t="s">
        <v>1015</v>
      </c>
      <c r="J141" s="334" t="s">
        <v>2081</v>
      </c>
      <c r="K141" s="334" t="s">
        <v>1630</v>
      </c>
      <c r="T141" s="290">
        <f t="shared" si="23"/>
        <v>138</v>
      </c>
    </row>
    <row r="142" spans="2:20" ht="26.4" x14ac:dyDescent="0.3">
      <c r="B142" s="334" t="s">
        <v>1012</v>
      </c>
      <c r="C142" s="334" t="s">
        <v>19</v>
      </c>
      <c r="D142" s="334" t="str">
        <f t="shared" si="24"/>
        <v>C</v>
      </c>
      <c r="E142" s="334" t="str">
        <f t="shared" si="25"/>
        <v>OK</v>
      </c>
      <c r="F142" s="334" t="s">
        <v>2011</v>
      </c>
      <c r="G142" s="334" t="str">
        <f t="shared" si="26"/>
        <v>CRSKSP4 - Risk of misstatement of statutory liabilities because the returns are incorrectly filed or not filed at all</v>
      </c>
      <c r="H142" s="334" t="str">
        <f t="shared" si="27"/>
        <v>RSKSP4 - Risk of misstatement of statutory liabilities because the returns are incorrectly filed or not filed at all</v>
      </c>
      <c r="I142" s="645" t="s">
        <v>1016</v>
      </c>
      <c r="J142" s="334" t="s">
        <v>2081</v>
      </c>
      <c r="K142" s="645" t="s">
        <v>1631</v>
      </c>
      <c r="T142" s="290">
        <f t="shared" si="23"/>
        <v>117</v>
      </c>
    </row>
    <row r="143" spans="2:20" ht="26.4" x14ac:dyDescent="0.3">
      <c r="B143" s="334" t="s">
        <v>1012</v>
      </c>
      <c r="C143" s="334" t="s">
        <v>310</v>
      </c>
      <c r="D143" s="334" t="str">
        <f>LEFT(G143,2)</f>
        <v>CO</v>
      </c>
      <c r="E143" s="334" t="str">
        <f t="shared" si="25"/>
        <v>CHECK</v>
      </c>
      <c r="F143" s="334" t="s">
        <v>2009</v>
      </c>
      <c r="G143" s="334" t="str">
        <f t="shared" si="26"/>
        <v>CORSKSP3 - Risk of misstatement of statutory liabilities because the statutory liabilities are not remitted within the applicable due dates</v>
      </c>
      <c r="H143" s="334" t="str">
        <f t="shared" si="27"/>
        <v>RSKSP3 - Risk of misstatement of statutory liabilities because the statutory liabilities are not remitted within the applicable due dates</v>
      </c>
      <c r="I143" s="645" t="s">
        <v>1015</v>
      </c>
      <c r="J143" s="334" t="s">
        <v>2081</v>
      </c>
      <c r="K143" s="334" t="s">
        <v>1630</v>
      </c>
      <c r="T143" s="290">
        <f t="shared" si="23"/>
        <v>139</v>
      </c>
    </row>
    <row r="144" spans="2:20" ht="52.8" hidden="1" x14ac:dyDescent="0.3">
      <c r="B144" s="334" t="s">
        <v>1012</v>
      </c>
      <c r="C144" s="334" t="s">
        <v>310</v>
      </c>
      <c r="D144" s="334" t="str">
        <f>LEFT(G144,2)</f>
        <v>CO</v>
      </c>
      <c r="E144" s="334" t="str">
        <f t="shared" si="25"/>
        <v>CHECK</v>
      </c>
      <c r="F144" s="334" t="s">
        <v>2002</v>
      </c>
      <c r="G144" s="334" t="str">
        <f t="shared" si="26"/>
        <v>CORSKSP1 - Risk of misstatement of statutory liabilities because the liabilities are not calculated as per the applicable statutory provisions</v>
      </c>
      <c r="H144" s="334" t="str">
        <f t="shared" si="27"/>
        <v>RSKSP1 - Risk of misstatement of statutory liabilities because the liabilities are not calculated as per the applicable statutory provisions</v>
      </c>
      <c r="I144" s="645" t="s">
        <v>1014</v>
      </c>
      <c r="J144" s="334" t="s">
        <v>1845</v>
      </c>
      <c r="K144" s="645" t="s">
        <v>2118</v>
      </c>
      <c r="T144" s="290">
        <f t="shared" si="23"/>
        <v>142</v>
      </c>
    </row>
    <row r="145" spans="2:20" ht="52.8" hidden="1" x14ac:dyDescent="0.3">
      <c r="B145" s="334" t="s">
        <v>1012</v>
      </c>
      <c r="C145" s="334" t="s">
        <v>26</v>
      </c>
      <c r="D145" s="334" t="str">
        <f t="shared" ref="D145:D161" si="28">LEFT(G145)</f>
        <v>E</v>
      </c>
      <c r="E145" s="334" t="str">
        <f t="shared" si="25"/>
        <v>OK</v>
      </c>
      <c r="F145" s="334" t="s">
        <v>1999</v>
      </c>
      <c r="G145" s="334" t="str">
        <f t="shared" si="26"/>
        <v>ERSKSP1 - Risk of misstatement of statutory liabilities because the liabilities are not calculated as per the applicable statutory provisions</v>
      </c>
      <c r="H145" s="334" t="str">
        <f t="shared" si="27"/>
        <v>RSKSP1 - Risk of misstatement of statutory liabilities because the liabilities are not calculated as per the applicable statutory provisions</v>
      </c>
      <c r="I145" s="645" t="s">
        <v>1014</v>
      </c>
      <c r="J145" s="334" t="s">
        <v>1845</v>
      </c>
      <c r="K145" s="645" t="s">
        <v>2118</v>
      </c>
      <c r="T145" s="290">
        <f t="shared" si="23"/>
        <v>141</v>
      </c>
    </row>
    <row r="146" spans="2:20" ht="39.6" x14ac:dyDescent="0.3">
      <c r="B146" s="334" t="s">
        <v>1012</v>
      </c>
      <c r="C146" s="334" t="s">
        <v>2120</v>
      </c>
      <c r="D146" s="334" t="str">
        <f t="shared" si="28"/>
        <v>O</v>
      </c>
      <c r="E146" s="334" t="str">
        <f t="shared" si="25"/>
        <v>OK</v>
      </c>
      <c r="F146" s="334" t="s">
        <v>2004</v>
      </c>
      <c r="G146" s="334" t="str">
        <f t="shared" si="26"/>
        <v>ORSKSP2 - Risk of misstatement of statutory liabilities because the applicable rates are not applied consistently through out the period under audit</v>
      </c>
      <c r="H146" s="334" t="str">
        <f t="shared" si="27"/>
        <v>RSKSP2 - Risk of misstatement of statutory liabilities because the applicable rates are not applied consistently through out the period under audit</v>
      </c>
      <c r="I146" s="645" t="s">
        <v>1013</v>
      </c>
      <c r="J146" s="334" t="s">
        <v>2081</v>
      </c>
      <c r="K146" s="645" t="s">
        <v>2117</v>
      </c>
      <c r="T146" s="290">
        <f t="shared" si="23"/>
        <v>148</v>
      </c>
    </row>
    <row r="147" spans="2:20" ht="26.4" x14ac:dyDescent="0.3">
      <c r="B147" s="334" t="s">
        <v>1012</v>
      </c>
      <c r="C147" s="334" t="s">
        <v>2120</v>
      </c>
      <c r="D147" s="334" t="str">
        <f t="shared" si="28"/>
        <v>O</v>
      </c>
      <c r="E147" s="334" t="str">
        <f t="shared" si="25"/>
        <v>OK</v>
      </c>
      <c r="F147" s="334" t="s">
        <v>2007</v>
      </c>
      <c r="G147" s="334" t="str">
        <f t="shared" si="26"/>
        <v>ORSKSP3 - Risk of misstatement of statutory liabilities because the statutory liabilities are not remitted within the applicable due dates</v>
      </c>
      <c r="H147" s="334" t="str">
        <f t="shared" si="27"/>
        <v>RSKSP3 - Risk of misstatement of statutory liabilities because the statutory liabilities are not remitted within the applicable due dates</v>
      </c>
      <c r="I147" s="645" t="s">
        <v>1015</v>
      </c>
      <c r="J147" s="334" t="s">
        <v>2081</v>
      </c>
      <c r="K147" s="334" t="s">
        <v>1630</v>
      </c>
      <c r="T147" s="290">
        <f t="shared" si="23"/>
        <v>138</v>
      </c>
    </row>
    <row r="148" spans="2:20" ht="26.4" x14ac:dyDescent="0.3">
      <c r="B148" s="334" t="s">
        <v>1012</v>
      </c>
      <c r="C148" s="334" t="s">
        <v>2120</v>
      </c>
      <c r="D148" s="334" t="str">
        <f t="shared" si="28"/>
        <v>O</v>
      </c>
      <c r="E148" s="334" t="str">
        <f t="shared" si="25"/>
        <v>OK</v>
      </c>
      <c r="F148" s="334" t="s">
        <v>2010</v>
      </c>
      <c r="G148" s="334" t="str">
        <f t="shared" si="26"/>
        <v>ORSKSP4 - Risk of misstatement of statutory liabilities because the returns are incorrectly filed or not filed at all</v>
      </c>
      <c r="H148" s="334" t="str">
        <f t="shared" si="27"/>
        <v>RSKSP4 - Risk of misstatement of statutory liabilities because the returns are incorrectly filed or not filed at all</v>
      </c>
      <c r="I148" s="645" t="s">
        <v>1016</v>
      </c>
      <c r="J148" s="334" t="s">
        <v>2081</v>
      </c>
      <c r="K148" s="645" t="s">
        <v>1631</v>
      </c>
      <c r="T148" s="290">
        <f t="shared" si="23"/>
        <v>117</v>
      </c>
    </row>
    <row r="149" spans="2:20" ht="52.8" hidden="1" x14ac:dyDescent="0.3">
      <c r="B149" s="334" t="s">
        <v>1012</v>
      </c>
      <c r="C149" s="334" t="s">
        <v>2120</v>
      </c>
      <c r="D149" s="334" t="str">
        <f t="shared" si="28"/>
        <v>O</v>
      </c>
      <c r="E149" s="334" t="str">
        <f t="shared" si="25"/>
        <v>OK</v>
      </c>
      <c r="F149" s="334" t="s">
        <v>2000</v>
      </c>
      <c r="G149" s="334" t="str">
        <f t="shared" si="26"/>
        <v>ORSKSP1 - Risk of misstatement of statutory liabilities because the liabilities are not calculated as per the applicable statutory provisions</v>
      </c>
      <c r="H149" s="334" t="str">
        <f t="shared" si="27"/>
        <v>RSKSP1 - Risk of misstatement of statutory liabilities because the liabilities are not calculated as per the applicable statutory provisions</v>
      </c>
      <c r="I149" s="645" t="s">
        <v>1014</v>
      </c>
      <c r="J149" s="334" t="s">
        <v>1845</v>
      </c>
      <c r="K149" s="645" t="s">
        <v>2118</v>
      </c>
      <c r="T149" s="290">
        <f t="shared" si="23"/>
        <v>141</v>
      </c>
    </row>
    <row r="150" spans="2:20" ht="52.8" hidden="1" x14ac:dyDescent="0.3">
      <c r="B150" s="334" t="s">
        <v>1012</v>
      </c>
      <c r="C150" s="334" t="s">
        <v>25</v>
      </c>
      <c r="D150" s="334" t="str">
        <f t="shared" si="28"/>
        <v>V</v>
      </c>
      <c r="E150" s="334" t="str">
        <f t="shared" si="25"/>
        <v>OK</v>
      </c>
      <c r="F150" s="334" t="s">
        <v>2001</v>
      </c>
      <c r="G150" s="334" t="str">
        <f t="shared" si="26"/>
        <v>VRSKSP1 - Risk of misstatement of statutory liabilities because the liabilities are not calculated as per the applicable statutory provisions</v>
      </c>
      <c r="H150" s="334" t="str">
        <f t="shared" si="27"/>
        <v>RSKSP1 - Risk of misstatement of statutory liabilities because the liabilities are not calculated as per the applicable statutory provisions</v>
      </c>
      <c r="I150" s="645" t="s">
        <v>1014</v>
      </c>
      <c r="J150" s="334" t="s">
        <v>1845</v>
      </c>
      <c r="K150" s="645" t="s">
        <v>2118</v>
      </c>
      <c r="T150" s="290">
        <f t="shared" si="23"/>
        <v>141</v>
      </c>
    </row>
    <row r="151" spans="2:20" ht="39.6" x14ac:dyDescent="0.3">
      <c r="B151" s="334" t="s">
        <v>1012</v>
      </c>
      <c r="C151" s="334" t="s">
        <v>25</v>
      </c>
      <c r="D151" s="334" t="str">
        <f t="shared" si="28"/>
        <v>V</v>
      </c>
      <c r="E151" s="334" t="str">
        <f t="shared" si="25"/>
        <v>OK</v>
      </c>
      <c r="F151" s="334" t="s">
        <v>2006</v>
      </c>
      <c r="G151" s="334" t="str">
        <f t="shared" si="26"/>
        <v>VRSKSP2 - Risk of misstatement of statutory liabilities because the applicable rates are not applied consistently through out the period under audit</v>
      </c>
      <c r="H151" s="334" t="str">
        <f t="shared" si="27"/>
        <v>RSKSP2 - Risk of misstatement of statutory liabilities because the applicable rates are not applied consistently through out the period under audit</v>
      </c>
      <c r="I151" s="645" t="s">
        <v>1013</v>
      </c>
      <c r="J151" s="334" t="s">
        <v>2081</v>
      </c>
      <c r="K151" s="645" t="s">
        <v>2117</v>
      </c>
      <c r="T151" s="290">
        <f t="shared" si="23"/>
        <v>148</v>
      </c>
    </row>
    <row r="152" spans="2:20" ht="39.6" x14ac:dyDescent="0.3">
      <c r="B152" s="334" t="s">
        <v>596</v>
      </c>
      <c r="C152" s="334" t="s">
        <v>554</v>
      </c>
      <c r="D152" s="334" t="str">
        <f t="shared" si="28"/>
        <v>A</v>
      </c>
      <c r="E152" s="334" t="str">
        <f t="shared" si="25"/>
        <v>OK</v>
      </c>
      <c r="F152" s="334" t="s">
        <v>2028</v>
      </c>
      <c r="G152" s="334" t="str">
        <f t="shared" si="26"/>
        <v>ARSKLA5 - Risk of misstatement of Loans &amp; advances or Deposits because the required classification into current and non current as required by the framework is not done</v>
      </c>
      <c r="H152" s="334" t="str">
        <f t="shared" si="27"/>
        <v>RSKLA5 - Risk of misstatement of Loans &amp; advances or Deposits because the required classification into current and non current as required by the framework is not done</v>
      </c>
      <c r="I152" s="645" t="s">
        <v>1806</v>
      </c>
      <c r="J152" s="334" t="s">
        <v>2081</v>
      </c>
      <c r="K152" s="334" t="s">
        <v>1648</v>
      </c>
      <c r="T152" s="290">
        <f t="shared" si="23"/>
        <v>168</v>
      </c>
    </row>
    <row r="153" spans="2:20" ht="26.4" x14ac:dyDescent="0.3">
      <c r="B153" s="334" t="s">
        <v>596</v>
      </c>
      <c r="C153" s="334" t="s">
        <v>554</v>
      </c>
      <c r="D153" s="334" t="str">
        <f t="shared" si="28"/>
        <v>A</v>
      </c>
      <c r="E153" s="334" t="str">
        <f t="shared" si="25"/>
        <v>OK</v>
      </c>
      <c r="F153" s="334" t="s">
        <v>2030</v>
      </c>
      <c r="G153" s="334" t="str">
        <f t="shared" si="26"/>
        <v>ARSKLA6 - Risk of misstatement of Loans &amp; advances or Deposits because doubtful deposits are not adequately proviided for</v>
      </c>
      <c r="H153" s="334" t="str">
        <f t="shared" si="27"/>
        <v>RSKLA6 - Risk of misstatement of Loans &amp; advances or Deposits because doubtful deposits are not adequately proviided for</v>
      </c>
      <c r="I153" s="645" t="s">
        <v>1783</v>
      </c>
      <c r="J153" s="334" t="s">
        <v>2081</v>
      </c>
      <c r="K153" s="645" t="s">
        <v>2112</v>
      </c>
      <c r="T153" s="290">
        <f t="shared" si="23"/>
        <v>121</v>
      </c>
    </row>
    <row r="154" spans="2:20" ht="66" hidden="1" x14ac:dyDescent="0.3">
      <c r="B154" s="334" t="s">
        <v>596</v>
      </c>
      <c r="C154" s="334" t="s">
        <v>554</v>
      </c>
      <c r="D154" s="334" t="str">
        <f t="shared" si="28"/>
        <v>A</v>
      </c>
      <c r="E154" s="334" t="str">
        <f t="shared" si="25"/>
        <v>OK</v>
      </c>
      <c r="F154" s="334" t="s">
        <v>2016</v>
      </c>
      <c r="G154" s="334" t="str">
        <f t="shared" si="26"/>
        <v>ARSKLA1 - Risk of understatement of Prepaid expense because prepaid is not recognised for payments in respect of which services have not been received and such payments are wrongly classified as expense.</v>
      </c>
      <c r="H154" s="334" t="str">
        <f t="shared" si="27"/>
        <v>RSKLA1 - Risk of understatement of Prepaid expense because prepaid is not recognised for payments in respect of which services have not been received and such payments are wrongly classified as expense.</v>
      </c>
      <c r="I154" s="645" t="s">
        <v>1632</v>
      </c>
      <c r="J154" s="645" t="s">
        <v>1846</v>
      </c>
      <c r="K154" s="645" t="s">
        <v>2108</v>
      </c>
      <c r="T154" s="290">
        <f t="shared" si="23"/>
        <v>203</v>
      </c>
    </row>
    <row r="155" spans="2:20" ht="66" hidden="1" x14ac:dyDescent="0.3">
      <c r="B155" s="334" t="s">
        <v>596</v>
      </c>
      <c r="C155" s="334" t="s">
        <v>19</v>
      </c>
      <c r="D155" s="334" t="str">
        <f t="shared" si="28"/>
        <v>C</v>
      </c>
      <c r="E155" s="334" t="str">
        <f t="shared" si="25"/>
        <v>OK</v>
      </c>
      <c r="F155" s="334" t="s">
        <v>2014</v>
      </c>
      <c r="G155" s="334" t="str">
        <f t="shared" si="26"/>
        <v>CRSKLA1 - Risk of understatement of Prepaid expense because prepaid is not recognised for payments in respect of which services have not been received and such payments are wrongly classified as expense.</v>
      </c>
      <c r="H155" s="334" t="str">
        <f t="shared" si="27"/>
        <v>RSKLA1 - Risk of understatement of Prepaid expense because prepaid is not recognised for payments in respect of which services have not been received and such payments are wrongly classified as expense.</v>
      </c>
      <c r="I155" s="645" t="s">
        <v>1632</v>
      </c>
      <c r="J155" s="645" t="s">
        <v>1846</v>
      </c>
      <c r="K155" s="645" t="s">
        <v>2108</v>
      </c>
      <c r="T155" s="290">
        <f t="shared" si="23"/>
        <v>203</v>
      </c>
    </row>
    <row r="156" spans="2:20" ht="66" x14ac:dyDescent="0.3">
      <c r="B156" s="334" t="s">
        <v>596</v>
      </c>
      <c r="C156" s="334" t="s">
        <v>19</v>
      </c>
      <c r="D156" s="334" t="str">
        <f t="shared" si="28"/>
        <v>C</v>
      </c>
      <c r="E156" s="334" t="str">
        <f t="shared" si="25"/>
        <v>OK</v>
      </c>
      <c r="F156" s="334" t="s">
        <v>2019</v>
      </c>
      <c r="G156" s="334" t="str">
        <f t="shared" si="26"/>
        <v>CRSKLA2 - Risk of overstatement of Prepaid expense because amounts included in prepaid expense relate to fictitious or unauthorised transction.</v>
      </c>
      <c r="H156" s="334" t="str">
        <f t="shared" si="27"/>
        <v>RSKLA2 - Risk of overstatement of Prepaid expense because amounts included in prepaid expense relate to fictitious or unauthorised transction.</v>
      </c>
      <c r="I156" s="645" t="s">
        <v>766</v>
      </c>
      <c r="J156" s="334" t="s">
        <v>2081</v>
      </c>
      <c r="K156" s="645" t="s">
        <v>2109</v>
      </c>
      <c r="T156" s="290">
        <f t="shared" si="23"/>
        <v>143</v>
      </c>
    </row>
    <row r="157" spans="2:20" ht="92.4" x14ac:dyDescent="0.3">
      <c r="B157" s="334" t="s">
        <v>596</v>
      </c>
      <c r="C157" s="334" t="s">
        <v>19</v>
      </c>
      <c r="D157" s="334" t="str">
        <f t="shared" si="28"/>
        <v>C</v>
      </c>
      <c r="E157" s="334" t="str">
        <f t="shared" si="25"/>
        <v>OK</v>
      </c>
      <c r="F157" s="334" t="s">
        <v>2025</v>
      </c>
      <c r="G157" s="334" t="str">
        <f t="shared" si="26"/>
        <v>CRSKLA4 - Risk of misstatement of Deposits because the the recorded deposits are fictitious or non-recoverable/doubtful or without proper supportings</v>
      </c>
      <c r="H157" s="334" t="str">
        <f t="shared" si="27"/>
        <v>RSKLA4 - Risk of misstatement of Deposits because the the recorded deposits are fictitious or non-recoverable/doubtful or without proper supportings</v>
      </c>
      <c r="I157" s="645" t="s">
        <v>1774</v>
      </c>
      <c r="J157" s="334" t="s">
        <v>2081</v>
      </c>
      <c r="K157" s="645" t="s">
        <v>2111</v>
      </c>
      <c r="T157" s="290">
        <f t="shared" si="23"/>
        <v>149</v>
      </c>
    </row>
    <row r="158" spans="2:20" ht="66" hidden="1" x14ac:dyDescent="0.3">
      <c r="B158" s="334" t="s">
        <v>596</v>
      </c>
      <c r="C158" s="334" t="s">
        <v>26</v>
      </c>
      <c r="D158" s="334" t="str">
        <f t="shared" si="28"/>
        <v>E</v>
      </c>
      <c r="E158" s="334" t="str">
        <f t="shared" si="25"/>
        <v>OK</v>
      </c>
      <c r="F158" s="334" t="s">
        <v>2012</v>
      </c>
      <c r="G158" s="334" t="str">
        <f t="shared" si="26"/>
        <v>ERSKLA1 - Risk of understatement of Prepaid expense because prepaid is not recognised for payments in respect of which services have not been received and such payments are wrongly classified as expense.</v>
      </c>
      <c r="H158" s="334" t="str">
        <f t="shared" si="27"/>
        <v>RSKLA1 - Risk of understatement of Prepaid expense because prepaid is not recognised for payments in respect of which services have not been received and such payments are wrongly classified as expense.</v>
      </c>
      <c r="I158" s="645" t="s">
        <v>1632</v>
      </c>
      <c r="J158" s="645" t="s">
        <v>1846</v>
      </c>
      <c r="K158" s="645" t="s">
        <v>2108</v>
      </c>
      <c r="T158" s="290">
        <f t="shared" si="23"/>
        <v>203</v>
      </c>
    </row>
    <row r="159" spans="2:20" ht="66" x14ac:dyDescent="0.3">
      <c r="B159" s="334" t="s">
        <v>596</v>
      </c>
      <c r="C159" s="334" t="s">
        <v>26</v>
      </c>
      <c r="D159" s="334" t="str">
        <f t="shared" si="28"/>
        <v>E</v>
      </c>
      <c r="E159" s="334" t="str">
        <f t="shared" si="25"/>
        <v>OK</v>
      </c>
      <c r="F159" s="334" t="s">
        <v>2017</v>
      </c>
      <c r="G159" s="334" t="str">
        <f t="shared" si="26"/>
        <v>ERSKLA2 - Risk of overstatement of Prepaid expense because amounts included in prepaid expense relate to fictitious or unauthorised transction.</v>
      </c>
      <c r="H159" s="334" t="str">
        <f t="shared" si="27"/>
        <v>RSKLA2 - Risk of overstatement of Prepaid expense because amounts included in prepaid expense relate to fictitious or unauthorised transction.</v>
      </c>
      <c r="I159" s="645" t="s">
        <v>766</v>
      </c>
      <c r="J159" s="334" t="s">
        <v>2081</v>
      </c>
      <c r="K159" s="645" t="s">
        <v>2109</v>
      </c>
      <c r="T159" s="290">
        <f t="shared" si="23"/>
        <v>143</v>
      </c>
    </row>
    <row r="160" spans="2:20" ht="66" hidden="1" x14ac:dyDescent="0.3">
      <c r="B160" s="334" t="s">
        <v>596</v>
      </c>
      <c r="C160" s="334" t="s">
        <v>26</v>
      </c>
      <c r="D160" s="334" t="str">
        <f t="shared" si="28"/>
        <v>E</v>
      </c>
      <c r="E160" s="334" t="str">
        <f t="shared" si="25"/>
        <v>OK</v>
      </c>
      <c r="F160" s="334" t="s">
        <v>2020</v>
      </c>
      <c r="G160" s="334" t="str">
        <f t="shared" si="26"/>
        <v>ERSKLA3 - Risk of misstatement of Staff advances because the balance in staff advance account pertain to employees who have left the organisation</v>
      </c>
      <c r="H160" s="334" t="str">
        <f t="shared" si="27"/>
        <v>RSKLA3 - Risk of misstatement of Staff advances because the balance in staff advance account pertain to employees who have left the organisation</v>
      </c>
      <c r="I160" s="645" t="s">
        <v>1638</v>
      </c>
      <c r="J160" s="645" t="s">
        <v>1639</v>
      </c>
      <c r="K160" s="645" t="s">
        <v>2110</v>
      </c>
      <c r="T160" s="290">
        <f t="shared" si="23"/>
        <v>145</v>
      </c>
    </row>
    <row r="161" spans="2:20" ht="92.4" x14ac:dyDescent="0.3">
      <c r="B161" s="334" t="s">
        <v>596</v>
      </c>
      <c r="C161" s="334" t="s">
        <v>26</v>
      </c>
      <c r="D161" s="334" t="str">
        <f t="shared" si="28"/>
        <v>E</v>
      </c>
      <c r="E161" s="334" t="str">
        <f t="shared" si="25"/>
        <v>OK</v>
      </c>
      <c r="F161" s="334" t="s">
        <v>2023</v>
      </c>
      <c r="G161" s="334" t="str">
        <f t="shared" si="26"/>
        <v>ERSKLA4 - Risk of misstatement of Deposits because the the recorded deposits are fictitious or non-recoverable/doubtful or without proper supportings</v>
      </c>
      <c r="H161" s="334" t="str">
        <f t="shared" si="27"/>
        <v>RSKLA4 - Risk of misstatement of Deposits because the the recorded deposits are fictitious or non-recoverable/doubtful or without proper supportings</v>
      </c>
      <c r="I161" s="645" t="s">
        <v>1774</v>
      </c>
      <c r="J161" s="334" t="s">
        <v>2081</v>
      </c>
      <c r="K161" s="645" t="s">
        <v>2111</v>
      </c>
      <c r="T161" s="290">
        <f t="shared" si="23"/>
        <v>149</v>
      </c>
    </row>
    <row r="162" spans="2:20" ht="39.6" x14ac:dyDescent="0.3">
      <c r="B162" s="334" t="s">
        <v>596</v>
      </c>
      <c r="C162" s="334" t="s">
        <v>1812</v>
      </c>
      <c r="D162" s="334" t="str">
        <f>LEFT(G162,3)</f>
        <v>P&amp;D</v>
      </c>
      <c r="E162" s="334" t="str">
        <f t="shared" si="25"/>
        <v>CHECK</v>
      </c>
      <c r="F162" s="334" t="s">
        <v>2027</v>
      </c>
      <c r="G162" s="334" t="str">
        <f t="shared" si="26"/>
        <v>P&amp;DRSKLA5 - Risk of misstatement of Loans &amp; advances or Deposits because the required classification into current and non current as required by the framework is not done</v>
      </c>
      <c r="H162" s="334" t="str">
        <f t="shared" si="27"/>
        <v>RSKLA5 - Risk of misstatement of Loans &amp; advances or Deposits because the required classification into current and non current as required by the framework is not done</v>
      </c>
      <c r="I162" s="645" t="s">
        <v>1806</v>
      </c>
      <c r="J162" s="334" t="s">
        <v>2081</v>
      </c>
      <c r="K162" s="334" t="s">
        <v>1648</v>
      </c>
      <c r="T162" s="290">
        <f t="shared" si="23"/>
        <v>170</v>
      </c>
    </row>
    <row r="163" spans="2:20" ht="26.4" x14ac:dyDescent="0.3">
      <c r="B163" s="334" t="s">
        <v>596</v>
      </c>
      <c r="C163" s="334" t="s">
        <v>1812</v>
      </c>
      <c r="D163" s="334" t="str">
        <f>LEFT(G163,3)</f>
        <v>P&amp;D</v>
      </c>
      <c r="E163" s="334" t="str">
        <f t="shared" si="25"/>
        <v>CHECK</v>
      </c>
      <c r="F163" s="334" t="s">
        <v>2029</v>
      </c>
      <c r="G163" s="334" t="str">
        <f t="shared" si="26"/>
        <v>P&amp;DRSKLA6 - Risk of misstatement of Loans &amp; advances or Deposits because doubtful deposits are not adequately proviided for</v>
      </c>
      <c r="H163" s="334" t="str">
        <f t="shared" si="27"/>
        <v>RSKLA6 - Risk of misstatement of Loans &amp; advances or Deposits because doubtful deposits are not adequately proviided for</v>
      </c>
      <c r="I163" s="645" t="s">
        <v>1783</v>
      </c>
      <c r="J163" s="334" t="s">
        <v>2081</v>
      </c>
      <c r="K163" s="645" t="s">
        <v>2112</v>
      </c>
      <c r="T163" s="290">
        <f t="shared" si="23"/>
        <v>123</v>
      </c>
    </row>
    <row r="164" spans="2:20" ht="66" hidden="1" x14ac:dyDescent="0.3">
      <c r="B164" s="334" t="s">
        <v>596</v>
      </c>
      <c r="C164" s="334" t="s">
        <v>1886</v>
      </c>
      <c r="D164" s="334" t="str">
        <f t="shared" ref="D164:D174" si="29">LEFT(G164)</f>
        <v>R</v>
      </c>
      <c r="E164" s="334" t="str">
        <f t="shared" ref="E164:E195" si="30">IF(MID(G164,2,1)="R", "OK","CHECK")</f>
        <v>OK</v>
      </c>
      <c r="F164" s="334" t="s">
        <v>2013</v>
      </c>
      <c r="G164" s="334" t="str">
        <f t="shared" ref="G164:G195" si="31">TRIM(F164)</f>
        <v>RRSKLA1 - Risk of understatement of Prepaid expense because prepaid is not recognised for payments in respect of which services have not been received and such payments are wrongly classified as expense.</v>
      </c>
      <c r="H164" s="334" t="str">
        <f t="shared" ref="H164:H195" si="32">MID(G164,LEN(D164)+1,T164-LEN(D164))</f>
        <v>RSKLA1 - Risk of understatement of Prepaid expense because prepaid is not recognised for payments in respect of which services have not been received and such payments are wrongly classified as expense.</v>
      </c>
      <c r="I164" s="645" t="s">
        <v>1632</v>
      </c>
      <c r="J164" s="645" t="s">
        <v>1846</v>
      </c>
      <c r="K164" s="645" t="s">
        <v>2108</v>
      </c>
      <c r="T164" s="290">
        <f t="shared" si="23"/>
        <v>203</v>
      </c>
    </row>
    <row r="165" spans="2:20" ht="66" x14ac:dyDescent="0.3">
      <c r="B165" s="334" t="s">
        <v>596</v>
      </c>
      <c r="C165" s="334" t="s">
        <v>1886</v>
      </c>
      <c r="D165" s="334" t="str">
        <f t="shared" si="29"/>
        <v>R</v>
      </c>
      <c r="E165" s="334" t="str">
        <f t="shared" si="30"/>
        <v>OK</v>
      </c>
      <c r="F165" s="334" t="s">
        <v>2018</v>
      </c>
      <c r="G165" s="334" t="str">
        <f t="shared" si="31"/>
        <v>RRSKLA2 - Risk of overstatement of Prepaid expense because amounts included in prepaid expense relate to fictitious or unauthorised transction.</v>
      </c>
      <c r="H165" s="334" t="str">
        <f t="shared" si="32"/>
        <v>RSKLA2 - Risk of overstatement of Prepaid expense because amounts included in prepaid expense relate to fictitious or unauthorised transction.</v>
      </c>
      <c r="I165" s="645" t="s">
        <v>766</v>
      </c>
      <c r="J165" s="334" t="s">
        <v>2081</v>
      </c>
      <c r="K165" s="645" t="s">
        <v>2109</v>
      </c>
      <c r="T165" s="290">
        <f t="shared" si="23"/>
        <v>143</v>
      </c>
    </row>
    <row r="166" spans="2:20" ht="66" hidden="1" x14ac:dyDescent="0.3">
      <c r="B166" s="334" t="s">
        <v>596</v>
      </c>
      <c r="C166" s="334" t="s">
        <v>1886</v>
      </c>
      <c r="D166" s="334" t="str">
        <f t="shared" si="29"/>
        <v>R</v>
      </c>
      <c r="E166" s="334" t="str">
        <f t="shared" si="30"/>
        <v>OK</v>
      </c>
      <c r="F166" s="334" t="s">
        <v>2021</v>
      </c>
      <c r="G166" s="334" t="str">
        <f t="shared" si="31"/>
        <v>RRSKLA3 - Risk of misstatement of Staff advances because the balance in staff advance account pertain to employees who have left the organisation</v>
      </c>
      <c r="H166" s="334" t="str">
        <f t="shared" si="32"/>
        <v>RSKLA3 - Risk of misstatement of Staff advances because the balance in staff advance account pertain to employees who have left the organisation</v>
      </c>
      <c r="I166" s="645" t="s">
        <v>1638</v>
      </c>
      <c r="J166" s="645" t="s">
        <v>1639</v>
      </c>
      <c r="K166" s="645" t="s">
        <v>2110</v>
      </c>
      <c r="T166" s="290">
        <f t="shared" si="23"/>
        <v>145</v>
      </c>
    </row>
    <row r="167" spans="2:20" ht="92.4" x14ac:dyDescent="0.3">
      <c r="B167" s="334" t="s">
        <v>596</v>
      </c>
      <c r="C167" s="334" t="s">
        <v>1886</v>
      </c>
      <c r="D167" s="334" t="str">
        <f t="shared" si="29"/>
        <v>R</v>
      </c>
      <c r="E167" s="334" t="str">
        <f t="shared" si="30"/>
        <v>OK</v>
      </c>
      <c r="F167" s="334" t="s">
        <v>2024</v>
      </c>
      <c r="G167" s="334" t="str">
        <f t="shared" si="31"/>
        <v>RRSKLA4 - Risk of misstatement of Deposits because the the recorded deposits are fictitious or non-recoverable/doubtful or without proper supportings</v>
      </c>
      <c r="H167" s="334" t="str">
        <f t="shared" si="32"/>
        <v>RSKLA4 - Risk of misstatement of Deposits because the the recorded deposits are fictitious or non-recoverable/doubtful or without proper supportings</v>
      </c>
      <c r="I167" s="645" t="s">
        <v>1774</v>
      </c>
      <c r="J167" s="334" t="s">
        <v>2081</v>
      </c>
      <c r="K167" s="645" t="s">
        <v>2111</v>
      </c>
      <c r="T167" s="290">
        <f t="shared" si="23"/>
        <v>149</v>
      </c>
    </row>
    <row r="168" spans="2:20" ht="66" hidden="1" x14ac:dyDescent="0.3">
      <c r="B168" s="334" t="s">
        <v>596</v>
      </c>
      <c r="C168" s="334" t="s">
        <v>25</v>
      </c>
      <c r="D168" s="334" t="str">
        <f t="shared" si="29"/>
        <v>V</v>
      </c>
      <c r="E168" s="334" t="str">
        <f t="shared" si="30"/>
        <v>OK</v>
      </c>
      <c r="F168" s="334" t="s">
        <v>2022</v>
      </c>
      <c r="G168" s="334" t="str">
        <f t="shared" si="31"/>
        <v>VRSKLA3 - Risk of misstatement of Staff advances because the balance in staff advance account pertain to employees who have left the organisation</v>
      </c>
      <c r="H168" s="334" t="str">
        <f t="shared" si="32"/>
        <v>RSKLA3 - Risk of misstatement of Staff advances because the balance in staff advance account pertain to employees who have left the organisation</v>
      </c>
      <c r="I168" s="645" t="s">
        <v>1638</v>
      </c>
      <c r="J168" s="645" t="s">
        <v>1639</v>
      </c>
      <c r="K168" s="645" t="s">
        <v>2110</v>
      </c>
      <c r="T168" s="290">
        <f t="shared" si="23"/>
        <v>145</v>
      </c>
    </row>
    <row r="169" spans="2:20" ht="66" hidden="1" x14ac:dyDescent="0.3">
      <c r="B169" s="334" t="s">
        <v>596</v>
      </c>
      <c r="C169" s="334" t="s">
        <v>25</v>
      </c>
      <c r="D169" s="334" t="str">
        <f t="shared" si="29"/>
        <v>V</v>
      </c>
      <c r="E169" s="334" t="str">
        <f t="shared" si="30"/>
        <v>OK</v>
      </c>
      <c r="F169" s="334" t="s">
        <v>2015</v>
      </c>
      <c r="G169" s="334" t="str">
        <f t="shared" si="31"/>
        <v>VRSKLA1 - Risk of understatement of Prepaid expense because prepaid is not recognised for payments in respect of which services have not been received and such payments are wrongly classified as expense.</v>
      </c>
      <c r="H169" s="334" t="str">
        <f t="shared" si="32"/>
        <v>RSKLA1 - Risk of understatement of Prepaid expense because prepaid is not recognised for payments in respect of which services have not been received and such payments are wrongly classified as expense.</v>
      </c>
      <c r="I169" s="645" t="s">
        <v>1632</v>
      </c>
      <c r="J169" s="645" t="s">
        <v>1846</v>
      </c>
      <c r="K169" s="645" t="s">
        <v>2108</v>
      </c>
      <c r="T169" s="290">
        <f t="shared" si="23"/>
        <v>203</v>
      </c>
    </row>
    <row r="170" spans="2:20" ht="92.4" x14ac:dyDescent="0.3">
      <c r="B170" s="334" t="s">
        <v>596</v>
      </c>
      <c r="C170" s="334" t="s">
        <v>25</v>
      </c>
      <c r="D170" s="334" t="str">
        <f t="shared" si="29"/>
        <v>V</v>
      </c>
      <c r="E170" s="334" t="str">
        <f t="shared" si="30"/>
        <v>OK</v>
      </c>
      <c r="F170" s="334" t="s">
        <v>2026</v>
      </c>
      <c r="G170" s="334" t="str">
        <f t="shared" si="31"/>
        <v>VRSKLA4 - Risk of misstatement of Deposits because the the recorded deposits are fictitious or non-recoverable/doubtful or without proper supportings</v>
      </c>
      <c r="H170" s="334" t="str">
        <f t="shared" si="32"/>
        <v>RSKLA4 - Risk of misstatement of Deposits because the the recorded deposits are fictitious or non-recoverable/doubtful or without proper supportings</v>
      </c>
      <c r="I170" s="645" t="s">
        <v>1774</v>
      </c>
      <c r="J170" s="334" t="s">
        <v>2081</v>
      </c>
      <c r="K170" s="645" t="s">
        <v>2111</v>
      </c>
      <c r="T170" s="290">
        <f t="shared" si="23"/>
        <v>149</v>
      </c>
    </row>
    <row r="171" spans="2:20" ht="26.4" hidden="1" x14ac:dyDescent="0.3">
      <c r="B171" s="334" t="s">
        <v>530</v>
      </c>
      <c r="C171" s="334" t="s">
        <v>326</v>
      </c>
      <c r="D171" s="334" t="str">
        <f t="shared" si="29"/>
        <v>A</v>
      </c>
      <c r="E171" s="334" t="str">
        <f t="shared" si="30"/>
        <v>OK</v>
      </c>
      <c r="F171" s="334" t="s">
        <v>2034</v>
      </c>
      <c r="G171" s="334" t="str">
        <f t="shared" si="31"/>
        <v>ARSKRE3 - Risk of misstatement of revenue because sale price is not agreeing with the approved price list.</v>
      </c>
      <c r="H171" s="334" t="str">
        <f t="shared" si="32"/>
        <v>RSKRE3 - Risk of misstatement of revenue because sale price is not agreeing with the approved price list.</v>
      </c>
      <c r="I171" s="645" t="s">
        <v>773</v>
      </c>
      <c r="J171" s="334" t="s">
        <v>1551</v>
      </c>
      <c r="K171" s="334" t="s">
        <v>1552</v>
      </c>
      <c r="T171" s="290">
        <f t="shared" ref="T171:T178" si="33">LEN(G171)</f>
        <v>106</v>
      </c>
    </row>
    <row r="172" spans="2:20" ht="26.4" hidden="1" x14ac:dyDescent="0.3">
      <c r="B172" s="334" t="s">
        <v>530</v>
      </c>
      <c r="C172" s="334" t="s">
        <v>326</v>
      </c>
      <c r="D172" s="334" t="str">
        <f t="shared" si="29"/>
        <v>A</v>
      </c>
      <c r="E172" s="334" t="str">
        <f t="shared" si="30"/>
        <v>OK</v>
      </c>
      <c r="F172" s="334" t="s">
        <v>2035</v>
      </c>
      <c r="G172" s="334" t="str">
        <f t="shared" si="31"/>
        <v>ARSKRE4 - Risk of misstatement of revenue because of errors in the calculation of sales value on the invoice.</v>
      </c>
      <c r="H172" s="334" t="str">
        <f t="shared" si="32"/>
        <v>RSKRE4 - Risk of misstatement of revenue because of errors in the calculation of sales value on the invoice.</v>
      </c>
      <c r="I172" s="645" t="s">
        <v>774</v>
      </c>
      <c r="J172" s="645" t="s">
        <v>2116</v>
      </c>
      <c r="K172" s="334" t="s">
        <v>1552</v>
      </c>
      <c r="T172" s="290">
        <f t="shared" si="33"/>
        <v>109</v>
      </c>
    </row>
    <row r="173" spans="2:20" ht="39.6" x14ac:dyDescent="0.3">
      <c r="B173" s="334" t="s">
        <v>530</v>
      </c>
      <c r="C173" s="334" t="s">
        <v>326</v>
      </c>
      <c r="D173" s="334" t="str">
        <f t="shared" si="29"/>
        <v>A</v>
      </c>
      <c r="E173" s="334" t="str">
        <f t="shared" si="30"/>
        <v>OK</v>
      </c>
      <c r="F173" s="334" t="s">
        <v>2036</v>
      </c>
      <c r="G173" s="334" t="str">
        <f t="shared" si="31"/>
        <v>ARSKRE5 - Risk of misstatement of revenue because discounts from sale price shown on the invoice are not calculated in accordance with the approved discount rates.</v>
      </c>
      <c r="H173" s="334" t="str">
        <f t="shared" si="32"/>
        <v>RSKRE5 - Risk of misstatement of revenue because discounts from sale price shown on the invoice are not calculated in accordance with the approved discount rates.</v>
      </c>
      <c r="I173" s="645" t="s">
        <v>775</v>
      </c>
      <c r="J173" s="334" t="s">
        <v>2081</v>
      </c>
      <c r="K173" s="334" t="s">
        <v>1552</v>
      </c>
      <c r="T173" s="290">
        <f t="shared" si="33"/>
        <v>163</v>
      </c>
    </row>
    <row r="174" spans="2:20" ht="26.4" hidden="1" x14ac:dyDescent="0.3">
      <c r="B174" s="334" t="s">
        <v>530</v>
      </c>
      <c r="C174" s="334" t="s">
        <v>19</v>
      </c>
      <c r="D174" s="334" t="str">
        <f t="shared" si="29"/>
        <v>C</v>
      </c>
      <c r="E174" s="334" t="str">
        <f t="shared" si="30"/>
        <v>OK</v>
      </c>
      <c r="F174" s="334" t="s">
        <v>2033</v>
      </c>
      <c r="G174" s="334" t="str">
        <f t="shared" si="31"/>
        <v>CRSKRE2 - Risk of understatement of revenue because invoices issued to customer are not recorded.</v>
      </c>
      <c r="H174" s="334" t="str">
        <f t="shared" si="32"/>
        <v>RSKRE2 - Risk of understatement of revenue because invoices issued to customer are not recorded.</v>
      </c>
      <c r="I174" s="645" t="s">
        <v>772</v>
      </c>
      <c r="J174" s="334" t="s">
        <v>1650</v>
      </c>
      <c r="K174" s="334" t="s">
        <v>1651</v>
      </c>
      <c r="T174" s="290">
        <f t="shared" si="33"/>
        <v>97</v>
      </c>
    </row>
    <row r="175" spans="2:20" ht="26.4" x14ac:dyDescent="0.3">
      <c r="B175" s="334" t="s">
        <v>530</v>
      </c>
      <c r="C175" s="334" t="s">
        <v>310</v>
      </c>
      <c r="D175" s="334" t="str">
        <f>LEFT(G175,2)</f>
        <v>CO</v>
      </c>
      <c r="E175" s="334" t="str">
        <f t="shared" si="30"/>
        <v>CHECK</v>
      </c>
      <c r="F175" s="334" t="s">
        <v>2038</v>
      </c>
      <c r="G175" s="334" t="str">
        <f t="shared" si="31"/>
        <v>CORSKRE7 - Risk of misstatement of revenue due to recording in the incorrect period</v>
      </c>
      <c r="H175" s="334" t="str">
        <f t="shared" si="32"/>
        <v>RSKRE7 - Risk of misstatement of revenue due to recording in the incorrect period</v>
      </c>
      <c r="I175" s="645" t="s">
        <v>923</v>
      </c>
      <c r="J175" s="334" t="s">
        <v>2081</v>
      </c>
      <c r="K175" s="334" t="s">
        <v>1654</v>
      </c>
      <c r="T175" s="290">
        <f t="shared" si="33"/>
        <v>83</v>
      </c>
    </row>
    <row r="176" spans="2:20" ht="39.6" hidden="1" x14ac:dyDescent="0.3">
      <c r="B176" s="334" t="s">
        <v>530</v>
      </c>
      <c r="C176" s="334" t="s">
        <v>306</v>
      </c>
      <c r="D176" s="334" t="str">
        <f t="shared" ref="D176:D195" si="34">LEFT(G176)</f>
        <v>O</v>
      </c>
      <c r="E176" s="334" t="str">
        <f t="shared" si="30"/>
        <v>OK</v>
      </c>
      <c r="F176" s="334" t="s">
        <v>2031</v>
      </c>
      <c r="G176" s="334" t="str">
        <f t="shared" si="31"/>
        <v>ORSKRE1 - Risk of overstatement of revenue because invoices issued and recorded do not relate to valid sales / shipments.</v>
      </c>
      <c r="H176" s="334" t="str">
        <f t="shared" si="32"/>
        <v>RSKRE1 - Risk of overstatement of revenue because invoices issued and recorded do not relate to valid sales / shipments.</v>
      </c>
      <c r="I176" s="645" t="s">
        <v>771</v>
      </c>
      <c r="J176" s="334" t="s">
        <v>1839</v>
      </c>
      <c r="K176" s="645" t="s">
        <v>2115</v>
      </c>
      <c r="T176" s="290">
        <f t="shared" si="33"/>
        <v>121</v>
      </c>
    </row>
    <row r="177" spans="2:20" ht="26.4" hidden="1" x14ac:dyDescent="0.3">
      <c r="B177" s="334" t="s">
        <v>530</v>
      </c>
      <c r="C177" s="334" t="s">
        <v>306</v>
      </c>
      <c r="D177" s="334" t="str">
        <f t="shared" si="34"/>
        <v>O</v>
      </c>
      <c r="E177" s="334" t="str">
        <f t="shared" si="30"/>
        <v>OK</v>
      </c>
      <c r="F177" s="334" t="s">
        <v>2032</v>
      </c>
      <c r="G177" s="334" t="str">
        <f t="shared" si="31"/>
        <v>ORSKRE2 - Risk of understatement of revenue because invoices issued to customer are not recorded.</v>
      </c>
      <c r="H177" s="334" t="str">
        <f t="shared" si="32"/>
        <v>RSKRE2 - Risk of understatement of revenue because invoices issued to customer are not recorded.</v>
      </c>
      <c r="I177" s="645" t="s">
        <v>772</v>
      </c>
      <c r="J177" s="334" t="s">
        <v>1650</v>
      </c>
      <c r="K177" s="334" t="s">
        <v>1651</v>
      </c>
      <c r="T177" s="290">
        <f t="shared" si="33"/>
        <v>97</v>
      </c>
    </row>
    <row r="178" spans="2:20" ht="26.4" x14ac:dyDescent="0.3">
      <c r="B178" s="334" t="s">
        <v>530</v>
      </c>
      <c r="C178" s="334" t="s">
        <v>306</v>
      </c>
      <c r="D178" s="334" t="str">
        <f t="shared" si="34"/>
        <v>O</v>
      </c>
      <c r="E178" s="334" t="str">
        <f t="shared" si="30"/>
        <v>OK</v>
      </c>
      <c r="F178" s="334" t="s">
        <v>2037</v>
      </c>
      <c r="G178" s="334" t="str">
        <f t="shared" si="31"/>
        <v>ORSKRE6 - Risk of misstatement of revenue because credit notes issued and recorded do not relate to valid sales returns.</v>
      </c>
      <c r="H178" s="334" t="str">
        <f t="shared" si="32"/>
        <v>RSKRE6 - Risk of misstatement of revenue because credit notes issued and recorded do not relate to valid sales returns.</v>
      </c>
      <c r="I178" s="645" t="s">
        <v>776</v>
      </c>
      <c r="J178" s="334" t="s">
        <v>2081</v>
      </c>
      <c r="K178" s="334" t="s">
        <v>1652</v>
      </c>
      <c r="T178" s="290">
        <f t="shared" si="33"/>
        <v>120</v>
      </c>
    </row>
    <row r="179" spans="2:20" ht="26.4" x14ac:dyDescent="0.3">
      <c r="B179" s="334" t="s">
        <v>1655</v>
      </c>
      <c r="C179" s="334" t="s">
        <v>554</v>
      </c>
      <c r="D179" s="334" t="str">
        <f t="shared" si="34"/>
        <v>A</v>
      </c>
      <c r="E179" s="334" t="str">
        <f t="shared" si="30"/>
        <v>OK</v>
      </c>
      <c r="F179" s="334" t="s">
        <v>2044</v>
      </c>
      <c r="G179" s="334" t="str">
        <f t="shared" si="31"/>
        <v>ARSKPROV2 - Risk of misstatement of provision for doubtful balances because of doubtful balances are not properly estimated/ascertained</v>
      </c>
      <c r="H179" s="334" t="str">
        <f t="shared" si="32"/>
        <v>RSKPROV2 - Risk of misstatement of provision for doubtful balances because of doubtful balances are not properly estimated/ascertained</v>
      </c>
      <c r="I179" s="645" t="s">
        <v>1659</v>
      </c>
      <c r="J179" s="334" t="s">
        <v>2081</v>
      </c>
      <c r="K179" s="645" t="s">
        <v>1661</v>
      </c>
      <c r="T179" s="290">
        <f t="shared" ref="T179:T188" si="35">LEN(G179)</f>
        <v>135</v>
      </c>
    </row>
    <row r="180" spans="2:20" ht="52.8" x14ac:dyDescent="0.3">
      <c r="B180" s="334" t="s">
        <v>1655</v>
      </c>
      <c r="C180" s="334" t="s">
        <v>554</v>
      </c>
      <c r="D180" s="334" t="str">
        <f t="shared" si="34"/>
        <v>A</v>
      </c>
      <c r="E180" s="334" t="str">
        <f t="shared" si="30"/>
        <v>OK</v>
      </c>
      <c r="F180" s="334" t="s">
        <v>2048</v>
      </c>
      <c r="G180" s="334" t="str">
        <f t="shared" si="31"/>
        <v>ARSKPROV3 - Risk of understatement of expenses and provision balance as accruals of fabricator incentive and product warranties are not appropriately accounted</v>
      </c>
      <c r="H180" s="334" t="str">
        <f t="shared" si="32"/>
        <v>RSKPROV3 - Risk of understatement of expenses and provision balance as accruals of fabricator incentive and product warranties are not appropriately accounted</v>
      </c>
      <c r="I180" s="645" t="s">
        <v>1662</v>
      </c>
      <c r="J180" s="334" t="s">
        <v>2081</v>
      </c>
      <c r="K180" s="645" t="s">
        <v>2114</v>
      </c>
      <c r="T180" s="290">
        <f t="shared" si="35"/>
        <v>159</v>
      </c>
    </row>
    <row r="181" spans="2:20" ht="52.8" x14ac:dyDescent="0.3">
      <c r="B181" s="334" t="s">
        <v>1655</v>
      </c>
      <c r="C181" s="334" t="s">
        <v>19</v>
      </c>
      <c r="D181" s="334" t="str">
        <f t="shared" si="34"/>
        <v>C</v>
      </c>
      <c r="E181" s="334" t="str">
        <f t="shared" si="30"/>
        <v>OK</v>
      </c>
      <c r="F181" s="334" t="s">
        <v>2046</v>
      </c>
      <c r="G181" s="334" t="str">
        <f t="shared" si="31"/>
        <v>CRSKPROV3 - Risk of understatement of expenses and provision balance as accruals of fabricator incentive and product warranties are not appropriately accounted</v>
      </c>
      <c r="H181" s="334" t="str">
        <f t="shared" si="32"/>
        <v>RSKPROV3 - Risk of understatement of expenses and provision balance as accruals of fabricator incentive and product warranties are not appropriately accounted</v>
      </c>
      <c r="I181" s="645" t="s">
        <v>1662</v>
      </c>
      <c r="J181" s="334" t="s">
        <v>2081</v>
      </c>
      <c r="K181" s="645" t="s">
        <v>2114</v>
      </c>
      <c r="T181" s="290">
        <f t="shared" si="35"/>
        <v>159</v>
      </c>
    </row>
    <row r="182" spans="2:20" ht="39.6" x14ac:dyDescent="0.3">
      <c r="B182" s="334" t="s">
        <v>1655</v>
      </c>
      <c r="C182" s="334" t="s">
        <v>26</v>
      </c>
      <c r="D182" s="334" t="str">
        <f t="shared" si="34"/>
        <v>E</v>
      </c>
      <c r="E182" s="334" t="str">
        <f t="shared" si="30"/>
        <v>OK</v>
      </c>
      <c r="F182" s="334" t="s">
        <v>2039</v>
      </c>
      <c r="G182" s="334" t="str">
        <f t="shared" si="31"/>
        <v>ERSKPROV1 - Risk of misstatement of accrual for gratuity liability at the balance sheet date because the salary, period of service, and other relevant data provided by the entity for actuarial valuation is incorrect.</v>
      </c>
      <c r="H182" s="334" t="str">
        <f t="shared" si="32"/>
        <v>RSKPROV1 - Risk of misstatement of accrual for gratuity liability at the balance sheet date because the salary, period of service, and other relevant data provided by the entity for actuarial valuation is incorrect.</v>
      </c>
      <c r="I182" s="645" t="s">
        <v>1656</v>
      </c>
      <c r="J182" s="334" t="s">
        <v>2081</v>
      </c>
      <c r="K182" s="645" t="s">
        <v>1658</v>
      </c>
      <c r="T182" s="290">
        <f t="shared" si="35"/>
        <v>216</v>
      </c>
    </row>
    <row r="183" spans="2:20" ht="26.4" x14ac:dyDescent="0.3">
      <c r="B183" s="334" t="s">
        <v>1655</v>
      </c>
      <c r="C183" s="334" t="s">
        <v>26</v>
      </c>
      <c r="D183" s="334" t="str">
        <f t="shared" si="34"/>
        <v>E</v>
      </c>
      <c r="E183" s="334" t="str">
        <f t="shared" si="30"/>
        <v>OK</v>
      </c>
      <c r="F183" s="334" t="s">
        <v>2042</v>
      </c>
      <c r="G183" s="334" t="str">
        <f t="shared" si="31"/>
        <v>ERSKPROV2 - Risk of misstatement of provision for doubtful balances because of doubtful balances are not properly estimated/ascertained</v>
      </c>
      <c r="H183" s="334" t="str">
        <f t="shared" si="32"/>
        <v>RSKPROV2 - Risk of misstatement of provision for doubtful balances because of doubtful balances are not properly estimated/ascertained</v>
      </c>
      <c r="I183" s="645" t="s">
        <v>1659</v>
      </c>
      <c r="J183" s="334" t="s">
        <v>2081</v>
      </c>
      <c r="K183" s="645" t="s">
        <v>1661</v>
      </c>
      <c r="T183" s="290">
        <f t="shared" si="35"/>
        <v>135</v>
      </c>
    </row>
    <row r="184" spans="2:20" ht="52.8" x14ac:dyDescent="0.3">
      <c r="B184" s="334" t="s">
        <v>1655</v>
      </c>
      <c r="C184" s="334" t="s">
        <v>2120</v>
      </c>
      <c r="D184" s="334" t="str">
        <f t="shared" si="34"/>
        <v>O</v>
      </c>
      <c r="E184" s="334" t="str">
        <f t="shared" si="30"/>
        <v>OK</v>
      </c>
      <c r="F184" s="334" t="s">
        <v>2045</v>
      </c>
      <c r="G184" s="334" t="str">
        <f t="shared" si="31"/>
        <v>ORSKPROV3 - Risk of understatement of expenses and provision balance as accruals of fabricator incentive and product warranties are not appropriately accounted</v>
      </c>
      <c r="H184" s="334" t="str">
        <f t="shared" si="32"/>
        <v>RSKPROV3 - Risk of understatement of expenses and provision balance as accruals of fabricator incentive and product warranties are not appropriately accounted</v>
      </c>
      <c r="I184" s="645" t="s">
        <v>1662</v>
      </c>
      <c r="J184" s="334" t="s">
        <v>2081</v>
      </c>
      <c r="K184" s="645" t="s">
        <v>2114</v>
      </c>
      <c r="T184" s="290">
        <f t="shared" si="35"/>
        <v>159</v>
      </c>
    </row>
    <row r="185" spans="2:20" ht="39.6" x14ac:dyDescent="0.3">
      <c r="B185" s="334" t="s">
        <v>1655</v>
      </c>
      <c r="C185" s="334" t="s">
        <v>2120</v>
      </c>
      <c r="D185" s="334" t="str">
        <f t="shared" si="34"/>
        <v>O</v>
      </c>
      <c r="E185" s="334" t="str">
        <f t="shared" si="30"/>
        <v>OK</v>
      </c>
      <c r="F185" s="334" t="s">
        <v>2040</v>
      </c>
      <c r="G185" s="334" t="str">
        <f t="shared" si="31"/>
        <v>ORSKPROV1 - Risk of misstatement of accrual for gratuity liability at the balance sheet date because the salary, period of service, and other relevant data provided by the entity for actuarial valuation is incorrect.</v>
      </c>
      <c r="H185" s="334" t="str">
        <f t="shared" si="32"/>
        <v>RSKPROV1 - Risk of misstatement of accrual for gratuity liability at the balance sheet date because the salary, period of service, and other relevant data provided by the entity for actuarial valuation is incorrect.</v>
      </c>
      <c r="I185" s="645" t="s">
        <v>1656</v>
      </c>
      <c r="J185" s="334" t="s">
        <v>2081</v>
      </c>
      <c r="K185" s="645" t="s">
        <v>1658</v>
      </c>
      <c r="T185" s="290">
        <f t="shared" si="35"/>
        <v>216</v>
      </c>
    </row>
    <row r="186" spans="2:20" ht="26.4" x14ac:dyDescent="0.3">
      <c r="B186" s="334" t="s">
        <v>1655</v>
      </c>
      <c r="C186" s="334" t="s">
        <v>25</v>
      </c>
      <c r="D186" s="334" t="str">
        <f t="shared" si="34"/>
        <v>V</v>
      </c>
      <c r="E186" s="334" t="str">
        <f t="shared" si="30"/>
        <v>OK</v>
      </c>
      <c r="F186" s="334" t="s">
        <v>2043</v>
      </c>
      <c r="G186" s="334" t="str">
        <f t="shared" si="31"/>
        <v>VRSKPROV2 - Risk of misstatement of provision for doubtful balances because of doubtful balances are not properly estimated/ascertained</v>
      </c>
      <c r="H186" s="334" t="str">
        <f t="shared" si="32"/>
        <v>RSKPROV2 - Risk of misstatement of provision for doubtful balances because of doubtful balances are not properly estimated/ascertained</v>
      </c>
      <c r="I186" s="645" t="s">
        <v>1659</v>
      </c>
      <c r="J186" s="334" t="s">
        <v>2081</v>
      </c>
      <c r="K186" s="645" t="s">
        <v>1661</v>
      </c>
      <c r="T186" s="290">
        <f t="shared" si="35"/>
        <v>135</v>
      </c>
    </row>
    <row r="187" spans="2:20" ht="39.6" x14ac:dyDescent="0.3">
      <c r="B187" s="334" t="s">
        <v>1655</v>
      </c>
      <c r="C187" s="334" t="s">
        <v>25</v>
      </c>
      <c r="D187" s="334" t="str">
        <f t="shared" si="34"/>
        <v>V</v>
      </c>
      <c r="E187" s="334" t="str">
        <f t="shared" si="30"/>
        <v>OK</v>
      </c>
      <c r="F187" s="334" t="s">
        <v>2041</v>
      </c>
      <c r="G187" s="334" t="str">
        <f t="shared" si="31"/>
        <v>VRSKPROV1 - Risk of misstatement of accrual for gratuity liability at the balance sheet date because the salary, period of service, and other relevant data provided by the entity for actuarial valuation is incorrect.</v>
      </c>
      <c r="H187" s="334" t="str">
        <f t="shared" si="32"/>
        <v>RSKPROV1 - Risk of misstatement of accrual for gratuity liability at the balance sheet date because the salary, period of service, and other relevant data provided by the entity for actuarial valuation is incorrect.</v>
      </c>
      <c r="I187" s="645" t="s">
        <v>1656</v>
      </c>
      <c r="J187" s="334" t="s">
        <v>2081</v>
      </c>
      <c r="K187" s="645" t="s">
        <v>1658</v>
      </c>
      <c r="T187" s="290">
        <f t="shared" si="35"/>
        <v>216</v>
      </c>
    </row>
    <row r="188" spans="2:20" ht="52.8" x14ac:dyDescent="0.3">
      <c r="B188" s="334" t="s">
        <v>1655</v>
      </c>
      <c r="C188" s="334" t="s">
        <v>25</v>
      </c>
      <c r="D188" s="334" t="str">
        <f t="shared" si="34"/>
        <v>V</v>
      </c>
      <c r="E188" s="334" t="str">
        <f t="shared" si="30"/>
        <v>OK</v>
      </c>
      <c r="F188" s="334" t="s">
        <v>2047</v>
      </c>
      <c r="G188" s="334" t="str">
        <f t="shared" si="31"/>
        <v>VRSKPROV3 - Risk of understatement of expenses and provision balance as accruals of fabricator incentive and product warranties are not appropriately accounted</v>
      </c>
      <c r="H188" s="334" t="str">
        <f t="shared" si="32"/>
        <v>RSKPROV3 - Risk of understatement of expenses and provision balance as accruals of fabricator incentive and product warranties are not appropriately accounted</v>
      </c>
      <c r="I188" s="645" t="s">
        <v>1662</v>
      </c>
      <c r="J188" s="334" t="s">
        <v>2081</v>
      </c>
      <c r="K188" s="645" t="s">
        <v>2114</v>
      </c>
      <c r="T188" s="290">
        <f t="shared" si="35"/>
        <v>159</v>
      </c>
    </row>
    <row r="189" spans="2:20" ht="39.6" x14ac:dyDescent="0.3">
      <c r="B189" s="334" t="s">
        <v>1665</v>
      </c>
      <c r="C189" s="334" t="s">
        <v>326</v>
      </c>
      <c r="D189" s="334" t="str">
        <f t="shared" si="34"/>
        <v>A</v>
      </c>
      <c r="E189" s="334" t="str">
        <f t="shared" si="30"/>
        <v>OK</v>
      </c>
      <c r="F189" s="334" t="s">
        <v>2054</v>
      </c>
      <c r="G189" s="334" t="str">
        <f t="shared" si="31"/>
        <v>ARSKEXP3 - Risk of mistatement of finance expenses because the transactions recorded in the general ledger are fictitious or unauthorised or the same are not recorded at all</v>
      </c>
      <c r="H189" s="334" t="str">
        <f t="shared" si="32"/>
        <v>RSKEXP3 - Risk of mistatement of finance expenses because the transactions recorded in the general ledger are fictitious or unauthorised or the same are not recorded at all</v>
      </c>
      <c r="I189" s="645" t="s">
        <v>779</v>
      </c>
      <c r="J189" s="334" t="s">
        <v>2081</v>
      </c>
      <c r="K189" s="645" t="s">
        <v>2085</v>
      </c>
      <c r="T189" s="290">
        <f t="shared" ref="T189:T202" si="36">LEN(G189)</f>
        <v>173</v>
      </c>
    </row>
    <row r="190" spans="2:20" ht="52.8" hidden="1" x14ac:dyDescent="0.3">
      <c r="B190" s="334" t="s">
        <v>1665</v>
      </c>
      <c r="C190" s="334" t="s">
        <v>326</v>
      </c>
      <c r="D190" s="334" t="str">
        <f t="shared" si="34"/>
        <v>A</v>
      </c>
      <c r="E190" s="334" t="str">
        <f t="shared" si="30"/>
        <v>OK</v>
      </c>
      <c r="F190" s="334" t="s">
        <v>2061</v>
      </c>
      <c r="G190" s="334" t="str">
        <f t="shared" si="31"/>
        <v>ARSKEXP6 - Risk of mistatement of Administration, establishment expenses because the transactions recorded in the general ledger are fictitious or unauthorised or the same are not recorded at all</v>
      </c>
      <c r="H190" s="334" t="str">
        <f t="shared" si="32"/>
        <v>RSKEXP6 - Risk of mistatement of Administration, establishment expenses because the transactions recorded in the general ledger are fictitious or unauthorised or the same are not recorded at all</v>
      </c>
      <c r="I190" s="645" t="s">
        <v>782</v>
      </c>
      <c r="J190" s="334" t="s">
        <v>1666</v>
      </c>
      <c r="K190" s="645" t="s">
        <v>2119</v>
      </c>
      <c r="T190" s="290">
        <f t="shared" si="36"/>
        <v>195</v>
      </c>
    </row>
    <row r="191" spans="2:20" ht="39.6" hidden="1" x14ac:dyDescent="0.3">
      <c r="B191" s="334" t="s">
        <v>1665</v>
      </c>
      <c r="C191" s="334" t="s">
        <v>19</v>
      </c>
      <c r="D191" s="334" t="str">
        <f t="shared" si="34"/>
        <v>C</v>
      </c>
      <c r="E191" s="334" t="str">
        <f t="shared" si="30"/>
        <v>OK</v>
      </c>
      <c r="F191" s="334" t="s">
        <v>2051</v>
      </c>
      <c r="G191" s="334" t="str">
        <f t="shared" si="31"/>
        <v>CRSKEXP2 - Risk of mistatement of advertisement expenses because the transactions recorded in the general ledger are fictitious or unauthorised or the same are not recorded at all</v>
      </c>
      <c r="H191" s="334" t="str">
        <f t="shared" si="32"/>
        <v>RSKEXP2 - Risk of mistatement of advertisement expenses because the transactions recorded in the general ledger are fictitious or unauthorised or the same are not recorded at all</v>
      </c>
      <c r="I191" s="645" t="s">
        <v>778</v>
      </c>
      <c r="J191" s="334" t="s">
        <v>1666</v>
      </c>
      <c r="K191" s="334" t="s">
        <v>1667</v>
      </c>
      <c r="T191" s="290">
        <f t="shared" si="36"/>
        <v>179</v>
      </c>
    </row>
    <row r="192" spans="2:20" ht="39.6" x14ac:dyDescent="0.3">
      <c r="B192" s="334" t="s">
        <v>1665</v>
      </c>
      <c r="C192" s="334" t="s">
        <v>19</v>
      </c>
      <c r="D192" s="334" t="str">
        <f t="shared" si="34"/>
        <v>C</v>
      </c>
      <c r="E192" s="334" t="str">
        <f t="shared" si="30"/>
        <v>OK</v>
      </c>
      <c r="F192" s="334" t="s">
        <v>2053</v>
      </c>
      <c r="G192" s="334" t="str">
        <f t="shared" si="31"/>
        <v>CRSKEXP3 - Risk of mistatement of finance expenses because the transactions recorded in the general ledger are fictitious or unauthorised or the same are not recorded at all</v>
      </c>
      <c r="H192" s="334" t="str">
        <f t="shared" si="32"/>
        <v>RSKEXP3 - Risk of mistatement of finance expenses because the transactions recorded in the general ledger are fictitious or unauthorised or the same are not recorded at all</v>
      </c>
      <c r="I192" s="645" t="s">
        <v>779</v>
      </c>
      <c r="J192" s="334" t="s">
        <v>2081</v>
      </c>
      <c r="K192" s="645" t="s">
        <v>2085</v>
      </c>
      <c r="T192" s="290">
        <f t="shared" si="36"/>
        <v>173</v>
      </c>
    </row>
    <row r="193" spans="2:20" ht="39.6" x14ac:dyDescent="0.3">
      <c r="B193" s="334" t="s">
        <v>1665</v>
      </c>
      <c r="C193" s="334" t="s">
        <v>19</v>
      </c>
      <c r="D193" s="334" t="str">
        <f t="shared" si="34"/>
        <v>C</v>
      </c>
      <c r="E193" s="334" t="str">
        <f t="shared" si="30"/>
        <v>OK</v>
      </c>
      <c r="F193" s="334" t="s">
        <v>2056</v>
      </c>
      <c r="G193" s="334" t="str">
        <f t="shared" si="31"/>
        <v>CRSKEXP4 - Risk of mistatement of depreciation expenses because the transactions recorded in the general ledger are fictitious or unauthorised or the same are not recorded at all</v>
      </c>
      <c r="H193" s="334" t="str">
        <f t="shared" si="32"/>
        <v>RSKEXP4 - Risk of mistatement of depreciation expenses because the transactions recorded in the general ledger are fictitious or unauthorised or the same are not recorded at all</v>
      </c>
      <c r="I193" s="645" t="s">
        <v>780</v>
      </c>
      <c r="J193" s="334" t="s">
        <v>2081</v>
      </c>
      <c r="K193" s="334" t="s">
        <v>1512</v>
      </c>
      <c r="T193" s="290">
        <f t="shared" si="36"/>
        <v>178</v>
      </c>
    </row>
    <row r="194" spans="2:20" ht="39.6" hidden="1" x14ac:dyDescent="0.3">
      <c r="B194" s="334" t="s">
        <v>1665</v>
      </c>
      <c r="C194" s="334" t="s">
        <v>19</v>
      </c>
      <c r="D194" s="334" t="str">
        <f t="shared" si="34"/>
        <v>C</v>
      </c>
      <c r="E194" s="334" t="str">
        <f t="shared" si="30"/>
        <v>OK</v>
      </c>
      <c r="F194" s="334" t="s">
        <v>2058</v>
      </c>
      <c r="G194" s="334" t="str">
        <f t="shared" si="31"/>
        <v>CRSKEXP5 - Risk of mistatement of Bad debts expenses because the transactions recorded in the general ledger are fictitious or unauthorised or the same are not recorded at all</v>
      </c>
      <c r="H194" s="334" t="str">
        <f t="shared" si="32"/>
        <v>RSKEXP5 - Risk of mistatement of Bad debts expenses because the transactions recorded in the general ledger are fictitious or unauthorised or the same are not recorded at all</v>
      </c>
      <c r="I194" s="645" t="s">
        <v>781</v>
      </c>
      <c r="J194" s="334" t="s">
        <v>1567</v>
      </c>
      <c r="K194" s="334" t="s">
        <v>1568</v>
      </c>
      <c r="T194" s="290">
        <f t="shared" si="36"/>
        <v>175</v>
      </c>
    </row>
    <row r="195" spans="2:20" ht="52.8" hidden="1" x14ac:dyDescent="0.3">
      <c r="B195" s="334" t="s">
        <v>1665</v>
      </c>
      <c r="C195" s="334" t="s">
        <v>19</v>
      </c>
      <c r="D195" s="334" t="str">
        <f t="shared" si="34"/>
        <v>C</v>
      </c>
      <c r="E195" s="334" t="str">
        <f t="shared" si="30"/>
        <v>OK</v>
      </c>
      <c r="F195" s="334" t="s">
        <v>2060</v>
      </c>
      <c r="G195" s="334" t="str">
        <f t="shared" si="31"/>
        <v>CRSKEXP6 - Risk of mistatement of Administration, establishment expenses because the transactions recorded in the general ledger are fictitious or unauthorised or the same are not recorded at all</v>
      </c>
      <c r="H195" s="334" t="str">
        <f t="shared" si="32"/>
        <v>RSKEXP6 - Risk of mistatement of Administration, establishment expenses because the transactions recorded in the general ledger are fictitious or unauthorised or the same are not recorded at all</v>
      </c>
      <c r="I195" s="645" t="s">
        <v>782</v>
      </c>
      <c r="J195" s="334" t="s">
        <v>1666</v>
      </c>
      <c r="K195" s="645" t="s">
        <v>2119</v>
      </c>
      <c r="T195" s="290">
        <f t="shared" si="36"/>
        <v>195</v>
      </c>
    </row>
    <row r="196" spans="2:20" ht="52.8" hidden="1" x14ac:dyDescent="0.3">
      <c r="B196" s="334" t="s">
        <v>1665</v>
      </c>
      <c r="C196" s="334" t="s">
        <v>552</v>
      </c>
      <c r="D196" s="334" t="str">
        <f>LEFT(G196,2)</f>
        <v>CL</v>
      </c>
      <c r="E196" s="334" t="str">
        <f t="shared" ref="E196:E202" si="37">IF(MID(G196,2,1)="R", "OK","CHECK")</f>
        <v>CHECK</v>
      </c>
      <c r="F196" s="334" t="s">
        <v>2062</v>
      </c>
      <c r="G196" s="334" t="str">
        <f t="shared" ref="G196:G202" si="38">TRIM(F196)</f>
        <v>CLRSKEXP6 - Risk of mistatement of Administration, establishment expenses because the transactions recorded in the general ledger are fictitious or unauthorised or the same are not recorded at all</v>
      </c>
      <c r="H196" s="334" t="str">
        <f t="shared" ref="H196:H202" si="39">MID(G196,LEN(D196)+1,T196-LEN(D196))</f>
        <v>RSKEXP6 - Risk of mistatement of Administration, establishment expenses because the transactions recorded in the general ledger are fictitious or unauthorised or the same are not recorded at all</v>
      </c>
      <c r="I196" s="645" t="s">
        <v>782</v>
      </c>
      <c r="J196" s="334" t="s">
        <v>1666</v>
      </c>
      <c r="K196" s="645" t="s">
        <v>2119</v>
      </c>
      <c r="T196" s="290">
        <f t="shared" si="36"/>
        <v>196</v>
      </c>
    </row>
    <row r="197" spans="2:20" ht="39.6" x14ac:dyDescent="0.3">
      <c r="B197" s="334" t="s">
        <v>1665</v>
      </c>
      <c r="C197" s="334" t="s">
        <v>306</v>
      </c>
      <c r="D197" s="334" t="str">
        <f t="shared" ref="D197:D202" si="40">LEFT(G197)</f>
        <v>O</v>
      </c>
      <c r="E197" s="334" t="str">
        <f t="shared" si="37"/>
        <v>OK</v>
      </c>
      <c r="F197" s="334" t="s">
        <v>2049</v>
      </c>
      <c r="G197" s="334" t="str">
        <f t="shared" si="38"/>
        <v>ORSKEXP1 - Risk of overstatement of discounts given to distributors / dealers because the transactions recorded in the general ledger are fictitious or unauthorised.</v>
      </c>
      <c r="H197" s="334" t="str">
        <f t="shared" si="39"/>
        <v>RSKEXP1 - Risk of overstatement of discounts given to distributors / dealers because the transactions recorded in the general ledger are fictitious or unauthorised.</v>
      </c>
      <c r="I197" s="645" t="s">
        <v>777</v>
      </c>
      <c r="J197" s="334" t="s">
        <v>2081</v>
      </c>
      <c r="K197" s="334" t="s">
        <v>1552</v>
      </c>
      <c r="T197" s="290">
        <f t="shared" si="36"/>
        <v>165</v>
      </c>
    </row>
    <row r="198" spans="2:20" ht="39.6" hidden="1" x14ac:dyDescent="0.3">
      <c r="B198" s="646" t="s">
        <v>1665</v>
      </c>
      <c r="C198" s="646" t="s">
        <v>306</v>
      </c>
      <c r="D198" s="334" t="str">
        <f t="shared" si="40"/>
        <v>O</v>
      </c>
      <c r="E198" s="334" t="str">
        <f t="shared" si="37"/>
        <v>OK</v>
      </c>
      <c r="F198" s="334" t="s">
        <v>2050</v>
      </c>
      <c r="G198" s="334" t="str">
        <f t="shared" si="38"/>
        <v>ORSKEXP2 - Risk of mistatement of advertisement expenses because the transactions recorded in the general ledger are fictitious or unauthorised or the same are not recorded at all</v>
      </c>
      <c r="H198" s="334" t="str">
        <f t="shared" si="39"/>
        <v>RSKEXP2 - Risk of mistatement of advertisement expenses because the transactions recorded in the general ledger are fictitious or unauthorised or the same are not recorded at all</v>
      </c>
      <c r="I198" s="645" t="s">
        <v>778</v>
      </c>
      <c r="J198" s="334" t="s">
        <v>1666</v>
      </c>
      <c r="K198" s="334" t="s">
        <v>1667</v>
      </c>
      <c r="T198" s="290">
        <f t="shared" si="36"/>
        <v>179</v>
      </c>
    </row>
    <row r="199" spans="2:20" ht="39.6" x14ac:dyDescent="0.3">
      <c r="B199" s="646" t="s">
        <v>1665</v>
      </c>
      <c r="C199" s="646" t="s">
        <v>306</v>
      </c>
      <c r="D199" s="334" t="str">
        <f t="shared" si="40"/>
        <v>O</v>
      </c>
      <c r="E199" s="334" t="str">
        <f t="shared" si="37"/>
        <v>OK</v>
      </c>
      <c r="F199" s="334" t="s">
        <v>2052</v>
      </c>
      <c r="G199" s="334" t="str">
        <f t="shared" si="38"/>
        <v>ORSKEXP3 - Risk of mistatement of finance expenses because the transactions recorded in the general ledger are fictitious or unauthorised or the same are not recorded at all</v>
      </c>
      <c r="H199" s="334" t="str">
        <f t="shared" si="39"/>
        <v>RSKEXP3 - Risk of mistatement of finance expenses because the transactions recorded in the general ledger are fictitious or unauthorised or the same are not recorded at all</v>
      </c>
      <c r="I199" s="645" t="s">
        <v>779</v>
      </c>
      <c r="J199" s="334" t="s">
        <v>2081</v>
      </c>
      <c r="K199" s="645" t="s">
        <v>2085</v>
      </c>
      <c r="T199" s="290">
        <f t="shared" si="36"/>
        <v>173</v>
      </c>
    </row>
    <row r="200" spans="2:20" ht="39.6" x14ac:dyDescent="0.3">
      <c r="B200" s="646" t="s">
        <v>1665</v>
      </c>
      <c r="C200" s="646" t="s">
        <v>306</v>
      </c>
      <c r="D200" s="334" t="str">
        <f t="shared" si="40"/>
        <v>O</v>
      </c>
      <c r="E200" s="334" t="str">
        <f t="shared" si="37"/>
        <v>OK</v>
      </c>
      <c r="F200" s="334" t="s">
        <v>2055</v>
      </c>
      <c r="G200" s="334" t="str">
        <f t="shared" si="38"/>
        <v>ORSKEXP4 - Risk of mistatement of depreciation expenses because the transactions recorded in the general ledger are fictitious or unauthorised or the same are not recorded at all</v>
      </c>
      <c r="H200" s="334" t="str">
        <f t="shared" si="39"/>
        <v>RSKEXP4 - Risk of mistatement of depreciation expenses because the transactions recorded in the general ledger are fictitious or unauthorised or the same are not recorded at all</v>
      </c>
      <c r="I200" s="645" t="s">
        <v>780</v>
      </c>
      <c r="J200" s="334" t="s">
        <v>2081</v>
      </c>
      <c r="K200" s="334" t="s">
        <v>1512</v>
      </c>
      <c r="T200" s="290">
        <f t="shared" si="36"/>
        <v>178</v>
      </c>
    </row>
    <row r="201" spans="2:20" ht="39.6" hidden="1" x14ac:dyDescent="0.3">
      <c r="B201" s="646" t="s">
        <v>1665</v>
      </c>
      <c r="C201" s="646" t="s">
        <v>306</v>
      </c>
      <c r="D201" s="334" t="str">
        <f t="shared" si="40"/>
        <v>O</v>
      </c>
      <c r="E201" s="334" t="str">
        <f t="shared" si="37"/>
        <v>OK</v>
      </c>
      <c r="F201" s="334" t="s">
        <v>2057</v>
      </c>
      <c r="G201" s="334" t="str">
        <f t="shared" si="38"/>
        <v>ORSKEXP5 - Risk of mistatement of Bad debts expenses because the transactions recorded in the general ledger are fictitious or unauthorised or the same are not recorded at all</v>
      </c>
      <c r="H201" s="334" t="str">
        <f t="shared" si="39"/>
        <v>RSKEXP5 - Risk of mistatement of Bad debts expenses because the transactions recorded in the general ledger are fictitious or unauthorised or the same are not recorded at all</v>
      </c>
      <c r="I201" s="645" t="s">
        <v>781</v>
      </c>
      <c r="J201" s="334" t="s">
        <v>1567</v>
      </c>
      <c r="K201" s="334" t="s">
        <v>1568</v>
      </c>
      <c r="T201" s="290">
        <f t="shared" si="36"/>
        <v>175</v>
      </c>
    </row>
    <row r="202" spans="2:20" ht="52.8" hidden="1" x14ac:dyDescent="0.3">
      <c r="B202" s="647" t="s">
        <v>1665</v>
      </c>
      <c r="C202" s="647" t="s">
        <v>306</v>
      </c>
      <c r="D202" s="648" t="str">
        <f t="shared" si="40"/>
        <v>O</v>
      </c>
      <c r="E202" s="648" t="str">
        <f t="shared" si="37"/>
        <v>OK</v>
      </c>
      <c r="F202" s="648" t="s">
        <v>2059</v>
      </c>
      <c r="G202" s="648" t="str">
        <f t="shared" si="38"/>
        <v>ORSKEXP6 - Risk of mistatement of Administration, establishment expenses because the transactions recorded in the general ledger are fictitious or unauthorised or the same are not recorded at all</v>
      </c>
      <c r="H202" s="648" t="str">
        <f t="shared" si="39"/>
        <v>RSKEXP6 - Risk of mistatement of Administration, establishment expenses because the transactions recorded in the general ledger are fictitious or unauthorised or the same are not recorded at all</v>
      </c>
      <c r="I202" s="649" t="s">
        <v>782</v>
      </c>
      <c r="J202" s="648" t="s">
        <v>1666</v>
      </c>
      <c r="K202" s="649" t="s">
        <v>2119</v>
      </c>
      <c r="T202" s="290">
        <f t="shared" si="36"/>
        <v>195</v>
      </c>
    </row>
  </sheetData>
  <autoFilter ref="B3:K202" xr:uid="{8E1A99F8-A725-4E10-AEA2-9FD1964D8B67}">
    <filterColumn colId="8">
      <filters>
        <filter val="NIL"/>
      </filters>
    </filterColumn>
  </autoFilter>
  <mergeCells count="1">
    <mergeCell ref="J2: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409E-C0BA-4AFE-B144-08A1D202E70C}">
  <dimension ref="B2:H41"/>
  <sheetViews>
    <sheetView workbookViewId="0">
      <selection activeCell="I4" sqref="I4"/>
    </sheetView>
  </sheetViews>
  <sheetFormatPr defaultRowHeight="14.4" x14ac:dyDescent="0.3"/>
  <cols>
    <col min="1" max="1" width="8.88671875" style="270"/>
    <col min="2" max="2" width="8.88671875" style="290"/>
    <col min="3" max="3" width="11.88671875" style="290" hidden="1" customWidth="1"/>
    <col min="4" max="4" width="106.109375" style="290" customWidth="1"/>
    <col min="5" max="5" width="11.6640625" style="270" bestFit="1" customWidth="1"/>
    <col min="6" max="6" width="8.6640625" style="270" bestFit="1" customWidth="1"/>
    <col min="7" max="8" width="53.6640625" style="290" customWidth="1"/>
    <col min="9" max="16384" width="8.88671875" style="270"/>
  </cols>
  <sheetData>
    <row r="2" spans="2:8" x14ac:dyDescent="0.3">
      <c r="B2" s="353" t="s">
        <v>2210</v>
      </c>
    </row>
    <row r="4" spans="2:8" ht="26.4" x14ac:dyDescent="0.3">
      <c r="B4" s="675" t="s">
        <v>2206</v>
      </c>
      <c r="C4" s="675" t="s">
        <v>2207</v>
      </c>
      <c r="D4" s="675" t="s">
        <v>2208</v>
      </c>
      <c r="E4" s="675" t="s">
        <v>2203</v>
      </c>
      <c r="F4" s="675" t="s">
        <v>2204</v>
      </c>
      <c r="G4" s="675" t="s">
        <v>2209</v>
      </c>
    </row>
    <row r="5" spans="2:8" ht="26.4" x14ac:dyDescent="0.25">
      <c r="B5" s="290" t="s">
        <v>2132</v>
      </c>
      <c r="C5" s="289" t="s">
        <v>1617</v>
      </c>
      <c r="D5" s="643" t="s">
        <v>2174</v>
      </c>
      <c r="E5" s="674" t="s">
        <v>619</v>
      </c>
      <c r="F5" s="674"/>
      <c r="G5" s="643" t="s">
        <v>640</v>
      </c>
    </row>
    <row r="6" spans="2:8" ht="52.8" x14ac:dyDescent="0.25">
      <c r="B6" s="290" t="s">
        <v>2133</v>
      </c>
      <c r="C6" s="289" t="s">
        <v>1620</v>
      </c>
      <c r="D6" s="643" t="s">
        <v>2175</v>
      </c>
      <c r="E6" s="673"/>
      <c r="F6" s="673"/>
      <c r="G6" s="643" t="s">
        <v>1240</v>
      </c>
      <c r="H6" s="290" t="s">
        <v>2205</v>
      </c>
    </row>
    <row r="7" spans="2:8" ht="39.6" x14ac:dyDescent="0.25">
      <c r="B7" s="290" t="s">
        <v>2134</v>
      </c>
      <c r="C7" s="289" t="s">
        <v>1593</v>
      </c>
      <c r="D7" s="643" t="s">
        <v>2176</v>
      </c>
      <c r="E7" s="673"/>
      <c r="F7" s="673"/>
      <c r="G7" s="643" t="s">
        <v>1129</v>
      </c>
    </row>
    <row r="8" spans="2:8" x14ac:dyDescent="0.25">
      <c r="B8" s="290" t="s">
        <v>2135</v>
      </c>
      <c r="C8" s="289" t="s">
        <v>1599</v>
      </c>
      <c r="D8" s="643" t="s">
        <v>2168</v>
      </c>
      <c r="E8" s="673"/>
      <c r="F8" s="673"/>
      <c r="G8" s="643" t="e">
        <v>#N/A</v>
      </c>
    </row>
    <row r="9" spans="2:8" x14ac:dyDescent="0.25">
      <c r="B9" s="290" t="s">
        <v>2136</v>
      </c>
      <c r="C9" s="289" t="s">
        <v>1605</v>
      </c>
      <c r="D9" s="643" t="s">
        <v>2169</v>
      </c>
      <c r="E9" s="673"/>
      <c r="F9" s="673"/>
      <c r="G9" s="643" t="e">
        <v>#N/A</v>
      </c>
    </row>
    <row r="10" spans="2:8" ht="26.4" x14ac:dyDescent="0.25">
      <c r="B10" s="290" t="s">
        <v>2137</v>
      </c>
      <c r="C10" s="289" t="s">
        <v>2064</v>
      </c>
      <c r="D10" s="643" t="s">
        <v>2177</v>
      </c>
      <c r="E10" s="673"/>
      <c r="F10" s="673"/>
      <c r="G10" s="643" t="s">
        <v>634</v>
      </c>
    </row>
    <row r="11" spans="2:8" ht="118.8" x14ac:dyDescent="0.25">
      <c r="B11" s="290" t="s">
        <v>2138</v>
      </c>
      <c r="C11" s="289" t="s">
        <v>1562</v>
      </c>
      <c r="D11" s="643" t="s">
        <v>2178</v>
      </c>
      <c r="E11" s="673"/>
      <c r="F11" s="673"/>
      <c r="G11" s="643" t="s">
        <v>1342</v>
      </c>
    </row>
    <row r="12" spans="2:8" x14ac:dyDescent="0.25">
      <c r="B12" s="290" t="s">
        <v>2139</v>
      </c>
      <c r="C12" s="289" t="s">
        <v>1569</v>
      </c>
      <c r="D12" s="643" t="s">
        <v>2170</v>
      </c>
      <c r="E12" s="673"/>
      <c r="F12" s="673"/>
      <c r="G12" s="643" t="e">
        <v>#N/A</v>
      </c>
    </row>
    <row r="13" spans="2:8" ht="52.8" x14ac:dyDescent="0.25">
      <c r="B13" s="290" t="s">
        <v>2140</v>
      </c>
      <c r="C13" s="289" t="s">
        <v>1746</v>
      </c>
      <c r="D13" s="643" t="s">
        <v>2179</v>
      </c>
      <c r="E13" s="673"/>
      <c r="F13" s="673"/>
      <c r="G13" s="643" t="s">
        <v>1737</v>
      </c>
    </row>
    <row r="14" spans="2:8" ht="79.2" x14ac:dyDescent="0.25">
      <c r="B14" s="290" t="s">
        <v>2141</v>
      </c>
      <c r="C14" s="289" t="s">
        <v>1762</v>
      </c>
      <c r="D14" s="643" t="s">
        <v>2180</v>
      </c>
      <c r="E14" s="673"/>
      <c r="F14" s="673"/>
      <c r="G14" s="643" t="s">
        <v>1757</v>
      </c>
    </row>
    <row r="15" spans="2:8" ht="26.4" x14ac:dyDescent="0.25">
      <c r="B15" s="290" t="s">
        <v>2142</v>
      </c>
      <c r="C15" s="289" t="s">
        <v>777</v>
      </c>
      <c r="D15" s="643" t="s">
        <v>2181</v>
      </c>
      <c r="E15" s="673"/>
      <c r="F15" s="673"/>
      <c r="G15" s="643" t="s">
        <v>1086</v>
      </c>
    </row>
    <row r="16" spans="2:8" ht="39.6" x14ac:dyDescent="0.25">
      <c r="B16" s="290" t="s">
        <v>2143</v>
      </c>
      <c r="C16" s="289" t="s">
        <v>779</v>
      </c>
      <c r="D16" s="643" t="s">
        <v>2182</v>
      </c>
      <c r="E16" s="673"/>
      <c r="F16" s="673"/>
      <c r="G16" s="643" t="s">
        <v>638</v>
      </c>
    </row>
    <row r="17" spans="2:7" ht="26.4" x14ac:dyDescent="0.25">
      <c r="B17" s="290" t="s">
        <v>2144</v>
      </c>
      <c r="C17" s="289" t="s">
        <v>780</v>
      </c>
      <c r="D17" s="643" t="s">
        <v>2183</v>
      </c>
      <c r="E17" s="673"/>
      <c r="F17" s="673"/>
      <c r="G17" s="643" t="e">
        <v>#N/A</v>
      </c>
    </row>
    <row r="18" spans="2:7" ht="26.4" x14ac:dyDescent="0.25">
      <c r="B18" s="290" t="s">
        <v>2145</v>
      </c>
      <c r="C18" s="289" t="s">
        <v>723</v>
      </c>
      <c r="D18" s="643" t="s">
        <v>2184</v>
      </c>
      <c r="E18" s="673"/>
      <c r="F18" s="673"/>
      <c r="G18" s="643" t="s">
        <v>622</v>
      </c>
    </row>
    <row r="19" spans="2:7" ht="26.4" x14ac:dyDescent="0.25">
      <c r="B19" s="290" t="s">
        <v>2146</v>
      </c>
      <c r="C19" s="289" t="s">
        <v>1510</v>
      </c>
      <c r="D19" s="643" t="s">
        <v>2185</v>
      </c>
      <c r="E19" s="673"/>
      <c r="F19" s="673"/>
      <c r="G19" s="643" t="e">
        <v>#N/A</v>
      </c>
    </row>
    <row r="20" spans="2:7" ht="39.6" x14ac:dyDescent="0.25">
      <c r="B20" s="290" t="s">
        <v>1413</v>
      </c>
      <c r="C20" s="289" t="s">
        <v>1572</v>
      </c>
      <c r="D20" s="643" t="s">
        <v>2166</v>
      </c>
      <c r="E20" s="673"/>
      <c r="F20" s="673"/>
      <c r="G20" s="643" t="s">
        <v>1401</v>
      </c>
    </row>
    <row r="21" spans="2:7" ht="52.8" x14ac:dyDescent="0.25">
      <c r="B21" s="290" t="s">
        <v>1417</v>
      </c>
      <c r="C21" s="289" t="s">
        <v>1575</v>
      </c>
      <c r="D21" s="643" t="s">
        <v>2167</v>
      </c>
      <c r="E21" s="673"/>
      <c r="F21" s="673"/>
      <c r="G21" s="643" t="s">
        <v>1407</v>
      </c>
    </row>
    <row r="22" spans="2:7" x14ac:dyDescent="0.25">
      <c r="B22" s="290" t="s">
        <v>1420</v>
      </c>
      <c r="C22" s="289" t="s">
        <v>1577</v>
      </c>
      <c r="D22" s="643" t="s">
        <v>2173</v>
      </c>
      <c r="E22" s="673"/>
      <c r="F22" s="673"/>
      <c r="G22" s="643" t="e">
        <v>#N/A</v>
      </c>
    </row>
    <row r="23" spans="2:7" ht="39.6" x14ac:dyDescent="0.25">
      <c r="B23" s="290" t="s">
        <v>2147</v>
      </c>
      <c r="C23" s="289" t="s">
        <v>1541</v>
      </c>
      <c r="D23" s="643" t="s">
        <v>2186</v>
      </c>
      <c r="E23" s="673"/>
      <c r="F23" s="673"/>
      <c r="G23" s="643" t="e">
        <v>#VALUE!</v>
      </c>
    </row>
    <row r="24" spans="2:7" ht="52.8" x14ac:dyDescent="0.25">
      <c r="B24" s="290" t="s">
        <v>2148</v>
      </c>
      <c r="C24" s="289" t="s">
        <v>1543</v>
      </c>
      <c r="D24" s="643" t="s">
        <v>2171</v>
      </c>
      <c r="E24" s="673"/>
      <c r="F24" s="673"/>
      <c r="G24" s="643" t="s">
        <v>1127</v>
      </c>
    </row>
    <row r="25" spans="2:7" ht="39.6" x14ac:dyDescent="0.25">
      <c r="B25" s="290" t="s">
        <v>2149</v>
      </c>
      <c r="C25" s="289" t="s">
        <v>766</v>
      </c>
      <c r="D25" s="643" t="s">
        <v>2187</v>
      </c>
      <c r="E25" s="673"/>
      <c r="F25" s="673"/>
      <c r="G25" s="643" t="s">
        <v>921</v>
      </c>
    </row>
    <row r="26" spans="2:7" ht="39.6" x14ac:dyDescent="0.25">
      <c r="B26" s="290" t="s">
        <v>2150</v>
      </c>
      <c r="C26" s="289" t="s">
        <v>1774</v>
      </c>
      <c r="D26" s="643" t="s">
        <v>2188</v>
      </c>
      <c r="E26" s="673"/>
      <c r="F26" s="673"/>
      <c r="G26" s="643" t="s">
        <v>1160</v>
      </c>
    </row>
    <row r="27" spans="2:7" ht="26.4" x14ac:dyDescent="0.25">
      <c r="B27" s="290" t="s">
        <v>2151</v>
      </c>
      <c r="C27" s="289" t="s">
        <v>1806</v>
      </c>
      <c r="D27" s="643" t="s">
        <v>2189</v>
      </c>
      <c r="E27" s="673"/>
      <c r="F27" s="673"/>
      <c r="G27" s="643" t="e">
        <v>#N/A</v>
      </c>
    </row>
    <row r="28" spans="2:7" x14ac:dyDescent="0.25">
      <c r="B28" s="290" t="s">
        <v>2152</v>
      </c>
      <c r="C28" s="289" t="s">
        <v>1783</v>
      </c>
      <c r="D28" s="643" t="s">
        <v>2190</v>
      </c>
      <c r="E28" s="673"/>
      <c r="F28" s="673"/>
      <c r="G28" s="643" t="e">
        <v>#N/A</v>
      </c>
    </row>
    <row r="29" spans="2:7" ht="79.2" x14ac:dyDescent="0.25">
      <c r="B29" s="290" t="s">
        <v>2153</v>
      </c>
      <c r="C29" s="289" t="s">
        <v>744</v>
      </c>
      <c r="D29" s="643" t="s">
        <v>2191</v>
      </c>
      <c r="E29" s="673"/>
      <c r="F29" s="673"/>
      <c r="G29" s="643" t="s">
        <v>666</v>
      </c>
    </row>
    <row r="30" spans="2:7" ht="79.2" x14ac:dyDescent="0.25">
      <c r="B30" s="290" t="s">
        <v>2154</v>
      </c>
      <c r="C30" s="289" t="s">
        <v>745</v>
      </c>
      <c r="D30" s="643" t="s">
        <v>2192</v>
      </c>
      <c r="E30" s="673"/>
      <c r="F30" s="673"/>
      <c r="G30" s="643" t="s">
        <v>666</v>
      </c>
    </row>
    <row r="31" spans="2:7" ht="26.4" x14ac:dyDescent="0.25">
      <c r="B31" s="290" t="s">
        <v>2155</v>
      </c>
      <c r="C31" s="289" t="s">
        <v>1533</v>
      </c>
      <c r="D31" s="643" t="s">
        <v>2193</v>
      </c>
      <c r="E31" s="673"/>
      <c r="F31" s="673"/>
      <c r="G31" s="643" t="e">
        <v>#N/A</v>
      </c>
    </row>
    <row r="32" spans="2:7" ht="26.4" x14ac:dyDescent="0.25">
      <c r="B32" s="290" t="s">
        <v>2156</v>
      </c>
      <c r="C32" s="289" t="s">
        <v>1789</v>
      </c>
      <c r="D32" s="643" t="s">
        <v>2172</v>
      </c>
      <c r="E32" s="673"/>
      <c r="F32" s="673"/>
      <c r="G32" s="643" t="e">
        <v>#N/A</v>
      </c>
    </row>
    <row r="33" spans="2:7" ht="39.6" x14ac:dyDescent="0.25">
      <c r="B33" s="290" t="s">
        <v>2157</v>
      </c>
      <c r="C33" s="289" t="s">
        <v>1656</v>
      </c>
      <c r="D33" s="643" t="s">
        <v>2194</v>
      </c>
      <c r="E33" s="673"/>
      <c r="F33" s="673"/>
      <c r="G33" s="643" t="s">
        <v>1352</v>
      </c>
    </row>
    <row r="34" spans="2:7" ht="66" x14ac:dyDescent="0.25">
      <c r="B34" s="290" t="s">
        <v>2158</v>
      </c>
      <c r="C34" s="289" t="s">
        <v>1659</v>
      </c>
      <c r="D34" s="643" t="s">
        <v>2195</v>
      </c>
      <c r="E34" s="673"/>
      <c r="F34" s="673"/>
      <c r="G34" s="643" t="s">
        <v>1358</v>
      </c>
    </row>
    <row r="35" spans="2:7" ht="105.6" x14ac:dyDescent="0.25">
      <c r="B35" s="290" t="s">
        <v>2159</v>
      </c>
      <c r="C35" s="289" t="s">
        <v>1662</v>
      </c>
      <c r="D35" s="643" t="s">
        <v>2196</v>
      </c>
      <c r="E35" s="673"/>
      <c r="F35" s="673"/>
      <c r="G35" s="643" t="s">
        <v>1365</v>
      </c>
    </row>
    <row r="36" spans="2:7" ht="26.4" x14ac:dyDescent="0.25">
      <c r="B36" s="290" t="s">
        <v>2160</v>
      </c>
      <c r="C36" s="289" t="s">
        <v>775</v>
      </c>
      <c r="D36" s="643" t="s">
        <v>2197</v>
      </c>
      <c r="E36" s="673"/>
      <c r="F36" s="673"/>
      <c r="G36" s="643" t="s">
        <v>1344</v>
      </c>
    </row>
    <row r="37" spans="2:7" ht="39.6" x14ac:dyDescent="0.25">
      <c r="B37" s="290" t="s">
        <v>2161</v>
      </c>
      <c r="C37" s="289" t="s">
        <v>776</v>
      </c>
      <c r="D37" s="643" t="s">
        <v>2198</v>
      </c>
      <c r="E37" s="673"/>
      <c r="F37" s="673"/>
      <c r="G37" s="643" t="s">
        <v>635</v>
      </c>
    </row>
    <row r="38" spans="2:7" ht="52.8" x14ac:dyDescent="0.25">
      <c r="B38" s="290" t="s">
        <v>2162</v>
      </c>
      <c r="C38" s="289" t="s">
        <v>923</v>
      </c>
      <c r="D38" s="643" t="s">
        <v>2199</v>
      </c>
      <c r="E38" s="673"/>
      <c r="F38" s="673"/>
      <c r="G38" s="643" t="s">
        <v>927</v>
      </c>
    </row>
    <row r="39" spans="2:7" ht="26.4" x14ac:dyDescent="0.25">
      <c r="B39" s="290" t="s">
        <v>2163</v>
      </c>
      <c r="C39" s="289" t="s">
        <v>1013</v>
      </c>
      <c r="D39" s="643" t="s">
        <v>2200</v>
      </c>
      <c r="E39" s="673"/>
      <c r="F39" s="673"/>
      <c r="G39" s="643" t="s">
        <v>1026</v>
      </c>
    </row>
    <row r="40" spans="2:7" x14ac:dyDescent="0.25">
      <c r="B40" s="290" t="s">
        <v>2164</v>
      </c>
      <c r="C40" s="289" t="s">
        <v>1015</v>
      </c>
      <c r="D40" s="643" t="s">
        <v>2201</v>
      </c>
      <c r="E40" s="673"/>
      <c r="F40" s="673"/>
      <c r="G40" s="643" t="e">
        <v>#N/A</v>
      </c>
    </row>
    <row r="41" spans="2:7" x14ac:dyDescent="0.25">
      <c r="B41" s="290" t="s">
        <v>2165</v>
      </c>
      <c r="C41" s="289" t="s">
        <v>1016</v>
      </c>
      <c r="D41" s="643" t="s">
        <v>2202</v>
      </c>
      <c r="E41" s="673"/>
      <c r="F41" s="673"/>
      <c r="G41" s="643" t="e">
        <v>#N/A</v>
      </c>
    </row>
  </sheetData>
  <autoFilter ref="G4:G41" xr:uid="{DD8F409E-C0BA-4AFE-B144-08A1D202E70C}"/>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770E-FA33-419A-9BBE-C3807403F9D7}">
  <dimension ref="B2:G62"/>
  <sheetViews>
    <sheetView workbookViewId="0">
      <pane xSplit="2" ySplit="2" topLeftCell="C3" activePane="bottomRight" state="frozen"/>
      <selection pane="topRight" activeCell="C1" sqref="C1"/>
      <selection pane="bottomLeft" activeCell="A3" sqref="A3"/>
      <selection pane="bottomRight" activeCell="B3" sqref="B3"/>
    </sheetView>
  </sheetViews>
  <sheetFormatPr defaultRowHeight="14.4" x14ac:dyDescent="0.3"/>
  <cols>
    <col min="2" max="2" width="15.77734375" style="672" bestFit="1" customWidth="1"/>
    <col min="3" max="3" width="74.6640625" customWidth="1"/>
    <col min="4" max="4" width="14.44140625" customWidth="1"/>
    <col min="5" max="5" width="64.21875" customWidth="1"/>
    <col min="6" max="6" width="16" customWidth="1"/>
    <col min="7" max="7" width="16.109375" customWidth="1"/>
  </cols>
  <sheetData>
    <row r="2" spans="2:7" ht="36.6" customHeight="1" x14ac:dyDescent="0.3">
      <c r="B2" s="651" t="s">
        <v>23</v>
      </c>
      <c r="C2" s="652" t="s">
        <v>1060</v>
      </c>
      <c r="D2" s="652" t="s">
        <v>1124</v>
      </c>
      <c r="E2" s="652" t="s">
        <v>31</v>
      </c>
      <c r="F2" s="653" t="s">
        <v>1125</v>
      </c>
      <c r="G2" s="653" t="s">
        <v>1074</v>
      </c>
    </row>
    <row r="3" spans="2:7" ht="56.4" customHeight="1" x14ac:dyDescent="0.3">
      <c r="B3" s="654" t="s">
        <v>480</v>
      </c>
      <c r="C3" s="654" t="s">
        <v>742</v>
      </c>
      <c r="D3" s="655" t="s">
        <v>631</v>
      </c>
      <c r="E3" s="654" t="s">
        <v>666</v>
      </c>
      <c r="F3" s="656" t="s">
        <v>35</v>
      </c>
      <c r="G3" s="656" t="s">
        <v>863</v>
      </c>
    </row>
    <row r="4" spans="2:7" ht="56.4" customHeight="1" x14ac:dyDescent="0.3">
      <c r="B4" s="654" t="s">
        <v>480</v>
      </c>
      <c r="C4" s="654" t="s">
        <v>743</v>
      </c>
      <c r="D4" s="655" t="s">
        <v>631</v>
      </c>
      <c r="E4" s="654" t="s">
        <v>666</v>
      </c>
      <c r="F4" s="656" t="s">
        <v>35</v>
      </c>
      <c r="G4" s="656" t="s">
        <v>863</v>
      </c>
    </row>
    <row r="5" spans="2:7" ht="56.4" customHeight="1" x14ac:dyDescent="0.3">
      <c r="B5" s="654" t="s">
        <v>480</v>
      </c>
      <c r="C5" s="654" t="s">
        <v>744</v>
      </c>
      <c r="D5" s="655" t="s">
        <v>631</v>
      </c>
      <c r="E5" s="654" t="s">
        <v>666</v>
      </c>
      <c r="F5" s="656" t="s">
        <v>35</v>
      </c>
      <c r="G5" s="656" t="s">
        <v>863</v>
      </c>
    </row>
    <row r="6" spans="2:7" ht="56.4" customHeight="1" x14ac:dyDescent="0.3">
      <c r="B6" s="654" t="s">
        <v>480</v>
      </c>
      <c r="C6" s="654" t="s">
        <v>745</v>
      </c>
      <c r="D6" s="655" t="s">
        <v>631</v>
      </c>
      <c r="E6" s="654" t="s">
        <v>666</v>
      </c>
      <c r="F6" s="656" t="s">
        <v>35</v>
      </c>
      <c r="G6" s="656" t="s">
        <v>863</v>
      </c>
    </row>
    <row r="7" spans="2:7" ht="44.4" customHeight="1" x14ac:dyDescent="0.3">
      <c r="B7" s="654" t="s">
        <v>63</v>
      </c>
      <c r="C7" s="654" t="s">
        <v>1543</v>
      </c>
      <c r="D7" s="657" t="s">
        <v>908</v>
      </c>
      <c r="E7" s="654" t="s">
        <v>1127</v>
      </c>
      <c r="F7" s="658" t="s">
        <v>35</v>
      </c>
      <c r="G7" s="658" t="s">
        <v>863</v>
      </c>
    </row>
    <row r="8" spans="2:7" ht="31.2" customHeight="1" x14ac:dyDescent="0.3">
      <c r="B8" s="654" t="s">
        <v>517</v>
      </c>
      <c r="C8" s="654" t="s">
        <v>2064</v>
      </c>
      <c r="D8" s="657" t="s">
        <v>655</v>
      </c>
      <c r="E8" s="654" t="s">
        <v>634</v>
      </c>
      <c r="F8" s="654" t="s">
        <v>35</v>
      </c>
      <c r="G8" s="654" t="s">
        <v>863</v>
      </c>
    </row>
    <row r="9" spans="2:7" ht="35.4" customHeight="1" x14ac:dyDescent="0.3">
      <c r="B9" s="654" t="s">
        <v>517</v>
      </c>
      <c r="C9" s="654" t="s">
        <v>2066</v>
      </c>
      <c r="D9" s="657" t="s">
        <v>1178</v>
      </c>
      <c r="E9" s="654" t="s">
        <v>1221</v>
      </c>
      <c r="F9" s="654" t="s">
        <v>35</v>
      </c>
      <c r="G9" s="654" t="s">
        <v>863</v>
      </c>
    </row>
    <row r="10" spans="2:7" ht="56.4" customHeight="1" x14ac:dyDescent="0.3">
      <c r="B10" s="654" t="s">
        <v>517</v>
      </c>
      <c r="C10" s="654" t="s">
        <v>1562</v>
      </c>
      <c r="D10" s="657" t="s">
        <v>1226</v>
      </c>
      <c r="E10" s="654" t="s">
        <v>1342</v>
      </c>
      <c r="F10" s="654" t="s">
        <v>35</v>
      </c>
      <c r="G10" s="654" t="s">
        <v>863</v>
      </c>
    </row>
    <row r="11" spans="2:7" ht="31.2" customHeight="1" x14ac:dyDescent="0.3">
      <c r="B11" s="654" t="s">
        <v>1398</v>
      </c>
      <c r="C11" s="654" t="s">
        <v>2122</v>
      </c>
      <c r="D11" s="657" t="s">
        <v>1414</v>
      </c>
      <c r="E11" s="654" t="s">
        <v>1401</v>
      </c>
      <c r="F11" s="654" t="s">
        <v>35</v>
      </c>
      <c r="G11" s="654" t="s">
        <v>863</v>
      </c>
    </row>
    <row r="12" spans="2:7" ht="46.2" customHeight="1" x14ac:dyDescent="0.3">
      <c r="B12" s="654" t="s">
        <v>1398</v>
      </c>
      <c r="C12" s="654" t="s">
        <v>2123</v>
      </c>
      <c r="D12" s="657" t="s">
        <v>1418</v>
      </c>
      <c r="E12" s="654" t="s">
        <v>1407</v>
      </c>
      <c r="F12" s="654" t="s">
        <v>35</v>
      </c>
      <c r="G12" s="654" t="s">
        <v>863</v>
      </c>
    </row>
    <row r="13" spans="2:7" ht="45.6" customHeight="1" x14ac:dyDescent="0.3">
      <c r="B13" s="654" t="s">
        <v>527</v>
      </c>
      <c r="C13" s="654" t="s">
        <v>1583</v>
      </c>
      <c r="D13" s="657" t="s">
        <v>908</v>
      </c>
      <c r="E13" s="654" t="s">
        <v>1127</v>
      </c>
      <c r="F13" s="658" t="s">
        <v>35</v>
      </c>
      <c r="G13" s="658" t="s">
        <v>863</v>
      </c>
    </row>
    <row r="14" spans="2:7" ht="33" customHeight="1" x14ac:dyDescent="0.3">
      <c r="B14" s="654" t="s">
        <v>527</v>
      </c>
      <c r="C14" s="654" t="s">
        <v>1583</v>
      </c>
      <c r="D14" s="657" t="s">
        <v>1128</v>
      </c>
      <c r="E14" s="654" t="s">
        <v>1129</v>
      </c>
      <c r="F14" s="658" t="s">
        <v>35</v>
      </c>
      <c r="G14" s="658" t="s">
        <v>863</v>
      </c>
    </row>
    <row r="15" spans="2:7" ht="56.4" customHeight="1" x14ac:dyDescent="0.3">
      <c r="B15" s="654" t="s">
        <v>527</v>
      </c>
      <c r="C15" s="654" t="s">
        <v>2124</v>
      </c>
      <c r="D15" s="657" t="s">
        <v>908</v>
      </c>
      <c r="E15" s="654" t="s">
        <v>1127</v>
      </c>
      <c r="F15" s="658" t="s">
        <v>35</v>
      </c>
      <c r="G15" s="658" t="s">
        <v>863</v>
      </c>
    </row>
    <row r="16" spans="2:7" ht="56.4" customHeight="1" x14ac:dyDescent="0.3">
      <c r="B16" s="654" t="s">
        <v>527</v>
      </c>
      <c r="C16" s="654" t="s">
        <v>1593</v>
      </c>
      <c r="D16" s="657" t="s">
        <v>1128</v>
      </c>
      <c r="E16" s="654" t="s">
        <v>1129</v>
      </c>
      <c r="F16" s="658" t="s">
        <v>35</v>
      </c>
      <c r="G16" s="658" t="s">
        <v>863</v>
      </c>
    </row>
    <row r="17" spans="2:7" ht="56.4" customHeight="1" x14ac:dyDescent="0.3">
      <c r="B17" s="654" t="s">
        <v>527</v>
      </c>
      <c r="C17" s="654" t="s">
        <v>1593</v>
      </c>
      <c r="D17" s="657" t="s">
        <v>1142</v>
      </c>
      <c r="E17" s="654" t="s">
        <v>1153</v>
      </c>
      <c r="F17" s="658" t="s">
        <v>35</v>
      </c>
      <c r="G17" s="658" t="s">
        <v>863</v>
      </c>
    </row>
    <row r="18" spans="2:7" ht="56.4" customHeight="1" x14ac:dyDescent="0.3">
      <c r="B18" s="659" t="s">
        <v>647</v>
      </c>
      <c r="C18" s="659" t="s">
        <v>759</v>
      </c>
      <c r="D18" s="660" t="s">
        <v>643</v>
      </c>
      <c r="E18" s="659" t="s">
        <v>641</v>
      </c>
      <c r="F18" s="661" t="s">
        <v>35</v>
      </c>
      <c r="G18" s="661" t="s">
        <v>863</v>
      </c>
    </row>
    <row r="19" spans="2:7" ht="56.4" customHeight="1" x14ac:dyDescent="0.3">
      <c r="B19" s="659" t="s">
        <v>647</v>
      </c>
      <c r="C19" s="659" t="s">
        <v>759</v>
      </c>
      <c r="D19" s="660" t="s">
        <v>644</v>
      </c>
      <c r="E19" s="659" t="s">
        <v>640</v>
      </c>
      <c r="F19" s="661" t="s">
        <v>35</v>
      </c>
      <c r="G19" s="661" t="s">
        <v>863</v>
      </c>
    </row>
    <row r="20" spans="2:7" ht="56.4" customHeight="1" x14ac:dyDescent="0.3">
      <c r="B20" s="659" t="s">
        <v>647</v>
      </c>
      <c r="C20" s="659" t="s">
        <v>760</v>
      </c>
      <c r="D20" s="660" t="s">
        <v>646</v>
      </c>
      <c r="E20" s="659" t="s">
        <v>1236</v>
      </c>
      <c r="F20" s="661" t="s">
        <v>35</v>
      </c>
      <c r="G20" s="661" t="s">
        <v>863</v>
      </c>
    </row>
    <row r="21" spans="2:7" ht="56.4" customHeight="1" x14ac:dyDescent="0.3">
      <c r="B21" s="659" t="s">
        <v>647</v>
      </c>
      <c r="C21" s="659" t="s">
        <v>2125</v>
      </c>
      <c r="D21" s="660" t="s">
        <v>644</v>
      </c>
      <c r="E21" s="659" t="s">
        <v>640</v>
      </c>
      <c r="F21" s="661" t="s">
        <v>35</v>
      </c>
      <c r="G21" s="661" t="s">
        <v>863</v>
      </c>
    </row>
    <row r="22" spans="2:7" ht="56.4" customHeight="1" x14ac:dyDescent="0.3">
      <c r="B22" s="659" t="s">
        <v>647</v>
      </c>
      <c r="C22" s="659" t="s">
        <v>2125</v>
      </c>
      <c r="D22" s="660" t="s">
        <v>1238</v>
      </c>
      <c r="E22" s="659" t="s">
        <v>1239</v>
      </c>
      <c r="F22" s="661" t="s">
        <v>35</v>
      </c>
      <c r="G22" s="661" t="s">
        <v>863</v>
      </c>
    </row>
    <row r="23" spans="2:7" ht="56.4" customHeight="1" x14ac:dyDescent="0.3">
      <c r="B23" s="659" t="s">
        <v>647</v>
      </c>
      <c r="C23" s="659" t="s">
        <v>1620</v>
      </c>
      <c r="D23" s="662" t="s">
        <v>1241</v>
      </c>
      <c r="E23" s="663" t="s">
        <v>1240</v>
      </c>
      <c r="F23" s="664" t="s">
        <v>35</v>
      </c>
      <c r="G23" s="664" t="s">
        <v>863</v>
      </c>
    </row>
    <row r="24" spans="2:7" ht="56.4" customHeight="1" x14ac:dyDescent="0.3">
      <c r="B24" s="663" t="s">
        <v>2126</v>
      </c>
      <c r="C24" s="659" t="s">
        <v>2127</v>
      </c>
      <c r="D24" s="660" t="s">
        <v>1735</v>
      </c>
      <c r="E24" s="659" t="s">
        <v>1737</v>
      </c>
      <c r="F24" s="661" t="s">
        <v>35</v>
      </c>
      <c r="G24" s="661" t="s">
        <v>863</v>
      </c>
    </row>
    <row r="25" spans="2:7" ht="56.4" customHeight="1" x14ac:dyDescent="0.3">
      <c r="B25" s="663" t="s">
        <v>2126</v>
      </c>
      <c r="C25" s="659" t="s">
        <v>1762</v>
      </c>
      <c r="D25" s="660" t="s">
        <v>1756</v>
      </c>
      <c r="E25" s="659" t="s">
        <v>1757</v>
      </c>
      <c r="F25" s="661" t="s">
        <v>35</v>
      </c>
      <c r="G25" s="661" t="s">
        <v>863</v>
      </c>
    </row>
    <row r="26" spans="2:7" ht="56.4" customHeight="1" x14ac:dyDescent="0.3">
      <c r="B26" s="654" t="s">
        <v>1012</v>
      </c>
      <c r="C26" s="654" t="s">
        <v>1014</v>
      </c>
      <c r="D26" s="657" t="s">
        <v>1025</v>
      </c>
      <c r="E26" s="654" t="s">
        <v>1343</v>
      </c>
      <c r="F26" s="658" t="s">
        <v>35</v>
      </c>
      <c r="G26" s="658" t="s">
        <v>863</v>
      </c>
    </row>
    <row r="27" spans="2:7" ht="56.4" customHeight="1" x14ac:dyDescent="0.3">
      <c r="B27" s="654" t="s">
        <v>1012</v>
      </c>
      <c r="C27" s="654" t="s">
        <v>1014</v>
      </c>
      <c r="D27" s="657" t="s">
        <v>1253</v>
      </c>
      <c r="E27" s="654" t="s">
        <v>1252</v>
      </c>
      <c r="F27" s="658" t="s">
        <v>35</v>
      </c>
      <c r="G27" s="658" t="s">
        <v>863</v>
      </c>
    </row>
    <row r="28" spans="2:7" ht="56.4" customHeight="1" x14ac:dyDescent="0.3">
      <c r="B28" s="654" t="s">
        <v>1012</v>
      </c>
      <c r="C28" s="654" t="s">
        <v>1014</v>
      </c>
      <c r="D28" s="657" t="s">
        <v>1254</v>
      </c>
      <c r="E28" s="654" t="s">
        <v>1256</v>
      </c>
      <c r="F28" s="658" t="s">
        <v>35</v>
      </c>
      <c r="G28" s="658" t="s">
        <v>863</v>
      </c>
    </row>
    <row r="29" spans="2:7" ht="56.4" customHeight="1" x14ac:dyDescent="0.3">
      <c r="B29" s="654" t="s">
        <v>1012</v>
      </c>
      <c r="C29" s="654" t="s">
        <v>1013</v>
      </c>
      <c r="D29" s="657" t="s">
        <v>1025</v>
      </c>
      <c r="E29" s="654" t="s">
        <v>1026</v>
      </c>
      <c r="F29" s="658" t="s">
        <v>35</v>
      </c>
      <c r="G29" s="658" t="s">
        <v>863</v>
      </c>
    </row>
    <row r="30" spans="2:7" ht="56.4" customHeight="1" x14ac:dyDescent="0.3">
      <c r="B30" s="654" t="s">
        <v>1012</v>
      </c>
      <c r="C30" s="654" t="s">
        <v>1013</v>
      </c>
      <c r="D30" s="657" t="s">
        <v>1250</v>
      </c>
      <c r="E30" s="654" t="s">
        <v>1251</v>
      </c>
      <c r="F30" s="658" t="s">
        <v>35</v>
      </c>
      <c r="G30" s="658" t="s">
        <v>863</v>
      </c>
    </row>
    <row r="31" spans="2:7" ht="56.4" customHeight="1" x14ac:dyDescent="0.3">
      <c r="B31" s="654" t="s">
        <v>1012</v>
      </c>
      <c r="C31" s="654" t="s">
        <v>1013</v>
      </c>
      <c r="D31" s="657" t="s">
        <v>1253</v>
      </c>
      <c r="E31" s="654" t="s">
        <v>1252</v>
      </c>
      <c r="F31" s="658" t="s">
        <v>35</v>
      </c>
      <c r="G31" s="658" t="s">
        <v>863</v>
      </c>
    </row>
    <row r="32" spans="2:7" ht="56.4" customHeight="1" x14ac:dyDescent="0.3">
      <c r="B32" s="654" t="s">
        <v>1087</v>
      </c>
      <c r="C32" s="654" t="s">
        <v>1632</v>
      </c>
      <c r="D32" s="657" t="s">
        <v>649</v>
      </c>
      <c r="E32" s="654" t="s">
        <v>921</v>
      </c>
      <c r="F32" s="654" t="s">
        <v>35</v>
      </c>
      <c r="G32" s="654" t="s">
        <v>863</v>
      </c>
    </row>
    <row r="33" spans="2:7" ht="56.4" customHeight="1" x14ac:dyDescent="0.3">
      <c r="B33" s="654" t="s">
        <v>1087</v>
      </c>
      <c r="C33" s="654" t="s">
        <v>1632</v>
      </c>
      <c r="D33" s="657" t="s">
        <v>650</v>
      </c>
      <c r="E33" s="654" t="s">
        <v>1089</v>
      </c>
      <c r="F33" s="654" t="s">
        <v>35</v>
      </c>
      <c r="G33" s="654" t="s">
        <v>863</v>
      </c>
    </row>
    <row r="34" spans="2:7" ht="56.4" customHeight="1" x14ac:dyDescent="0.3">
      <c r="B34" s="654" t="s">
        <v>1087</v>
      </c>
      <c r="C34" s="654" t="s">
        <v>1632</v>
      </c>
      <c r="D34" s="657" t="s">
        <v>1234</v>
      </c>
      <c r="E34" s="654" t="s">
        <v>1235</v>
      </c>
      <c r="F34" s="654" t="s">
        <v>35</v>
      </c>
      <c r="G34" s="654" t="s">
        <v>863</v>
      </c>
    </row>
    <row r="35" spans="2:7" ht="56.4" customHeight="1" x14ac:dyDescent="0.3">
      <c r="B35" s="654" t="s">
        <v>1087</v>
      </c>
      <c r="C35" s="654" t="s">
        <v>2128</v>
      </c>
      <c r="D35" s="657" t="s">
        <v>649</v>
      </c>
      <c r="E35" s="654" t="s">
        <v>921</v>
      </c>
      <c r="F35" s="654" t="s">
        <v>35</v>
      </c>
      <c r="G35" s="654" t="s">
        <v>863</v>
      </c>
    </row>
    <row r="36" spans="2:7" ht="56.4" customHeight="1" x14ac:dyDescent="0.3">
      <c r="B36" s="654" t="s">
        <v>1087</v>
      </c>
      <c r="C36" s="654" t="s">
        <v>2128</v>
      </c>
      <c r="D36" s="657" t="s">
        <v>650</v>
      </c>
      <c r="E36" s="654" t="s">
        <v>1089</v>
      </c>
      <c r="F36" s="654" t="s">
        <v>35</v>
      </c>
      <c r="G36" s="654" t="s">
        <v>863</v>
      </c>
    </row>
    <row r="37" spans="2:7" ht="56.4" customHeight="1" x14ac:dyDescent="0.3">
      <c r="B37" s="654" t="s">
        <v>1087</v>
      </c>
      <c r="C37" s="654" t="s">
        <v>1638</v>
      </c>
      <c r="D37" s="657" t="s">
        <v>671</v>
      </c>
      <c r="E37" s="654" t="s">
        <v>1805</v>
      </c>
      <c r="F37" s="654" t="s">
        <v>35</v>
      </c>
      <c r="G37" s="654" t="s">
        <v>863</v>
      </c>
    </row>
    <row r="38" spans="2:7" ht="56.4" customHeight="1" x14ac:dyDescent="0.3">
      <c r="B38" s="654" t="s">
        <v>1087</v>
      </c>
      <c r="C38" s="654" t="s">
        <v>1638</v>
      </c>
      <c r="D38" s="657" t="s">
        <v>1233</v>
      </c>
      <c r="E38" s="654" t="s">
        <v>672</v>
      </c>
      <c r="F38" s="654" t="s">
        <v>35</v>
      </c>
      <c r="G38" s="654" t="s">
        <v>863</v>
      </c>
    </row>
    <row r="39" spans="2:7" ht="56.4" customHeight="1" x14ac:dyDescent="0.3">
      <c r="B39" s="654" t="s">
        <v>1087</v>
      </c>
      <c r="C39" s="654" t="s">
        <v>2129</v>
      </c>
      <c r="D39" s="657" t="s">
        <v>1159</v>
      </c>
      <c r="E39" s="654" t="s">
        <v>1160</v>
      </c>
      <c r="F39" s="654" t="s">
        <v>35</v>
      </c>
      <c r="G39" s="654" t="s">
        <v>863</v>
      </c>
    </row>
    <row r="40" spans="2:7" ht="56.4" customHeight="1" x14ac:dyDescent="0.3">
      <c r="B40" s="654" t="s">
        <v>1087</v>
      </c>
      <c r="C40" s="654" t="s">
        <v>2129</v>
      </c>
      <c r="D40" s="657" t="s">
        <v>1233</v>
      </c>
      <c r="E40" s="654" t="s">
        <v>672</v>
      </c>
      <c r="F40" s="654" t="s">
        <v>35</v>
      </c>
      <c r="G40" s="654" t="s">
        <v>863</v>
      </c>
    </row>
    <row r="41" spans="2:7" ht="56.4" customHeight="1" x14ac:dyDescent="0.3">
      <c r="B41" s="654" t="s">
        <v>530</v>
      </c>
      <c r="C41" s="654" t="s">
        <v>775</v>
      </c>
      <c r="D41" s="657" t="s">
        <v>660</v>
      </c>
      <c r="E41" s="654" t="s">
        <v>1344</v>
      </c>
      <c r="F41" s="658" t="s">
        <v>35</v>
      </c>
      <c r="G41" s="658" t="s">
        <v>863</v>
      </c>
    </row>
    <row r="42" spans="2:7" ht="56.4" customHeight="1" x14ac:dyDescent="0.3">
      <c r="B42" s="654" t="s">
        <v>530</v>
      </c>
      <c r="C42" s="654" t="s">
        <v>776</v>
      </c>
      <c r="D42" s="657" t="s">
        <v>661</v>
      </c>
      <c r="E42" s="654" t="s">
        <v>635</v>
      </c>
      <c r="F42" s="658" t="s">
        <v>35</v>
      </c>
      <c r="G42" s="658" t="s">
        <v>863</v>
      </c>
    </row>
    <row r="43" spans="2:7" ht="56.4" customHeight="1" x14ac:dyDescent="0.3">
      <c r="B43" s="654" t="s">
        <v>530</v>
      </c>
      <c r="C43" s="654" t="s">
        <v>923</v>
      </c>
      <c r="D43" s="657" t="s">
        <v>898</v>
      </c>
      <c r="E43" s="654" t="s">
        <v>927</v>
      </c>
      <c r="F43" s="658" t="s">
        <v>35</v>
      </c>
      <c r="G43" s="658" t="s">
        <v>863</v>
      </c>
    </row>
    <row r="44" spans="2:7" ht="56.4" customHeight="1" x14ac:dyDescent="0.3">
      <c r="B44" s="654" t="s">
        <v>1655</v>
      </c>
      <c r="C44" s="654" t="s">
        <v>1656</v>
      </c>
      <c r="D44" s="657" t="s">
        <v>1351</v>
      </c>
      <c r="E44" s="654" t="s">
        <v>1352</v>
      </c>
      <c r="F44" s="654" t="s">
        <v>35</v>
      </c>
      <c r="G44" s="654" t="s">
        <v>863</v>
      </c>
    </row>
    <row r="45" spans="2:7" ht="56.4" customHeight="1" x14ac:dyDescent="0.3">
      <c r="B45" s="654" t="s">
        <v>1655</v>
      </c>
      <c r="C45" s="654" t="s">
        <v>1659</v>
      </c>
      <c r="D45" s="657" t="s">
        <v>1357</v>
      </c>
      <c r="E45" s="654" t="s">
        <v>1358</v>
      </c>
      <c r="F45" s="654" t="s">
        <v>35</v>
      </c>
      <c r="G45" s="654" t="s">
        <v>863</v>
      </c>
    </row>
    <row r="46" spans="2:7" ht="56.4" customHeight="1" x14ac:dyDescent="0.3">
      <c r="B46" s="654" t="s">
        <v>1655</v>
      </c>
      <c r="C46" s="654" t="s">
        <v>1662</v>
      </c>
      <c r="D46" s="657" t="s">
        <v>1364</v>
      </c>
      <c r="E46" s="654" t="s">
        <v>1365</v>
      </c>
      <c r="F46" s="654" t="s">
        <v>35</v>
      </c>
      <c r="G46" s="654" t="s">
        <v>863</v>
      </c>
    </row>
    <row r="47" spans="2:7" ht="56.4" customHeight="1" x14ac:dyDescent="0.3">
      <c r="B47" s="654" t="s">
        <v>1655</v>
      </c>
      <c r="C47" s="654" t="s">
        <v>1662</v>
      </c>
      <c r="D47" s="657" t="s">
        <v>1366</v>
      </c>
      <c r="E47" s="654" t="s">
        <v>1367</v>
      </c>
      <c r="F47" s="654" t="s">
        <v>35</v>
      </c>
      <c r="G47" s="654" t="s">
        <v>863</v>
      </c>
    </row>
    <row r="48" spans="2:7" ht="56.4" customHeight="1" x14ac:dyDescent="0.3">
      <c r="B48" s="654" t="s">
        <v>535</v>
      </c>
      <c r="C48" s="654" t="s">
        <v>777</v>
      </c>
      <c r="D48" s="657" t="s">
        <v>660</v>
      </c>
      <c r="E48" s="654" t="s">
        <v>1086</v>
      </c>
      <c r="F48" s="658" t="s">
        <v>35</v>
      </c>
      <c r="G48" s="658" t="s">
        <v>863</v>
      </c>
    </row>
    <row r="49" spans="2:7" ht="56.4" customHeight="1" x14ac:dyDescent="0.3">
      <c r="B49" s="654" t="s">
        <v>535</v>
      </c>
      <c r="C49" s="654" t="s">
        <v>2130</v>
      </c>
      <c r="D49" s="657" t="s">
        <v>1128</v>
      </c>
      <c r="E49" s="654" t="s">
        <v>638</v>
      </c>
      <c r="F49" s="658" t="s">
        <v>35</v>
      </c>
      <c r="G49" s="658" t="s">
        <v>863</v>
      </c>
    </row>
    <row r="50" spans="2:7" ht="56.4" customHeight="1" x14ac:dyDescent="0.3">
      <c r="B50" s="665" t="s">
        <v>24</v>
      </c>
      <c r="C50" s="654" t="s">
        <v>722</v>
      </c>
      <c r="D50" s="666" t="s">
        <v>623</v>
      </c>
      <c r="E50" s="654" t="s">
        <v>622</v>
      </c>
      <c r="F50" s="665" t="s">
        <v>35</v>
      </c>
      <c r="G50" s="654" t="s">
        <v>863</v>
      </c>
    </row>
    <row r="51" spans="2:7" ht="56.4" customHeight="1" x14ac:dyDescent="0.3">
      <c r="B51" s="665" t="s">
        <v>24</v>
      </c>
      <c r="C51" s="654" t="s">
        <v>722</v>
      </c>
      <c r="D51" s="666" t="s">
        <v>1211</v>
      </c>
      <c r="E51" s="654" t="s">
        <v>1213</v>
      </c>
      <c r="F51" s="665" t="s">
        <v>35</v>
      </c>
      <c r="G51" s="654" t="s">
        <v>863</v>
      </c>
    </row>
    <row r="52" spans="2:7" ht="56.4" customHeight="1" x14ac:dyDescent="0.3">
      <c r="B52" s="665" t="s">
        <v>24</v>
      </c>
      <c r="C52" s="654" t="s">
        <v>722</v>
      </c>
      <c r="D52" s="666" t="s">
        <v>643</v>
      </c>
      <c r="E52" s="654" t="s">
        <v>641</v>
      </c>
      <c r="F52" s="665" t="s">
        <v>35</v>
      </c>
      <c r="G52" s="654" t="s">
        <v>863</v>
      </c>
    </row>
    <row r="53" spans="2:7" ht="56.4" customHeight="1" x14ac:dyDescent="0.3">
      <c r="B53" s="665" t="s">
        <v>24</v>
      </c>
      <c r="C53" s="654" t="s">
        <v>722</v>
      </c>
      <c r="D53" s="666" t="s">
        <v>644</v>
      </c>
      <c r="E53" s="654" t="s">
        <v>640</v>
      </c>
      <c r="F53" s="665" t="s">
        <v>35</v>
      </c>
      <c r="G53" s="654" t="s">
        <v>863</v>
      </c>
    </row>
    <row r="54" spans="2:7" ht="56.4" customHeight="1" x14ac:dyDescent="0.3">
      <c r="B54" s="665" t="s">
        <v>24</v>
      </c>
      <c r="C54" s="654" t="s">
        <v>723</v>
      </c>
      <c r="D54" s="666" t="s">
        <v>623</v>
      </c>
      <c r="E54" s="654" t="s">
        <v>622</v>
      </c>
      <c r="F54" s="665" t="s">
        <v>35</v>
      </c>
      <c r="G54" s="654" t="s">
        <v>863</v>
      </c>
    </row>
    <row r="55" spans="2:7" ht="56.4" customHeight="1" x14ac:dyDescent="0.3">
      <c r="B55" s="665" t="s">
        <v>24</v>
      </c>
      <c r="C55" s="667" t="s">
        <v>724</v>
      </c>
      <c r="D55" s="666" t="s">
        <v>867</v>
      </c>
      <c r="E55" s="654" t="s">
        <v>1212</v>
      </c>
      <c r="F55" s="665" t="s">
        <v>35</v>
      </c>
      <c r="G55" s="654" t="s">
        <v>863</v>
      </c>
    </row>
    <row r="56" spans="2:7" ht="56.4" customHeight="1" x14ac:dyDescent="0.3">
      <c r="B56" s="665" t="s">
        <v>24</v>
      </c>
      <c r="C56" s="667" t="s">
        <v>724</v>
      </c>
      <c r="D56" s="666" t="s">
        <v>1211</v>
      </c>
      <c r="E56" s="654" t="s">
        <v>1215</v>
      </c>
      <c r="F56" s="665" t="s">
        <v>35</v>
      </c>
      <c r="G56" s="654" t="s">
        <v>863</v>
      </c>
    </row>
    <row r="57" spans="2:7" ht="56.4" customHeight="1" x14ac:dyDescent="0.3">
      <c r="B57" s="665" t="s">
        <v>24</v>
      </c>
      <c r="C57" s="667" t="s">
        <v>1503</v>
      </c>
      <c r="D57" s="666" t="s">
        <v>867</v>
      </c>
      <c r="E57" s="654" t="s">
        <v>1212</v>
      </c>
      <c r="F57" s="665" t="s">
        <v>35</v>
      </c>
      <c r="G57" s="654" t="s">
        <v>863</v>
      </c>
    </row>
    <row r="58" spans="2:7" ht="56.4" customHeight="1" x14ac:dyDescent="0.3">
      <c r="B58" s="665" t="s">
        <v>24</v>
      </c>
      <c r="C58" s="667" t="s">
        <v>1503</v>
      </c>
      <c r="D58" s="666" t="s">
        <v>1211</v>
      </c>
      <c r="E58" s="654" t="s">
        <v>1215</v>
      </c>
      <c r="F58" s="665" t="s">
        <v>35</v>
      </c>
      <c r="G58" s="654" t="s">
        <v>863</v>
      </c>
    </row>
    <row r="59" spans="2:7" ht="56.4" customHeight="1" x14ac:dyDescent="0.3">
      <c r="B59" s="665" t="s">
        <v>24</v>
      </c>
      <c r="C59" s="654" t="s">
        <v>2131</v>
      </c>
      <c r="D59" s="666" t="s">
        <v>623</v>
      </c>
      <c r="E59" s="654" t="s">
        <v>622</v>
      </c>
      <c r="F59" s="665" t="s">
        <v>35</v>
      </c>
      <c r="G59" s="654" t="s">
        <v>863</v>
      </c>
    </row>
    <row r="60" spans="2:7" ht="56.4" customHeight="1" x14ac:dyDescent="0.3">
      <c r="B60" s="665" t="s">
        <v>24</v>
      </c>
      <c r="C60" s="654" t="s">
        <v>2131</v>
      </c>
      <c r="D60" s="666" t="s">
        <v>1214</v>
      </c>
      <c r="E60" s="654" t="s">
        <v>1216</v>
      </c>
      <c r="F60" s="665" t="s">
        <v>35</v>
      </c>
      <c r="G60" s="654" t="s">
        <v>863</v>
      </c>
    </row>
    <row r="61" spans="2:7" ht="56.4" customHeight="1" x14ac:dyDescent="0.3">
      <c r="B61" s="665" t="s">
        <v>24</v>
      </c>
      <c r="C61" s="667" t="s">
        <v>1508</v>
      </c>
      <c r="D61" s="666" t="s">
        <v>867</v>
      </c>
      <c r="E61" s="654" t="s">
        <v>1212</v>
      </c>
      <c r="F61" s="665" t="s">
        <v>35</v>
      </c>
      <c r="G61" s="654" t="s">
        <v>863</v>
      </c>
    </row>
    <row r="62" spans="2:7" ht="56.4" customHeight="1" x14ac:dyDescent="0.3">
      <c r="B62" s="668" t="s">
        <v>24</v>
      </c>
      <c r="C62" s="669" t="s">
        <v>1508</v>
      </c>
      <c r="D62" s="670" t="s">
        <v>1211</v>
      </c>
      <c r="E62" s="671" t="s">
        <v>1215</v>
      </c>
      <c r="F62" s="668" t="s">
        <v>35</v>
      </c>
      <c r="G62" s="671" t="s">
        <v>863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L234"/>
  <sheetViews>
    <sheetView topLeftCell="B70" zoomScaleNormal="100" workbookViewId="0">
      <selection activeCell="K8" sqref="K8"/>
    </sheetView>
  </sheetViews>
  <sheetFormatPr defaultColWidth="9.109375" defaultRowHeight="13.2" x14ac:dyDescent="0.3"/>
  <cols>
    <col min="1" max="1" width="4.6640625" style="352" customWidth="1"/>
    <col min="2" max="2" width="15.6640625" style="290" customWidth="1"/>
    <col min="3" max="3" width="14.6640625" style="290" customWidth="1"/>
    <col min="4" max="4" width="16" style="290" customWidth="1"/>
    <col min="5" max="8" width="14.6640625" style="290" customWidth="1"/>
    <col min="9" max="9" width="18.5546875" style="290" customWidth="1"/>
    <col min="10" max="11" width="14.6640625" style="290" customWidth="1"/>
    <col min="12" max="16384" width="9.109375" style="290"/>
  </cols>
  <sheetData>
    <row r="2" spans="1:11" x14ac:dyDescent="0.3">
      <c r="B2" s="353" t="s">
        <v>1270</v>
      </c>
    </row>
    <row r="3" spans="1:11" x14ac:dyDescent="0.3">
      <c r="B3" s="353" t="s">
        <v>1796</v>
      </c>
    </row>
    <row r="4" spans="1:11" ht="13.8" thickBot="1" x14ac:dyDescent="0.35"/>
    <row r="5" spans="1:11" ht="13.8" thickBot="1" x14ac:dyDescent="0.35">
      <c r="B5" s="837" t="s">
        <v>23</v>
      </c>
      <c r="C5" s="838"/>
      <c r="D5" s="839"/>
      <c r="E5" s="354"/>
      <c r="F5" s="355" t="s">
        <v>24</v>
      </c>
    </row>
    <row r="6" spans="1:11" ht="13.8" thickBot="1" x14ac:dyDescent="0.35">
      <c r="B6" s="840" t="s">
        <v>860</v>
      </c>
      <c r="C6" s="841"/>
      <c r="D6" s="841"/>
      <c r="E6" s="356"/>
      <c r="F6" s="355" t="s">
        <v>615</v>
      </c>
    </row>
    <row r="7" spans="1:11" ht="13.8" thickBot="1" x14ac:dyDescent="0.35">
      <c r="B7" s="842" t="s">
        <v>1075</v>
      </c>
      <c r="C7" s="843"/>
      <c r="D7" s="844"/>
      <c r="E7" s="356"/>
      <c r="F7" s="357">
        <v>5175000</v>
      </c>
    </row>
    <row r="9" spans="1:11" x14ac:dyDescent="0.3">
      <c r="B9" s="353" t="s">
        <v>508</v>
      </c>
    </row>
    <row r="10" spans="1:11" ht="13.8" thickBot="1" x14ac:dyDescent="0.35">
      <c r="A10" s="358" t="s">
        <v>1097</v>
      </c>
      <c r="B10" s="359" t="s">
        <v>509</v>
      </c>
    </row>
    <row r="11" spans="1:11" ht="13.8" thickBot="1" x14ac:dyDescent="0.35">
      <c r="B11" s="807" t="s">
        <v>1060</v>
      </c>
      <c r="C11" s="808"/>
      <c r="D11" s="808"/>
      <c r="E11" s="808"/>
      <c r="F11" s="808"/>
      <c r="G11" s="808"/>
      <c r="H11" s="808"/>
      <c r="I11" s="808"/>
      <c r="J11" s="808"/>
      <c r="K11" s="809"/>
    </row>
    <row r="12" spans="1:11" ht="13.8" thickBot="1" x14ac:dyDescent="0.35">
      <c r="B12" s="360" t="s">
        <v>555</v>
      </c>
      <c r="C12" s="810" t="s">
        <v>34</v>
      </c>
      <c r="D12" s="810"/>
      <c r="E12" s="810"/>
      <c r="F12" s="810"/>
      <c r="G12" s="810"/>
      <c r="H12" s="810"/>
      <c r="I12" s="810"/>
      <c r="J12" s="810"/>
      <c r="K12" s="811"/>
    </row>
    <row r="13" spans="1:11" ht="13.8" thickBot="1" x14ac:dyDescent="0.35">
      <c r="A13" s="290"/>
      <c r="B13" s="807" t="s">
        <v>1109</v>
      </c>
      <c r="C13" s="808"/>
      <c r="D13" s="808"/>
      <c r="E13" s="808"/>
      <c r="F13" s="808"/>
      <c r="G13" s="808"/>
      <c r="H13" s="808"/>
      <c r="I13" s="808"/>
      <c r="J13" s="808"/>
      <c r="K13" s="809"/>
    </row>
    <row r="14" spans="1:11" ht="13.5" customHeight="1" x14ac:dyDescent="0.3">
      <c r="A14" s="290"/>
      <c r="B14" s="361" t="s">
        <v>1110</v>
      </c>
      <c r="C14" s="812" t="s">
        <v>1111</v>
      </c>
      <c r="D14" s="812"/>
      <c r="E14" s="812"/>
      <c r="F14" s="812"/>
      <c r="G14" s="812"/>
      <c r="H14" s="812"/>
      <c r="I14" s="812"/>
      <c r="J14" s="812"/>
      <c r="K14" s="362" t="s">
        <v>35</v>
      </c>
    </row>
    <row r="15" spans="1:11" x14ac:dyDescent="0.3">
      <c r="A15" s="290"/>
      <c r="B15" s="363"/>
      <c r="C15" s="804" t="s">
        <v>1206</v>
      </c>
      <c r="D15" s="805"/>
      <c r="E15" s="805"/>
      <c r="F15" s="805"/>
      <c r="G15" s="805"/>
      <c r="H15" s="805"/>
      <c r="I15" s="805"/>
      <c r="J15" s="806"/>
      <c r="K15" s="364"/>
    </row>
    <row r="16" spans="1:11" ht="13.5" customHeight="1" x14ac:dyDescent="0.3">
      <c r="A16" s="290"/>
      <c r="B16" s="365" t="s">
        <v>1112</v>
      </c>
      <c r="C16" s="813" t="s">
        <v>1118</v>
      </c>
      <c r="D16" s="813"/>
      <c r="E16" s="813"/>
      <c r="F16" s="813"/>
      <c r="G16" s="813"/>
      <c r="H16" s="813"/>
      <c r="I16" s="813"/>
      <c r="J16" s="813"/>
      <c r="K16" s="366" t="s">
        <v>35</v>
      </c>
    </row>
    <row r="17" spans="1:11" ht="13.5" customHeight="1" x14ac:dyDescent="0.3">
      <c r="A17" s="290"/>
      <c r="B17" s="365" t="s">
        <v>1113</v>
      </c>
      <c r="C17" s="813" t="s">
        <v>1119</v>
      </c>
      <c r="D17" s="813"/>
      <c r="E17" s="813"/>
      <c r="F17" s="813"/>
      <c r="G17" s="813"/>
      <c r="H17" s="813"/>
      <c r="I17" s="813"/>
      <c r="J17" s="813"/>
      <c r="K17" s="366" t="s">
        <v>35</v>
      </c>
    </row>
    <row r="18" spans="1:11" ht="13.5" customHeight="1" x14ac:dyDescent="0.3">
      <c r="A18" s="290"/>
      <c r="B18" s="365" t="s">
        <v>1114</v>
      </c>
      <c r="C18" s="813" t="s">
        <v>1120</v>
      </c>
      <c r="D18" s="813"/>
      <c r="E18" s="813"/>
      <c r="F18" s="813"/>
      <c r="G18" s="813"/>
      <c r="H18" s="813"/>
      <c r="I18" s="813"/>
      <c r="J18" s="813"/>
      <c r="K18" s="366" t="s">
        <v>35</v>
      </c>
    </row>
    <row r="19" spans="1:11" ht="27" customHeight="1" x14ac:dyDescent="0.3">
      <c r="A19" s="290"/>
      <c r="B19" s="365" t="s">
        <v>1115</v>
      </c>
      <c r="C19" s="813" t="s">
        <v>1121</v>
      </c>
      <c r="D19" s="813"/>
      <c r="E19" s="813"/>
      <c r="F19" s="813"/>
      <c r="G19" s="813"/>
      <c r="H19" s="813"/>
      <c r="I19" s="813"/>
      <c r="J19" s="813"/>
      <c r="K19" s="366" t="s">
        <v>35</v>
      </c>
    </row>
    <row r="20" spans="1:11" ht="13.5" customHeight="1" x14ac:dyDescent="0.3">
      <c r="A20" s="290"/>
      <c r="B20" s="365" t="s">
        <v>1116</v>
      </c>
      <c r="C20" s="813" t="s">
        <v>1272</v>
      </c>
      <c r="D20" s="813"/>
      <c r="E20" s="813"/>
      <c r="F20" s="813"/>
      <c r="G20" s="813"/>
      <c r="H20" s="813"/>
      <c r="I20" s="813"/>
      <c r="J20" s="813"/>
      <c r="K20" s="366" t="s">
        <v>35</v>
      </c>
    </row>
    <row r="21" spans="1:11" ht="13.5" customHeight="1" thickBot="1" x14ac:dyDescent="0.35">
      <c r="A21" s="290"/>
      <c r="B21" s="367" t="s">
        <v>1117</v>
      </c>
      <c r="C21" s="831" t="s">
        <v>1122</v>
      </c>
      <c r="D21" s="831"/>
      <c r="E21" s="831"/>
      <c r="F21" s="831"/>
      <c r="G21" s="831"/>
      <c r="H21" s="831"/>
      <c r="I21" s="831"/>
      <c r="J21" s="831"/>
      <c r="K21" s="368" t="s">
        <v>35</v>
      </c>
    </row>
    <row r="22" spans="1:11" ht="13.8" thickBot="1" x14ac:dyDescent="0.35">
      <c r="A22" s="290"/>
      <c r="B22" s="369"/>
      <c r="C22" s="866" t="s">
        <v>1123</v>
      </c>
      <c r="D22" s="866"/>
      <c r="E22" s="866"/>
      <c r="F22" s="866"/>
      <c r="G22" s="866"/>
      <c r="H22" s="866"/>
      <c r="I22" s="866"/>
      <c r="J22" s="866"/>
      <c r="K22" s="387" t="str">
        <f>IF(OR(K14="Yes",K16="Yes",K17="Yes",K18="Yes",K19="Yes",K20="Yes",K21="Yes"),"Yes","No")</f>
        <v>No</v>
      </c>
    </row>
    <row r="23" spans="1:11" ht="13.8" thickBot="1" x14ac:dyDescent="0.35">
      <c r="B23" s="834" t="s">
        <v>1061</v>
      </c>
      <c r="C23" s="834"/>
      <c r="D23" s="834"/>
      <c r="E23" s="834"/>
      <c r="F23" s="834"/>
      <c r="G23" s="834" t="s">
        <v>1062</v>
      </c>
      <c r="H23" s="834"/>
      <c r="I23" s="834"/>
      <c r="J23" s="834"/>
      <c r="K23" s="834"/>
    </row>
    <row r="24" spans="1:11"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1:11" ht="13.8" thickBot="1" x14ac:dyDescent="0.35">
      <c r="B25" s="433" t="s">
        <v>621</v>
      </c>
      <c r="C25" s="434" t="s">
        <v>619</v>
      </c>
      <c r="D25" s="434" t="s">
        <v>619</v>
      </c>
      <c r="E25" s="434" t="s">
        <v>619</v>
      </c>
      <c r="F25" s="435" t="s">
        <v>621</v>
      </c>
      <c r="G25" s="436" t="s">
        <v>619</v>
      </c>
      <c r="H25" s="434" t="s">
        <v>621</v>
      </c>
      <c r="I25" s="434" t="s">
        <v>621</v>
      </c>
      <c r="J25" s="434" t="s">
        <v>619</v>
      </c>
      <c r="K25" s="435" t="s">
        <v>621</v>
      </c>
    </row>
    <row r="26" spans="1:11" ht="13.8" thickBot="1" x14ac:dyDescent="0.35">
      <c r="B26" s="807" t="s">
        <v>1068</v>
      </c>
      <c r="C26" s="808"/>
      <c r="D26" s="808"/>
      <c r="E26" s="808"/>
      <c r="F26" s="808"/>
      <c r="G26" s="808"/>
      <c r="H26" s="808"/>
      <c r="I26" s="808"/>
      <c r="J26" s="808"/>
      <c r="K26" s="809"/>
    </row>
    <row r="27" spans="1:11" ht="27" thickBot="1" x14ac:dyDescent="0.35">
      <c r="B27" s="437" t="s">
        <v>1124</v>
      </c>
      <c r="C27" s="867" t="s">
        <v>31</v>
      </c>
      <c r="D27" s="867"/>
      <c r="E27" s="867"/>
      <c r="F27" s="867"/>
      <c r="G27" s="867"/>
      <c r="H27" s="867"/>
      <c r="I27" s="438" t="s">
        <v>1125</v>
      </c>
      <c r="J27" s="868" t="s">
        <v>1074</v>
      </c>
      <c r="K27" s="869"/>
    </row>
    <row r="28" spans="1:11" ht="12.9" customHeight="1" x14ac:dyDescent="0.3">
      <c r="B28" s="361" t="s">
        <v>623</v>
      </c>
      <c r="C28" s="812" t="s">
        <v>622</v>
      </c>
      <c r="D28" s="812"/>
      <c r="E28" s="812"/>
      <c r="F28" s="812"/>
      <c r="G28" s="812"/>
      <c r="H28" s="812"/>
      <c r="I28" s="385" t="s">
        <v>35</v>
      </c>
      <c r="J28" s="812" t="s">
        <v>863</v>
      </c>
      <c r="K28" s="853"/>
    </row>
    <row r="29" spans="1:11" ht="39.9" customHeight="1" x14ac:dyDescent="0.3">
      <c r="B29" s="365" t="s">
        <v>1211</v>
      </c>
      <c r="C29" s="813" t="s">
        <v>1213</v>
      </c>
      <c r="D29" s="813"/>
      <c r="E29" s="813"/>
      <c r="F29" s="813"/>
      <c r="G29" s="813"/>
      <c r="H29" s="813"/>
      <c r="I29" s="422" t="s">
        <v>35</v>
      </c>
      <c r="J29" s="813" t="s">
        <v>863</v>
      </c>
      <c r="K29" s="845"/>
    </row>
    <row r="30" spans="1:11" ht="26.1" customHeight="1" x14ac:dyDescent="0.3">
      <c r="B30" s="365" t="s">
        <v>643</v>
      </c>
      <c r="C30" s="813" t="s">
        <v>641</v>
      </c>
      <c r="D30" s="813"/>
      <c r="E30" s="813"/>
      <c r="F30" s="813"/>
      <c r="G30" s="813"/>
      <c r="H30" s="813"/>
      <c r="I30" s="422" t="s">
        <v>35</v>
      </c>
      <c r="J30" s="813" t="s">
        <v>863</v>
      </c>
      <c r="K30" s="845"/>
    </row>
    <row r="31" spans="1:11" ht="12.9" customHeight="1" x14ac:dyDescent="0.3">
      <c r="B31" s="365" t="s">
        <v>644</v>
      </c>
      <c r="C31" s="813" t="s">
        <v>640</v>
      </c>
      <c r="D31" s="813"/>
      <c r="E31" s="813"/>
      <c r="F31" s="813"/>
      <c r="G31" s="813"/>
      <c r="H31" s="813"/>
      <c r="I31" s="422" t="s">
        <v>35</v>
      </c>
      <c r="J31" s="813" t="s">
        <v>863</v>
      </c>
      <c r="K31" s="845"/>
    </row>
    <row r="32" spans="1:11" ht="13.2" customHeight="1" x14ac:dyDescent="0.3">
      <c r="B32" s="365" t="s">
        <v>1201</v>
      </c>
      <c r="C32" s="813" t="s">
        <v>642</v>
      </c>
      <c r="D32" s="813"/>
      <c r="E32" s="813"/>
      <c r="F32" s="813"/>
      <c r="G32" s="813"/>
      <c r="H32" s="813"/>
      <c r="I32" s="422" t="s">
        <v>37</v>
      </c>
      <c r="J32" s="846" t="s">
        <v>1797</v>
      </c>
      <c r="K32" s="847"/>
    </row>
    <row r="33" spans="2:11" ht="27" customHeight="1" thickBot="1" x14ac:dyDescent="0.35">
      <c r="B33" s="367" t="s">
        <v>629</v>
      </c>
      <c r="C33" s="831" t="s">
        <v>665</v>
      </c>
      <c r="D33" s="831"/>
      <c r="E33" s="831"/>
      <c r="F33" s="831"/>
      <c r="G33" s="831"/>
      <c r="H33" s="831"/>
      <c r="I33" s="386" t="s">
        <v>37</v>
      </c>
      <c r="J33" s="848" t="s">
        <v>1797</v>
      </c>
      <c r="K33" s="849"/>
    </row>
    <row r="34" spans="2:11" ht="27" thickBot="1" x14ac:dyDescent="0.35">
      <c r="B34" s="439" t="s">
        <v>1072</v>
      </c>
      <c r="C34" s="870" t="s">
        <v>1108</v>
      </c>
      <c r="D34" s="871"/>
      <c r="E34" s="439" t="s">
        <v>1070</v>
      </c>
      <c r="F34" s="421" t="s">
        <v>1134</v>
      </c>
      <c r="G34" s="887" t="s">
        <v>1175</v>
      </c>
      <c r="H34" s="888"/>
      <c r="I34" s="439" t="s">
        <v>1130</v>
      </c>
      <c r="J34" s="870" t="s">
        <v>1133</v>
      </c>
      <c r="K34" s="871"/>
    </row>
    <row r="35" spans="2:11" ht="13.8" thickBot="1" x14ac:dyDescent="0.35">
      <c r="B35" s="824" t="s">
        <v>1076</v>
      </c>
      <c r="C35" s="825"/>
      <c r="D35" s="825"/>
      <c r="E35" s="825"/>
      <c r="F35" s="825"/>
      <c r="G35" s="825"/>
      <c r="H35" s="825"/>
      <c r="I35" s="825"/>
      <c r="J35" s="825"/>
      <c r="K35" s="826"/>
    </row>
    <row r="36" spans="2:11" ht="30" customHeight="1" thickBot="1" x14ac:dyDescent="0.35">
      <c r="B36" s="388" t="s">
        <v>1201</v>
      </c>
      <c r="C36" s="830" t="s">
        <v>1715</v>
      </c>
      <c r="D36" s="816"/>
      <c r="E36" s="816"/>
      <c r="F36" s="816"/>
      <c r="G36" s="816"/>
      <c r="H36" s="816"/>
      <c r="I36" s="816"/>
      <c r="J36" s="816"/>
      <c r="K36" s="817"/>
    </row>
    <row r="37" spans="2:11" ht="13.8" thickBot="1" x14ac:dyDescent="0.35">
      <c r="B37" s="367" t="s">
        <v>629</v>
      </c>
      <c r="C37" s="830" t="s">
        <v>665</v>
      </c>
      <c r="D37" s="816"/>
      <c r="E37" s="816"/>
      <c r="F37" s="816"/>
      <c r="G37" s="816"/>
      <c r="H37" s="816"/>
      <c r="I37" s="816"/>
      <c r="J37" s="816"/>
      <c r="K37" s="817"/>
    </row>
    <row r="38" spans="2:11" ht="13.8" thickBot="1" x14ac:dyDescent="0.35">
      <c r="B38" s="850" t="s">
        <v>1077</v>
      </c>
      <c r="C38" s="851"/>
      <c r="D38" s="851"/>
      <c r="E38" s="851"/>
      <c r="F38" s="851"/>
      <c r="G38" s="851"/>
      <c r="H38" s="851"/>
      <c r="I38" s="851"/>
      <c r="J38" s="851"/>
      <c r="K38" s="852"/>
    </row>
    <row r="39" spans="2:11" ht="27" customHeight="1" x14ac:dyDescent="0.3">
      <c r="B39" s="361" t="s">
        <v>1203</v>
      </c>
      <c r="C39" s="812" t="s">
        <v>1393</v>
      </c>
      <c r="D39" s="812"/>
      <c r="E39" s="812"/>
      <c r="F39" s="812"/>
      <c r="G39" s="812"/>
      <c r="H39" s="812"/>
      <c r="I39" s="812"/>
      <c r="J39" s="812"/>
      <c r="K39" s="853"/>
    </row>
    <row r="40" spans="2:11" ht="27" customHeight="1" x14ac:dyDescent="0.3">
      <c r="B40" s="365" t="s">
        <v>675</v>
      </c>
      <c r="C40" s="854" t="s">
        <v>8</v>
      </c>
      <c r="D40" s="854"/>
      <c r="E40" s="854"/>
      <c r="F40" s="854"/>
      <c r="G40" s="854"/>
      <c r="H40" s="854"/>
      <c r="I40" s="854"/>
      <c r="J40" s="854"/>
      <c r="K40" s="855"/>
    </row>
    <row r="41" spans="2:11" ht="27" customHeight="1" x14ac:dyDescent="0.3">
      <c r="B41" s="430" t="s">
        <v>676</v>
      </c>
      <c r="C41" s="854" t="s">
        <v>11</v>
      </c>
      <c r="D41" s="854"/>
      <c r="E41" s="854"/>
      <c r="F41" s="854"/>
      <c r="G41" s="854"/>
      <c r="H41" s="854"/>
      <c r="I41" s="854"/>
      <c r="J41" s="854"/>
      <c r="K41" s="855"/>
    </row>
    <row r="42" spans="2:11" ht="39.9" customHeight="1" x14ac:dyDescent="0.3">
      <c r="B42" s="365" t="s">
        <v>697</v>
      </c>
      <c r="C42" s="813" t="s">
        <v>239</v>
      </c>
      <c r="D42" s="813"/>
      <c r="E42" s="813"/>
      <c r="F42" s="813"/>
      <c r="G42" s="813"/>
      <c r="H42" s="813"/>
      <c r="I42" s="813"/>
      <c r="J42" s="813"/>
      <c r="K42" s="845"/>
    </row>
    <row r="43" spans="2:11" ht="39.9" customHeight="1" thickBot="1" x14ac:dyDescent="0.35">
      <c r="B43" s="367" t="s">
        <v>682</v>
      </c>
      <c r="C43" s="831" t="s">
        <v>493</v>
      </c>
      <c r="D43" s="831"/>
      <c r="E43" s="831"/>
      <c r="F43" s="831"/>
      <c r="G43" s="831"/>
      <c r="H43" s="831"/>
      <c r="I43" s="831"/>
      <c r="J43" s="831"/>
      <c r="K43" s="832"/>
    </row>
    <row r="44" spans="2:11" ht="13.8" thickBot="1" x14ac:dyDescent="0.35">
      <c r="B44" s="872" t="s">
        <v>1139</v>
      </c>
      <c r="C44" s="873"/>
      <c r="D44" s="873"/>
      <c r="E44" s="873"/>
      <c r="F44" s="873"/>
      <c r="G44" s="873"/>
      <c r="H44" s="873"/>
      <c r="I44" s="873"/>
      <c r="J44" s="873"/>
      <c r="K44" s="874"/>
    </row>
    <row r="45" spans="2:11" ht="13.8" thickBot="1" x14ac:dyDescent="0.35">
      <c r="B45" s="360" t="s">
        <v>863</v>
      </c>
      <c r="C45" s="835" t="s">
        <v>1140</v>
      </c>
      <c r="D45" s="835"/>
      <c r="E45" s="835"/>
      <c r="F45" s="835"/>
      <c r="G45" s="835"/>
      <c r="H45" s="835"/>
      <c r="I45" s="835"/>
      <c r="J45" s="835"/>
      <c r="K45" s="836"/>
    </row>
    <row r="47" spans="2:11" ht="13.8" thickBot="1" x14ac:dyDescent="0.35"/>
    <row r="48" spans="2:11" ht="13.8" thickBot="1" x14ac:dyDescent="0.35">
      <c r="B48" s="807" t="s">
        <v>1060</v>
      </c>
      <c r="C48" s="808"/>
      <c r="D48" s="808"/>
      <c r="E48" s="808"/>
      <c r="F48" s="808"/>
      <c r="G48" s="808"/>
      <c r="H48" s="808"/>
      <c r="I48" s="808"/>
      <c r="J48" s="808"/>
      <c r="K48" s="809"/>
    </row>
    <row r="49" spans="1:11" ht="13.8" thickBot="1" x14ac:dyDescent="0.35">
      <c r="B49" s="360" t="s">
        <v>556</v>
      </c>
      <c r="C49" s="810" t="s">
        <v>38</v>
      </c>
      <c r="D49" s="810"/>
      <c r="E49" s="810"/>
      <c r="F49" s="810"/>
      <c r="G49" s="810"/>
      <c r="H49" s="810"/>
      <c r="I49" s="810"/>
      <c r="J49" s="810"/>
      <c r="K49" s="811"/>
    </row>
    <row r="50" spans="1:11" ht="13.8" thickBot="1" x14ac:dyDescent="0.35">
      <c r="A50" s="290"/>
      <c r="B50" s="807" t="s">
        <v>1109</v>
      </c>
      <c r="C50" s="808"/>
      <c r="D50" s="808"/>
      <c r="E50" s="808"/>
      <c r="F50" s="808"/>
      <c r="G50" s="808"/>
      <c r="H50" s="808"/>
      <c r="I50" s="808"/>
      <c r="J50" s="808"/>
      <c r="K50" s="809"/>
    </row>
    <row r="51" spans="1:11" ht="13.5" customHeight="1" x14ac:dyDescent="0.3">
      <c r="B51" s="361" t="s">
        <v>1110</v>
      </c>
      <c r="C51" s="812" t="s">
        <v>1111</v>
      </c>
      <c r="D51" s="812"/>
      <c r="E51" s="812"/>
      <c r="F51" s="812"/>
      <c r="G51" s="812"/>
      <c r="H51" s="812"/>
      <c r="I51" s="812"/>
      <c r="J51" s="812"/>
      <c r="K51" s="362" t="s">
        <v>35</v>
      </c>
    </row>
    <row r="52" spans="1:11" x14ac:dyDescent="0.3">
      <c r="B52" s="363"/>
      <c r="C52" s="804" t="s">
        <v>1206</v>
      </c>
      <c r="D52" s="805"/>
      <c r="E52" s="805"/>
      <c r="F52" s="805"/>
      <c r="G52" s="805"/>
      <c r="H52" s="805"/>
      <c r="I52" s="805"/>
      <c r="J52" s="806"/>
      <c r="K52" s="364"/>
    </row>
    <row r="53" spans="1:11" ht="13.5" customHeight="1" x14ac:dyDescent="0.3">
      <c r="B53" s="365" t="s">
        <v>1112</v>
      </c>
      <c r="C53" s="813" t="s">
        <v>1118</v>
      </c>
      <c r="D53" s="813"/>
      <c r="E53" s="813"/>
      <c r="F53" s="813"/>
      <c r="G53" s="813"/>
      <c r="H53" s="813"/>
      <c r="I53" s="813"/>
      <c r="J53" s="813"/>
      <c r="K53" s="366" t="s">
        <v>35</v>
      </c>
    </row>
    <row r="54" spans="1:11" ht="13.5" customHeight="1" x14ac:dyDescent="0.3">
      <c r="B54" s="365" t="s">
        <v>1113</v>
      </c>
      <c r="C54" s="813" t="s">
        <v>1119</v>
      </c>
      <c r="D54" s="813"/>
      <c r="E54" s="813"/>
      <c r="F54" s="813"/>
      <c r="G54" s="813"/>
      <c r="H54" s="813"/>
      <c r="I54" s="813"/>
      <c r="J54" s="813"/>
      <c r="K54" s="366" t="s">
        <v>35</v>
      </c>
    </row>
    <row r="55" spans="1:11" ht="13.5" customHeight="1" x14ac:dyDescent="0.3">
      <c r="B55" s="365" t="s">
        <v>1114</v>
      </c>
      <c r="C55" s="813" t="s">
        <v>1120</v>
      </c>
      <c r="D55" s="813"/>
      <c r="E55" s="813"/>
      <c r="F55" s="813"/>
      <c r="G55" s="813"/>
      <c r="H55" s="813"/>
      <c r="I55" s="813"/>
      <c r="J55" s="813"/>
      <c r="K55" s="366" t="s">
        <v>35</v>
      </c>
    </row>
    <row r="56" spans="1:11" ht="27" customHeight="1" x14ac:dyDescent="0.3">
      <c r="B56" s="365" t="s">
        <v>1115</v>
      </c>
      <c r="C56" s="813" t="s">
        <v>1121</v>
      </c>
      <c r="D56" s="813"/>
      <c r="E56" s="813"/>
      <c r="F56" s="813"/>
      <c r="G56" s="813"/>
      <c r="H56" s="813"/>
      <c r="I56" s="813"/>
      <c r="J56" s="813"/>
      <c r="K56" s="366" t="s">
        <v>35</v>
      </c>
    </row>
    <row r="57" spans="1:11" ht="13.5" customHeight="1" x14ac:dyDescent="0.3">
      <c r="B57" s="365" t="s">
        <v>1116</v>
      </c>
      <c r="C57" s="813" t="s">
        <v>1272</v>
      </c>
      <c r="D57" s="813"/>
      <c r="E57" s="813"/>
      <c r="F57" s="813"/>
      <c r="G57" s="813"/>
      <c r="H57" s="813"/>
      <c r="I57" s="813"/>
      <c r="J57" s="813"/>
      <c r="K57" s="366" t="s">
        <v>35</v>
      </c>
    </row>
    <row r="58" spans="1:11" ht="13.5" customHeight="1" thickBot="1" x14ac:dyDescent="0.35">
      <c r="B58" s="367" t="s">
        <v>1117</v>
      </c>
      <c r="C58" s="831" t="s">
        <v>1122</v>
      </c>
      <c r="D58" s="831"/>
      <c r="E58" s="831"/>
      <c r="F58" s="831"/>
      <c r="G58" s="831"/>
      <c r="H58" s="831"/>
      <c r="I58" s="831"/>
      <c r="J58" s="831"/>
      <c r="K58" s="368" t="s">
        <v>35</v>
      </c>
    </row>
    <row r="59" spans="1:11" ht="13.8" thickBot="1" x14ac:dyDescent="0.35">
      <c r="B59" s="369"/>
      <c r="C59" s="833" t="s">
        <v>1123</v>
      </c>
      <c r="D59" s="833"/>
      <c r="E59" s="833"/>
      <c r="F59" s="833"/>
      <c r="G59" s="833"/>
      <c r="H59" s="833"/>
      <c r="I59" s="833"/>
      <c r="J59" s="833"/>
      <c r="K59" s="370" t="str">
        <f>IF(OR(K51="Yes",K53="Yes",K54="Yes",K55="Yes",K56="Yes",K57="Yes",K58="Yes"),"Yes","No")</f>
        <v>No</v>
      </c>
    </row>
    <row r="60" spans="1:11" ht="13.8" thickBot="1" x14ac:dyDescent="0.35">
      <c r="B60" s="834" t="s">
        <v>1061</v>
      </c>
      <c r="C60" s="834"/>
      <c r="D60" s="834"/>
      <c r="E60" s="834"/>
      <c r="F60" s="834"/>
      <c r="G60" s="834" t="s">
        <v>1062</v>
      </c>
      <c r="H60" s="834"/>
      <c r="I60" s="834"/>
      <c r="J60" s="834"/>
      <c r="K60" s="834"/>
    </row>
    <row r="61" spans="1:11" ht="27" thickBot="1" x14ac:dyDescent="0.35">
      <c r="B61" s="371" t="s">
        <v>26</v>
      </c>
      <c r="C61" s="372" t="s">
        <v>553</v>
      </c>
      <c r="D61" s="372" t="s">
        <v>19</v>
      </c>
      <c r="E61" s="372" t="s">
        <v>25</v>
      </c>
      <c r="F61" s="373" t="s">
        <v>554</v>
      </c>
      <c r="G61" s="374" t="s">
        <v>1063</v>
      </c>
      <c r="H61" s="372" t="s">
        <v>1064</v>
      </c>
      <c r="I61" s="375" t="s">
        <v>1065</v>
      </c>
      <c r="J61" s="375" t="s">
        <v>1066</v>
      </c>
      <c r="K61" s="376" t="s">
        <v>1067</v>
      </c>
    </row>
    <row r="62" spans="1:11" ht="13.8" thickBot="1" x14ac:dyDescent="0.35">
      <c r="B62" s="433" t="s">
        <v>619</v>
      </c>
      <c r="C62" s="434" t="s">
        <v>619</v>
      </c>
      <c r="D62" s="434" t="s">
        <v>619</v>
      </c>
      <c r="E62" s="434" t="s">
        <v>619</v>
      </c>
      <c r="F62" s="435" t="s">
        <v>621</v>
      </c>
      <c r="G62" s="436" t="s">
        <v>619</v>
      </c>
      <c r="H62" s="434" t="s">
        <v>621</v>
      </c>
      <c r="I62" s="434" t="s">
        <v>621</v>
      </c>
      <c r="J62" s="434" t="s">
        <v>621</v>
      </c>
      <c r="K62" s="435" t="s">
        <v>621</v>
      </c>
    </row>
    <row r="63" spans="1:11" ht="13.8" thickBot="1" x14ac:dyDescent="0.35">
      <c r="B63" s="807" t="s">
        <v>1068</v>
      </c>
      <c r="C63" s="808"/>
      <c r="D63" s="808"/>
      <c r="E63" s="808"/>
      <c r="F63" s="808"/>
      <c r="G63" s="808"/>
      <c r="H63" s="808"/>
      <c r="I63" s="808"/>
      <c r="J63" s="808"/>
      <c r="K63" s="809"/>
    </row>
    <row r="64" spans="1:11" ht="27" thickBot="1" x14ac:dyDescent="0.35">
      <c r="B64" s="369" t="s">
        <v>1124</v>
      </c>
      <c r="C64" s="827" t="s">
        <v>31</v>
      </c>
      <c r="D64" s="827"/>
      <c r="E64" s="827"/>
      <c r="F64" s="827"/>
      <c r="G64" s="827"/>
      <c r="H64" s="827"/>
      <c r="I64" s="381" t="s">
        <v>1125</v>
      </c>
      <c r="J64" s="828" t="s">
        <v>1074</v>
      </c>
      <c r="K64" s="829"/>
    </row>
    <row r="65" spans="1:11" ht="13.8" thickBot="1" x14ac:dyDescent="0.35">
      <c r="B65" s="361" t="s">
        <v>623</v>
      </c>
      <c r="C65" s="812" t="s">
        <v>622</v>
      </c>
      <c r="D65" s="812"/>
      <c r="E65" s="812"/>
      <c r="F65" s="812"/>
      <c r="G65" s="812"/>
      <c r="H65" s="812"/>
      <c r="I65" s="385" t="s">
        <v>35</v>
      </c>
      <c r="J65" s="856" t="s">
        <v>863</v>
      </c>
      <c r="K65" s="857"/>
    </row>
    <row r="66" spans="1:11" ht="27" thickBot="1" x14ac:dyDescent="0.35">
      <c r="B66" s="383" t="s">
        <v>1072</v>
      </c>
      <c r="C66" s="814" t="s">
        <v>1103</v>
      </c>
      <c r="D66" s="815"/>
      <c r="E66" s="383" t="s">
        <v>1070</v>
      </c>
      <c r="F66" s="384" t="s">
        <v>1134</v>
      </c>
      <c r="G66" s="816" t="s">
        <v>1175</v>
      </c>
      <c r="H66" s="817"/>
      <c r="I66" s="383" t="s">
        <v>1130</v>
      </c>
      <c r="J66" s="814" t="s">
        <v>1133</v>
      </c>
      <c r="K66" s="815"/>
    </row>
    <row r="67" spans="1:11" ht="13.8" thickBot="1" x14ac:dyDescent="0.35">
      <c r="B67" s="824" t="s">
        <v>1076</v>
      </c>
      <c r="C67" s="825"/>
      <c r="D67" s="825"/>
      <c r="E67" s="825"/>
      <c r="F67" s="825"/>
      <c r="G67" s="825"/>
      <c r="H67" s="825"/>
      <c r="I67" s="825"/>
      <c r="J67" s="825"/>
      <c r="K67" s="826"/>
    </row>
    <row r="68" spans="1:11" ht="13.8" thickBot="1" x14ac:dyDescent="0.35">
      <c r="B68" s="360" t="s">
        <v>863</v>
      </c>
      <c r="C68" s="858" t="s">
        <v>1102</v>
      </c>
      <c r="D68" s="859"/>
      <c r="E68" s="859"/>
      <c r="F68" s="859"/>
      <c r="G68" s="859"/>
      <c r="H68" s="859"/>
      <c r="I68" s="859"/>
      <c r="J68" s="859"/>
      <c r="K68" s="860"/>
    </row>
    <row r="69" spans="1:11" ht="13.8" thickBot="1" x14ac:dyDescent="0.35">
      <c r="B69" s="824" t="s">
        <v>1077</v>
      </c>
      <c r="C69" s="825"/>
      <c r="D69" s="825"/>
      <c r="E69" s="825"/>
      <c r="F69" s="825"/>
      <c r="G69" s="825"/>
      <c r="H69" s="825"/>
      <c r="I69" s="825"/>
      <c r="J69" s="825"/>
      <c r="K69" s="826"/>
    </row>
    <row r="70" spans="1:11" x14ac:dyDescent="0.3">
      <c r="B70" s="361" t="s">
        <v>674</v>
      </c>
      <c r="C70" s="863" t="s">
        <v>673</v>
      </c>
      <c r="D70" s="864"/>
      <c r="E70" s="864"/>
      <c r="F70" s="864"/>
      <c r="G70" s="864"/>
      <c r="H70" s="864"/>
      <c r="I70" s="864"/>
      <c r="J70" s="864"/>
      <c r="K70" s="865"/>
    </row>
    <row r="71" spans="1:11" x14ac:dyDescent="0.3">
      <c r="B71" s="430" t="s">
        <v>676</v>
      </c>
      <c r="C71" s="818" t="s">
        <v>11</v>
      </c>
      <c r="D71" s="819"/>
      <c r="E71" s="819"/>
      <c r="F71" s="819"/>
      <c r="G71" s="819"/>
      <c r="H71" s="819"/>
      <c r="I71" s="819"/>
      <c r="J71" s="819"/>
      <c r="K71" s="820"/>
    </row>
    <row r="72" spans="1:11" ht="13.8" thickBot="1" x14ac:dyDescent="0.35">
      <c r="B72" s="431" t="s">
        <v>1217</v>
      </c>
      <c r="C72" s="821" t="s">
        <v>1189</v>
      </c>
      <c r="D72" s="822"/>
      <c r="E72" s="822"/>
      <c r="F72" s="822"/>
      <c r="G72" s="822"/>
      <c r="H72" s="822"/>
      <c r="I72" s="822"/>
      <c r="J72" s="822"/>
      <c r="K72" s="823"/>
    </row>
    <row r="73" spans="1:11" ht="13.8" thickBot="1" x14ac:dyDescent="0.35">
      <c r="B73" s="824" t="s">
        <v>1139</v>
      </c>
      <c r="C73" s="825"/>
      <c r="D73" s="825"/>
      <c r="E73" s="825"/>
      <c r="F73" s="825"/>
      <c r="G73" s="825"/>
      <c r="H73" s="825"/>
      <c r="I73" s="825"/>
      <c r="J73" s="825"/>
      <c r="K73" s="826"/>
    </row>
    <row r="74" spans="1:11" ht="13.8" thickBot="1" x14ac:dyDescent="0.35">
      <c r="B74" s="360" t="s">
        <v>863</v>
      </c>
      <c r="C74" s="835" t="s">
        <v>1140</v>
      </c>
      <c r="D74" s="835"/>
      <c r="E74" s="835"/>
      <c r="F74" s="835"/>
      <c r="G74" s="835"/>
      <c r="H74" s="835"/>
      <c r="I74" s="835"/>
      <c r="J74" s="835"/>
      <c r="K74" s="836"/>
    </row>
    <row r="76" spans="1:11" ht="13.8" thickBot="1" x14ac:dyDescent="0.35"/>
    <row r="77" spans="1:11" ht="13.8" thickBot="1" x14ac:dyDescent="0.35">
      <c r="B77" s="807" t="s">
        <v>1060</v>
      </c>
      <c r="C77" s="808"/>
      <c r="D77" s="808"/>
      <c r="E77" s="808"/>
      <c r="F77" s="808"/>
      <c r="G77" s="808"/>
      <c r="H77" s="808"/>
      <c r="I77" s="808"/>
      <c r="J77" s="808"/>
      <c r="K77" s="809"/>
    </row>
    <row r="78" spans="1:11" ht="13.8" thickBot="1" x14ac:dyDescent="0.35">
      <c r="B78" s="360" t="s">
        <v>557</v>
      </c>
      <c r="C78" s="810" t="s">
        <v>39</v>
      </c>
      <c r="D78" s="810"/>
      <c r="E78" s="810"/>
      <c r="F78" s="810"/>
      <c r="G78" s="810"/>
      <c r="H78" s="810"/>
      <c r="I78" s="810"/>
      <c r="J78" s="810"/>
      <c r="K78" s="811"/>
    </row>
    <row r="79" spans="1:11" ht="13.8" thickBot="1" x14ac:dyDescent="0.35">
      <c r="A79" s="290"/>
      <c r="B79" s="807" t="s">
        <v>1109</v>
      </c>
      <c r="C79" s="808"/>
      <c r="D79" s="808"/>
      <c r="E79" s="808"/>
      <c r="F79" s="808"/>
      <c r="G79" s="808"/>
      <c r="H79" s="808"/>
      <c r="I79" s="808"/>
      <c r="J79" s="808"/>
      <c r="K79" s="809"/>
    </row>
    <row r="80" spans="1:11" ht="13.5" customHeight="1" x14ac:dyDescent="0.3">
      <c r="B80" s="361" t="s">
        <v>1110</v>
      </c>
      <c r="C80" s="812" t="s">
        <v>1111</v>
      </c>
      <c r="D80" s="812"/>
      <c r="E80" s="812"/>
      <c r="F80" s="812"/>
      <c r="G80" s="812"/>
      <c r="H80" s="812"/>
      <c r="I80" s="812"/>
      <c r="J80" s="812"/>
      <c r="K80" s="362" t="s">
        <v>35</v>
      </c>
    </row>
    <row r="81" spans="2:12" x14ac:dyDescent="0.3">
      <c r="B81" s="363"/>
      <c r="C81" s="804" t="s">
        <v>1206</v>
      </c>
      <c r="D81" s="805"/>
      <c r="E81" s="805"/>
      <c r="F81" s="805"/>
      <c r="G81" s="805"/>
      <c r="H81" s="805"/>
      <c r="I81" s="805"/>
      <c r="J81" s="806"/>
      <c r="K81" s="364"/>
    </row>
    <row r="82" spans="2:12" ht="13.5" customHeight="1" x14ac:dyDescent="0.3">
      <c r="B82" s="365" t="s">
        <v>1112</v>
      </c>
      <c r="C82" s="813" t="s">
        <v>1118</v>
      </c>
      <c r="D82" s="813"/>
      <c r="E82" s="813"/>
      <c r="F82" s="813"/>
      <c r="G82" s="813"/>
      <c r="H82" s="813"/>
      <c r="I82" s="813"/>
      <c r="J82" s="813"/>
      <c r="K82" s="366" t="s">
        <v>35</v>
      </c>
    </row>
    <row r="83" spans="2:12" ht="13.5" customHeight="1" x14ac:dyDescent="0.3">
      <c r="B83" s="365" t="s">
        <v>1113</v>
      </c>
      <c r="C83" s="813" t="s">
        <v>1119</v>
      </c>
      <c r="D83" s="813"/>
      <c r="E83" s="813"/>
      <c r="F83" s="813"/>
      <c r="G83" s="813"/>
      <c r="H83" s="813"/>
      <c r="I83" s="813"/>
      <c r="J83" s="813"/>
      <c r="K83" s="366" t="s">
        <v>35</v>
      </c>
    </row>
    <row r="84" spans="2:12" ht="13.5" customHeight="1" x14ac:dyDescent="0.3">
      <c r="B84" s="365" t="s">
        <v>1114</v>
      </c>
      <c r="C84" s="813" t="s">
        <v>1120</v>
      </c>
      <c r="D84" s="813"/>
      <c r="E84" s="813"/>
      <c r="F84" s="813"/>
      <c r="G84" s="813"/>
      <c r="H84" s="813"/>
      <c r="I84" s="813"/>
      <c r="J84" s="813"/>
      <c r="K84" s="366" t="s">
        <v>35</v>
      </c>
    </row>
    <row r="85" spans="2:12" ht="27" customHeight="1" x14ac:dyDescent="0.3">
      <c r="B85" s="365" t="s">
        <v>1115</v>
      </c>
      <c r="C85" s="813" t="s">
        <v>1121</v>
      </c>
      <c r="D85" s="813"/>
      <c r="E85" s="813"/>
      <c r="F85" s="813"/>
      <c r="G85" s="813"/>
      <c r="H85" s="813"/>
      <c r="I85" s="813"/>
      <c r="J85" s="813"/>
      <c r="K85" s="366" t="s">
        <v>35</v>
      </c>
    </row>
    <row r="86" spans="2:12" ht="13.5" customHeight="1" x14ac:dyDescent="0.3">
      <c r="B86" s="365" t="s">
        <v>1116</v>
      </c>
      <c r="C86" s="813" t="s">
        <v>1272</v>
      </c>
      <c r="D86" s="813"/>
      <c r="E86" s="813"/>
      <c r="F86" s="813"/>
      <c r="G86" s="813"/>
      <c r="H86" s="813"/>
      <c r="I86" s="813"/>
      <c r="J86" s="813"/>
      <c r="K86" s="366" t="s">
        <v>35</v>
      </c>
    </row>
    <row r="87" spans="2:12" ht="13.5" customHeight="1" thickBot="1" x14ac:dyDescent="0.35">
      <c r="B87" s="367" t="s">
        <v>1117</v>
      </c>
      <c r="C87" s="831" t="s">
        <v>1122</v>
      </c>
      <c r="D87" s="831"/>
      <c r="E87" s="831"/>
      <c r="F87" s="831"/>
      <c r="G87" s="831"/>
      <c r="H87" s="831"/>
      <c r="I87" s="831"/>
      <c r="J87" s="831"/>
      <c r="K87" s="368" t="s">
        <v>35</v>
      </c>
    </row>
    <row r="88" spans="2:12" ht="13.8" thickBot="1" x14ac:dyDescent="0.35">
      <c r="B88" s="369"/>
      <c r="C88" s="833" t="s">
        <v>1123</v>
      </c>
      <c r="D88" s="833"/>
      <c r="E88" s="833"/>
      <c r="F88" s="833"/>
      <c r="G88" s="833"/>
      <c r="H88" s="833"/>
      <c r="I88" s="833"/>
      <c r="J88" s="833"/>
      <c r="K88" s="370" t="str">
        <f>IF(OR(K80="Yes",K82="Yes",K83="Yes",K84="Yes",K85="Yes",K86="Yes",K87="Yes"),"Yes","No")</f>
        <v>No</v>
      </c>
    </row>
    <row r="89" spans="2:12" ht="13.8" thickBot="1" x14ac:dyDescent="0.35">
      <c r="B89" s="834" t="s">
        <v>1061</v>
      </c>
      <c r="C89" s="834"/>
      <c r="D89" s="834"/>
      <c r="E89" s="834"/>
      <c r="F89" s="834"/>
      <c r="G89" s="834" t="s">
        <v>1062</v>
      </c>
      <c r="H89" s="834"/>
      <c r="I89" s="834"/>
      <c r="J89" s="834"/>
      <c r="K89" s="834"/>
    </row>
    <row r="90" spans="2:12" ht="27" thickBot="1" x14ac:dyDescent="0.35">
      <c r="B90" s="371" t="s">
        <v>26</v>
      </c>
      <c r="C90" s="372" t="s">
        <v>553</v>
      </c>
      <c r="D90" s="372" t="s">
        <v>19</v>
      </c>
      <c r="E90" s="372" t="s">
        <v>25</v>
      </c>
      <c r="F90" s="373" t="s">
        <v>554</v>
      </c>
      <c r="G90" s="374" t="s">
        <v>1063</v>
      </c>
      <c r="H90" s="372" t="s">
        <v>1064</v>
      </c>
      <c r="I90" s="375" t="s">
        <v>1065</v>
      </c>
      <c r="J90" s="375" t="s">
        <v>1066</v>
      </c>
      <c r="K90" s="376" t="s">
        <v>1067</v>
      </c>
    </row>
    <row r="91" spans="2:12" ht="13.8" thickBot="1" x14ac:dyDescent="0.35">
      <c r="B91" s="433" t="s">
        <v>619</v>
      </c>
      <c r="C91" s="434" t="s">
        <v>619</v>
      </c>
      <c r="D91" s="434" t="s">
        <v>621</v>
      </c>
      <c r="E91" s="434" t="s">
        <v>619</v>
      </c>
      <c r="F91" s="435" t="s">
        <v>619</v>
      </c>
      <c r="G91" s="436" t="s">
        <v>619</v>
      </c>
      <c r="H91" s="434" t="s">
        <v>621</v>
      </c>
      <c r="I91" s="434" t="s">
        <v>621</v>
      </c>
      <c r="J91" s="434" t="s">
        <v>621</v>
      </c>
      <c r="K91" s="435" t="s">
        <v>621</v>
      </c>
    </row>
    <row r="92" spans="2:12" ht="13.8" thickBot="1" x14ac:dyDescent="0.35">
      <c r="B92" s="807" t="s">
        <v>1068</v>
      </c>
      <c r="C92" s="808"/>
      <c r="D92" s="808"/>
      <c r="E92" s="808"/>
      <c r="F92" s="808"/>
      <c r="G92" s="808"/>
      <c r="H92" s="808"/>
      <c r="I92" s="808"/>
      <c r="J92" s="808"/>
      <c r="K92" s="809"/>
    </row>
    <row r="93" spans="2:12" ht="27" thickBot="1" x14ac:dyDescent="0.35">
      <c r="B93" s="369" t="s">
        <v>1124</v>
      </c>
      <c r="C93" s="827" t="s">
        <v>31</v>
      </c>
      <c r="D93" s="827"/>
      <c r="E93" s="827"/>
      <c r="F93" s="827"/>
      <c r="G93" s="827"/>
      <c r="H93" s="827"/>
      <c r="I93" s="381" t="s">
        <v>1125</v>
      </c>
      <c r="J93" s="828" t="s">
        <v>1074</v>
      </c>
      <c r="K93" s="829"/>
    </row>
    <row r="94" spans="2:12" ht="54" customHeight="1" x14ac:dyDescent="0.3">
      <c r="B94" s="361" t="s">
        <v>624</v>
      </c>
      <c r="C94" s="812" t="s">
        <v>1394</v>
      </c>
      <c r="D94" s="812"/>
      <c r="E94" s="812"/>
      <c r="F94" s="812"/>
      <c r="G94" s="812"/>
      <c r="H94" s="812"/>
      <c r="I94" s="385" t="s">
        <v>37</v>
      </c>
      <c r="J94" s="881" t="s">
        <v>1797</v>
      </c>
      <c r="K94" s="882"/>
    </row>
    <row r="95" spans="2:12" ht="54" customHeight="1" x14ac:dyDescent="0.3">
      <c r="B95" s="365" t="s">
        <v>625</v>
      </c>
      <c r="C95" s="813" t="s">
        <v>1348</v>
      </c>
      <c r="D95" s="813"/>
      <c r="E95" s="813"/>
      <c r="F95" s="813"/>
      <c r="G95" s="813"/>
      <c r="H95" s="813"/>
      <c r="I95" s="422" t="s">
        <v>37</v>
      </c>
      <c r="J95" s="846" t="s">
        <v>1797</v>
      </c>
      <c r="K95" s="847"/>
    </row>
    <row r="96" spans="2:12" ht="43.2" customHeight="1" x14ac:dyDescent="0.3">
      <c r="B96" s="365" t="s">
        <v>664</v>
      </c>
      <c r="C96" s="813" t="s">
        <v>1210</v>
      </c>
      <c r="D96" s="813"/>
      <c r="E96" s="813"/>
      <c r="F96" s="813"/>
      <c r="G96" s="813"/>
      <c r="H96" s="813"/>
      <c r="I96" s="422" t="s">
        <v>37</v>
      </c>
      <c r="J96" s="846" t="s">
        <v>1797</v>
      </c>
      <c r="K96" s="847"/>
      <c r="L96" s="290" t="s">
        <v>619</v>
      </c>
    </row>
    <row r="97" spans="1:11" ht="54" customHeight="1" x14ac:dyDescent="0.3">
      <c r="B97" s="365" t="s">
        <v>867</v>
      </c>
      <c r="C97" s="813" t="s">
        <v>1212</v>
      </c>
      <c r="D97" s="813"/>
      <c r="E97" s="813"/>
      <c r="F97" s="813"/>
      <c r="G97" s="813"/>
      <c r="H97" s="813"/>
      <c r="I97" s="422" t="s">
        <v>35</v>
      </c>
      <c r="J97" s="813" t="s">
        <v>863</v>
      </c>
      <c r="K97" s="845"/>
    </row>
    <row r="98" spans="1:11" ht="39.9" customHeight="1" thickBot="1" x14ac:dyDescent="0.35">
      <c r="B98" s="367" t="s">
        <v>1211</v>
      </c>
      <c r="C98" s="831" t="s">
        <v>1215</v>
      </c>
      <c r="D98" s="831"/>
      <c r="E98" s="831"/>
      <c r="F98" s="831"/>
      <c r="G98" s="831"/>
      <c r="H98" s="831"/>
      <c r="I98" s="386" t="s">
        <v>35</v>
      </c>
      <c r="J98" s="831" t="s">
        <v>863</v>
      </c>
      <c r="K98" s="832"/>
    </row>
    <row r="99" spans="1:11" ht="27" thickBot="1" x14ac:dyDescent="0.35">
      <c r="B99" s="383" t="s">
        <v>1072</v>
      </c>
      <c r="C99" s="814" t="s">
        <v>1103</v>
      </c>
      <c r="D99" s="815"/>
      <c r="E99" s="383" t="s">
        <v>1070</v>
      </c>
      <c r="F99" s="384" t="s">
        <v>1134</v>
      </c>
      <c r="G99" s="816" t="s">
        <v>1175</v>
      </c>
      <c r="H99" s="817"/>
      <c r="I99" s="383" t="s">
        <v>1130</v>
      </c>
      <c r="J99" s="814" t="s">
        <v>1133</v>
      </c>
      <c r="K99" s="815"/>
    </row>
    <row r="100" spans="1:11" ht="13.8" thickBot="1" x14ac:dyDescent="0.35">
      <c r="B100" s="824" t="s">
        <v>1076</v>
      </c>
      <c r="C100" s="851"/>
      <c r="D100" s="851"/>
      <c r="E100" s="851"/>
      <c r="F100" s="851"/>
      <c r="G100" s="851"/>
      <c r="H100" s="851"/>
      <c r="I100" s="851"/>
      <c r="J100" s="851"/>
      <c r="K100" s="852"/>
    </row>
    <row r="101" spans="1:11" ht="27" customHeight="1" x14ac:dyDescent="0.3">
      <c r="B101" s="508" t="s">
        <v>624</v>
      </c>
      <c r="C101" s="863" t="s">
        <v>1716</v>
      </c>
      <c r="D101" s="864"/>
      <c r="E101" s="864"/>
      <c r="F101" s="864"/>
      <c r="G101" s="864"/>
      <c r="H101" s="864"/>
      <c r="I101" s="864"/>
      <c r="J101" s="864"/>
      <c r="K101" s="865"/>
    </row>
    <row r="102" spans="1:11" ht="27" customHeight="1" x14ac:dyDescent="0.3">
      <c r="B102" s="509" t="s">
        <v>625</v>
      </c>
      <c r="C102" s="804" t="s">
        <v>1717</v>
      </c>
      <c r="D102" s="805"/>
      <c r="E102" s="805"/>
      <c r="F102" s="805"/>
      <c r="G102" s="805"/>
      <c r="H102" s="805"/>
      <c r="I102" s="805"/>
      <c r="J102" s="805"/>
      <c r="K102" s="886"/>
    </row>
    <row r="103" spans="1:11" ht="13.8" thickBot="1" x14ac:dyDescent="0.35">
      <c r="B103" s="510" t="s">
        <v>664</v>
      </c>
      <c r="C103" s="883" t="s">
        <v>1718</v>
      </c>
      <c r="D103" s="884"/>
      <c r="E103" s="884"/>
      <c r="F103" s="884"/>
      <c r="G103" s="884"/>
      <c r="H103" s="884"/>
      <c r="I103" s="884"/>
      <c r="J103" s="884"/>
      <c r="K103" s="885"/>
    </row>
    <row r="104" spans="1:11" ht="13.8" thickBot="1" x14ac:dyDescent="0.35">
      <c r="B104" s="824" t="s">
        <v>1077</v>
      </c>
      <c r="C104" s="873"/>
      <c r="D104" s="873"/>
      <c r="E104" s="873"/>
      <c r="F104" s="873"/>
      <c r="G104" s="873"/>
      <c r="H104" s="873"/>
      <c r="I104" s="873"/>
      <c r="J104" s="873"/>
      <c r="K104" s="874"/>
    </row>
    <row r="105" spans="1:11" ht="13.8" thickBot="1" x14ac:dyDescent="0.35">
      <c r="B105" s="360" t="s">
        <v>678</v>
      </c>
      <c r="C105" s="830" t="s">
        <v>18</v>
      </c>
      <c r="D105" s="816"/>
      <c r="E105" s="816"/>
      <c r="F105" s="816"/>
      <c r="G105" s="816"/>
      <c r="H105" s="816"/>
      <c r="I105" s="816"/>
      <c r="J105" s="816"/>
      <c r="K105" s="817"/>
    </row>
    <row r="106" spans="1:11" ht="13.8" thickBot="1" x14ac:dyDescent="0.35">
      <c r="B106" s="824" t="s">
        <v>1139</v>
      </c>
      <c r="C106" s="825"/>
      <c r="D106" s="825"/>
      <c r="E106" s="825"/>
      <c r="F106" s="825"/>
      <c r="G106" s="825"/>
      <c r="H106" s="825"/>
      <c r="I106" s="825"/>
      <c r="J106" s="825"/>
      <c r="K106" s="826"/>
    </row>
    <row r="107" spans="1:11" ht="13.8" thickBot="1" x14ac:dyDescent="0.35">
      <c r="B107" s="360" t="s">
        <v>863</v>
      </c>
      <c r="C107" s="835" t="s">
        <v>1140</v>
      </c>
      <c r="D107" s="835"/>
      <c r="E107" s="835"/>
      <c r="F107" s="835"/>
      <c r="G107" s="835"/>
      <c r="H107" s="835"/>
      <c r="I107" s="835"/>
      <c r="J107" s="835"/>
      <c r="K107" s="836"/>
    </row>
    <row r="110" spans="1:11" ht="13.8" thickBot="1" x14ac:dyDescent="0.35">
      <c r="A110" s="358" t="s">
        <v>1095</v>
      </c>
      <c r="B110" s="359" t="s">
        <v>511</v>
      </c>
    </row>
    <row r="111" spans="1:11" ht="13.8" thickBot="1" x14ac:dyDescent="0.35">
      <c r="B111" s="807" t="s">
        <v>1060</v>
      </c>
      <c r="C111" s="808"/>
      <c r="D111" s="808"/>
      <c r="E111" s="808"/>
      <c r="F111" s="808"/>
      <c r="G111" s="808"/>
      <c r="H111" s="808"/>
      <c r="I111" s="808"/>
      <c r="J111" s="808"/>
      <c r="K111" s="809"/>
    </row>
    <row r="112" spans="1:11" ht="13.8" thickBot="1" x14ac:dyDescent="0.35">
      <c r="B112" s="360" t="s">
        <v>558</v>
      </c>
      <c r="C112" s="810" t="s">
        <v>46</v>
      </c>
      <c r="D112" s="810"/>
      <c r="E112" s="810"/>
      <c r="F112" s="810"/>
      <c r="G112" s="810"/>
      <c r="H112" s="810"/>
      <c r="I112" s="810"/>
      <c r="J112" s="810"/>
      <c r="K112" s="811"/>
    </row>
    <row r="113" spans="1:12" ht="13.8" thickBot="1" x14ac:dyDescent="0.35">
      <c r="A113" s="290"/>
      <c r="B113" s="807" t="s">
        <v>1109</v>
      </c>
      <c r="C113" s="808"/>
      <c r="D113" s="808"/>
      <c r="E113" s="808"/>
      <c r="F113" s="808"/>
      <c r="G113" s="808"/>
      <c r="H113" s="808"/>
      <c r="I113" s="808"/>
      <c r="J113" s="808"/>
      <c r="K113" s="809"/>
    </row>
    <row r="114" spans="1:12" ht="13.5" customHeight="1" x14ac:dyDescent="0.3">
      <c r="B114" s="361" t="s">
        <v>1110</v>
      </c>
      <c r="C114" s="812" t="s">
        <v>1111</v>
      </c>
      <c r="D114" s="812"/>
      <c r="E114" s="812"/>
      <c r="F114" s="812"/>
      <c r="G114" s="812"/>
      <c r="H114" s="812"/>
      <c r="I114" s="812"/>
      <c r="J114" s="812"/>
      <c r="K114" s="362" t="s">
        <v>35</v>
      </c>
    </row>
    <row r="115" spans="1:12" x14ac:dyDescent="0.3">
      <c r="B115" s="363"/>
      <c r="C115" s="804" t="s">
        <v>1206</v>
      </c>
      <c r="D115" s="805"/>
      <c r="E115" s="805"/>
      <c r="F115" s="805"/>
      <c r="G115" s="805"/>
      <c r="H115" s="805"/>
      <c r="I115" s="805"/>
      <c r="J115" s="806"/>
      <c r="K115" s="364"/>
    </row>
    <row r="116" spans="1:12" ht="13.5" customHeight="1" x14ac:dyDescent="0.3">
      <c r="B116" s="365" t="s">
        <v>1112</v>
      </c>
      <c r="C116" s="813" t="s">
        <v>1118</v>
      </c>
      <c r="D116" s="813"/>
      <c r="E116" s="813"/>
      <c r="F116" s="813"/>
      <c r="G116" s="813"/>
      <c r="H116" s="813"/>
      <c r="I116" s="813"/>
      <c r="J116" s="813"/>
      <c r="K116" s="366" t="s">
        <v>35</v>
      </c>
    </row>
    <row r="117" spans="1:12" ht="13.5" customHeight="1" x14ac:dyDescent="0.3">
      <c r="B117" s="365" t="s">
        <v>1113</v>
      </c>
      <c r="C117" s="813" t="s">
        <v>1119</v>
      </c>
      <c r="D117" s="813"/>
      <c r="E117" s="813"/>
      <c r="F117" s="813"/>
      <c r="G117" s="813"/>
      <c r="H117" s="813"/>
      <c r="I117" s="813"/>
      <c r="J117" s="813"/>
      <c r="K117" s="366" t="s">
        <v>35</v>
      </c>
    </row>
    <row r="118" spans="1:12" ht="13.5" customHeight="1" x14ac:dyDescent="0.3">
      <c r="B118" s="365" t="s">
        <v>1114</v>
      </c>
      <c r="C118" s="813" t="s">
        <v>1120</v>
      </c>
      <c r="D118" s="813"/>
      <c r="E118" s="813"/>
      <c r="F118" s="813"/>
      <c r="G118" s="813"/>
      <c r="H118" s="813"/>
      <c r="I118" s="813"/>
      <c r="J118" s="813"/>
      <c r="K118" s="366" t="s">
        <v>35</v>
      </c>
    </row>
    <row r="119" spans="1:12" ht="27" customHeight="1" x14ac:dyDescent="0.3">
      <c r="B119" s="365" t="s">
        <v>1115</v>
      </c>
      <c r="C119" s="813" t="s">
        <v>1121</v>
      </c>
      <c r="D119" s="813"/>
      <c r="E119" s="813"/>
      <c r="F119" s="813"/>
      <c r="G119" s="813"/>
      <c r="H119" s="813"/>
      <c r="I119" s="813"/>
      <c r="J119" s="813"/>
      <c r="K119" s="366" t="s">
        <v>35</v>
      </c>
    </row>
    <row r="120" spans="1:12" ht="13.5" customHeight="1" x14ac:dyDescent="0.3">
      <c r="B120" s="365" t="s">
        <v>1116</v>
      </c>
      <c r="C120" s="813" t="s">
        <v>1272</v>
      </c>
      <c r="D120" s="813"/>
      <c r="E120" s="813"/>
      <c r="F120" s="813"/>
      <c r="G120" s="813"/>
      <c r="H120" s="813"/>
      <c r="I120" s="813"/>
      <c r="J120" s="813"/>
      <c r="K120" s="366" t="s">
        <v>35</v>
      </c>
    </row>
    <row r="121" spans="1:12" ht="13.5" customHeight="1" thickBot="1" x14ac:dyDescent="0.35">
      <c r="B121" s="367" t="s">
        <v>1117</v>
      </c>
      <c r="C121" s="831" t="s">
        <v>1122</v>
      </c>
      <c r="D121" s="831"/>
      <c r="E121" s="831"/>
      <c r="F121" s="831"/>
      <c r="G121" s="831"/>
      <c r="H121" s="831"/>
      <c r="I121" s="831"/>
      <c r="J121" s="831"/>
      <c r="K121" s="368" t="s">
        <v>35</v>
      </c>
    </row>
    <row r="122" spans="1:12" ht="13.8" thickBot="1" x14ac:dyDescent="0.35">
      <c r="B122" s="369"/>
      <c r="C122" s="833" t="s">
        <v>1123</v>
      </c>
      <c r="D122" s="833"/>
      <c r="E122" s="833"/>
      <c r="F122" s="833"/>
      <c r="G122" s="833"/>
      <c r="H122" s="833"/>
      <c r="I122" s="833"/>
      <c r="J122" s="833"/>
      <c r="K122" s="370" t="str">
        <f>IF(OR(K114="Yes",K116="Yes",K117="Yes",K118="Yes",K119="Yes",K120="Yes",K121="Yes"),"Yes","No")</f>
        <v>No</v>
      </c>
    </row>
    <row r="123" spans="1:12" ht="13.8" thickBot="1" x14ac:dyDescent="0.35">
      <c r="B123" s="834" t="s">
        <v>1061</v>
      </c>
      <c r="C123" s="834"/>
      <c r="D123" s="834"/>
      <c r="E123" s="834"/>
      <c r="F123" s="834"/>
      <c r="G123" s="834" t="s">
        <v>1062</v>
      </c>
      <c r="H123" s="834"/>
      <c r="I123" s="834"/>
      <c r="J123" s="834"/>
      <c r="K123" s="834"/>
    </row>
    <row r="124" spans="1:12" ht="27" thickBot="1" x14ac:dyDescent="0.35">
      <c r="B124" s="371" t="s">
        <v>26</v>
      </c>
      <c r="C124" s="372" t="s">
        <v>553</v>
      </c>
      <c r="D124" s="372" t="s">
        <v>19</v>
      </c>
      <c r="E124" s="372" t="s">
        <v>25</v>
      </c>
      <c r="F124" s="373" t="s">
        <v>554</v>
      </c>
      <c r="G124" s="374" t="s">
        <v>1063</v>
      </c>
      <c r="H124" s="372" t="s">
        <v>1064</v>
      </c>
      <c r="I124" s="375" t="s">
        <v>1065</v>
      </c>
      <c r="J124" s="375" t="s">
        <v>1066</v>
      </c>
      <c r="K124" s="376" t="s">
        <v>1067</v>
      </c>
    </row>
    <row r="125" spans="1:12" ht="13.8" thickBot="1" x14ac:dyDescent="0.35">
      <c r="B125" s="433" t="s">
        <v>619</v>
      </c>
      <c r="C125" s="434" t="s">
        <v>619</v>
      </c>
      <c r="D125" s="434" t="s">
        <v>621</v>
      </c>
      <c r="E125" s="434" t="s">
        <v>619</v>
      </c>
      <c r="F125" s="435" t="s">
        <v>619</v>
      </c>
      <c r="G125" s="436" t="s">
        <v>619</v>
      </c>
      <c r="H125" s="434" t="s">
        <v>621</v>
      </c>
      <c r="I125" s="434" t="s">
        <v>621</v>
      </c>
      <c r="J125" s="434" t="s">
        <v>621</v>
      </c>
      <c r="K125" s="435" t="s">
        <v>621</v>
      </c>
    </row>
    <row r="126" spans="1:12" ht="13.8" thickBot="1" x14ac:dyDescent="0.35">
      <c r="B126" s="807" t="s">
        <v>1068</v>
      </c>
      <c r="C126" s="808"/>
      <c r="D126" s="808"/>
      <c r="E126" s="808"/>
      <c r="F126" s="808"/>
      <c r="G126" s="808"/>
      <c r="H126" s="808"/>
      <c r="I126" s="808"/>
      <c r="J126" s="808"/>
      <c r="K126" s="809"/>
    </row>
    <row r="127" spans="1:12" ht="27" thickBot="1" x14ac:dyDescent="0.35">
      <c r="B127" s="369" t="s">
        <v>1124</v>
      </c>
      <c r="C127" s="827" t="s">
        <v>31</v>
      </c>
      <c r="D127" s="827"/>
      <c r="E127" s="827"/>
      <c r="F127" s="827"/>
      <c r="G127" s="827"/>
      <c r="H127" s="827"/>
      <c r="I127" s="381" t="s">
        <v>1125</v>
      </c>
      <c r="J127" s="828" t="s">
        <v>1074</v>
      </c>
      <c r="K127" s="829"/>
    </row>
    <row r="128" spans="1:12" ht="39.9" customHeight="1" x14ac:dyDescent="0.3">
      <c r="B128" s="365" t="s">
        <v>664</v>
      </c>
      <c r="C128" s="813" t="s">
        <v>1210</v>
      </c>
      <c r="D128" s="813"/>
      <c r="E128" s="813"/>
      <c r="F128" s="813"/>
      <c r="G128" s="813"/>
      <c r="H128" s="813"/>
      <c r="I128" s="422" t="s">
        <v>37</v>
      </c>
      <c r="J128" s="881" t="s">
        <v>1797</v>
      </c>
      <c r="K128" s="882"/>
      <c r="L128" s="290" t="s">
        <v>619</v>
      </c>
    </row>
    <row r="129" spans="1:11" ht="54" customHeight="1" x14ac:dyDescent="0.3">
      <c r="B129" s="365" t="s">
        <v>867</v>
      </c>
      <c r="C129" s="813" t="s">
        <v>1212</v>
      </c>
      <c r="D129" s="813"/>
      <c r="E129" s="813"/>
      <c r="F129" s="813"/>
      <c r="G129" s="813"/>
      <c r="H129" s="813"/>
      <c r="I129" s="422" t="s">
        <v>35</v>
      </c>
      <c r="J129" s="813" t="s">
        <v>863</v>
      </c>
      <c r="K129" s="845"/>
    </row>
    <row r="130" spans="1:11" ht="39.9" customHeight="1" x14ac:dyDescent="0.3">
      <c r="B130" s="423" t="s">
        <v>1211</v>
      </c>
      <c r="C130" s="767" t="s">
        <v>1215</v>
      </c>
      <c r="D130" s="767"/>
      <c r="E130" s="767"/>
      <c r="F130" s="767"/>
      <c r="G130" s="767"/>
      <c r="H130" s="767"/>
      <c r="I130" s="638" t="s">
        <v>35</v>
      </c>
      <c r="J130" s="767" t="s">
        <v>863</v>
      </c>
      <c r="K130" s="875"/>
    </row>
    <row r="131" spans="1:11" ht="39.9" customHeight="1" thickBot="1" x14ac:dyDescent="0.35">
      <c r="B131" s="367" t="s">
        <v>1346</v>
      </c>
      <c r="C131" s="831" t="s">
        <v>1345</v>
      </c>
      <c r="D131" s="831"/>
      <c r="E131" s="831"/>
      <c r="F131" s="831"/>
      <c r="G131" s="831"/>
      <c r="H131" s="831"/>
      <c r="I131" s="386" t="s">
        <v>37</v>
      </c>
      <c r="J131" s="876" t="s">
        <v>1797</v>
      </c>
      <c r="K131" s="877"/>
    </row>
    <row r="132" spans="1:11" ht="27" thickBot="1" x14ac:dyDescent="0.35">
      <c r="B132" s="383" t="s">
        <v>1072</v>
      </c>
      <c r="C132" s="814" t="s">
        <v>1103</v>
      </c>
      <c r="D132" s="815"/>
      <c r="E132" s="383" t="s">
        <v>1070</v>
      </c>
      <c r="F132" s="384" t="s">
        <v>1134</v>
      </c>
      <c r="G132" s="816" t="s">
        <v>1175</v>
      </c>
      <c r="H132" s="817"/>
      <c r="I132" s="383" t="s">
        <v>1130</v>
      </c>
      <c r="J132" s="814" t="s">
        <v>1133</v>
      </c>
      <c r="K132" s="815"/>
    </row>
    <row r="133" spans="1:11" ht="13.8" thickBot="1" x14ac:dyDescent="0.35">
      <c r="B133" s="824" t="s">
        <v>1076</v>
      </c>
      <c r="C133" s="825"/>
      <c r="D133" s="825"/>
      <c r="E133" s="825"/>
      <c r="F133" s="825"/>
      <c r="G133" s="825"/>
      <c r="H133" s="825"/>
      <c r="I133" s="825"/>
      <c r="J133" s="825"/>
      <c r="K133" s="826"/>
    </row>
    <row r="134" spans="1:11" x14ac:dyDescent="0.3">
      <c r="B134" s="388" t="s">
        <v>664</v>
      </c>
      <c r="C134" s="889" t="s">
        <v>1718</v>
      </c>
      <c r="D134" s="890"/>
      <c r="E134" s="890"/>
      <c r="F134" s="890"/>
      <c r="G134" s="890"/>
      <c r="H134" s="890"/>
      <c r="I134" s="890"/>
      <c r="J134" s="890"/>
      <c r="K134" s="891"/>
    </row>
    <row r="135" spans="1:11" ht="25.95" customHeight="1" thickBot="1" x14ac:dyDescent="0.35">
      <c r="B135" s="367" t="s">
        <v>1346</v>
      </c>
      <c r="C135" s="883" t="s">
        <v>1802</v>
      </c>
      <c r="D135" s="884"/>
      <c r="E135" s="884"/>
      <c r="F135" s="884"/>
      <c r="G135" s="884"/>
      <c r="H135" s="884"/>
      <c r="I135" s="884"/>
      <c r="J135" s="884"/>
      <c r="K135" s="885"/>
    </row>
    <row r="136" spans="1:11" ht="13.8" thickBot="1" x14ac:dyDescent="0.35">
      <c r="B136" s="824" t="s">
        <v>1077</v>
      </c>
      <c r="C136" s="825"/>
      <c r="D136" s="825"/>
      <c r="E136" s="825"/>
      <c r="F136" s="825"/>
      <c r="G136" s="825"/>
      <c r="H136" s="825"/>
      <c r="I136" s="825"/>
      <c r="J136" s="825"/>
      <c r="K136" s="826"/>
    </row>
    <row r="137" spans="1:11" x14ac:dyDescent="0.3">
      <c r="B137" s="361" t="s">
        <v>1203</v>
      </c>
      <c r="C137" s="863" t="s">
        <v>1393</v>
      </c>
      <c r="D137" s="864"/>
      <c r="E137" s="864"/>
      <c r="F137" s="864"/>
      <c r="G137" s="864"/>
      <c r="H137" s="864"/>
      <c r="I137" s="864"/>
      <c r="J137" s="864"/>
      <c r="K137" s="865"/>
    </row>
    <row r="138" spans="1:11" x14ac:dyDescent="0.3">
      <c r="B138" s="365" t="s">
        <v>678</v>
      </c>
      <c r="C138" s="804" t="s">
        <v>18</v>
      </c>
      <c r="D138" s="805"/>
      <c r="E138" s="805"/>
      <c r="F138" s="805"/>
      <c r="G138" s="805"/>
      <c r="H138" s="805"/>
      <c r="I138" s="805"/>
      <c r="J138" s="805"/>
      <c r="K138" s="886"/>
    </row>
    <row r="139" spans="1:11" ht="13.8" thickBot="1" x14ac:dyDescent="0.35">
      <c r="B139" s="418" t="s">
        <v>1218</v>
      </c>
      <c r="C139" s="883" t="s">
        <v>1204</v>
      </c>
      <c r="D139" s="884"/>
      <c r="E139" s="884"/>
      <c r="F139" s="884"/>
      <c r="G139" s="884"/>
      <c r="H139" s="884"/>
      <c r="I139" s="884"/>
      <c r="J139" s="884"/>
      <c r="K139" s="885"/>
    </row>
    <row r="140" spans="1:11" ht="13.8" thickBot="1" x14ac:dyDescent="0.35">
      <c r="B140" s="824" t="s">
        <v>1139</v>
      </c>
      <c r="C140" s="825"/>
      <c r="D140" s="825"/>
      <c r="E140" s="825"/>
      <c r="F140" s="825"/>
      <c r="G140" s="825"/>
      <c r="H140" s="825"/>
      <c r="I140" s="825"/>
      <c r="J140" s="825"/>
      <c r="K140" s="826"/>
    </row>
    <row r="141" spans="1:11" ht="13.8" thickBot="1" x14ac:dyDescent="0.35">
      <c r="B141" s="360" t="s">
        <v>863</v>
      </c>
      <c r="C141" s="835" t="s">
        <v>1140</v>
      </c>
      <c r="D141" s="835"/>
      <c r="E141" s="835"/>
      <c r="F141" s="835"/>
      <c r="G141" s="835"/>
      <c r="H141" s="835"/>
      <c r="I141" s="835"/>
      <c r="J141" s="835"/>
      <c r="K141" s="836"/>
    </row>
    <row r="144" spans="1:11" ht="13.8" thickBot="1" x14ac:dyDescent="0.35">
      <c r="A144" s="358" t="s">
        <v>1098</v>
      </c>
      <c r="B144" s="359" t="s">
        <v>512</v>
      </c>
    </row>
    <row r="145" spans="1:11" ht="13.8" thickBot="1" x14ac:dyDescent="0.35">
      <c r="B145" s="807" t="s">
        <v>1060</v>
      </c>
      <c r="C145" s="808"/>
      <c r="D145" s="808"/>
      <c r="E145" s="808"/>
      <c r="F145" s="808"/>
      <c r="G145" s="808"/>
      <c r="H145" s="808"/>
      <c r="I145" s="808"/>
      <c r="J145" s="808"/>
      <c r="K145" s="809"/>
    </row>
    <row r="146" spans="1:11" ht="13.8" thickBot="1" x14ac:dyDescent="0.35">
      <c r="B146" s="360" t="s">
        <v>559</v>
      </c>
      <c r="C146" s="810" t="s">
        <v>1104</v>
      </c>
      <c r="D146" s="810"/>
      <c r="E146" s="810"/>
      <c r="F146" s="810"/>
      <c r="G146" s="810"/>
      <c r="H146" s="810"/>
      <c r="I146" s="810"/>
      <c r="J146" s="810"/>
      <c r="K146" s="811"/>
    </row>
    <row r="147" spans="1:11" ht="13.8" thickBot="1" x14ac:dyDescent="0.35">
      <c r="A147" s="290"/>
      <c r="B147" s="807" t="s">
        <v>1109</v>
      </c>
      <c r="C147" s="808"/>
      <c r="D147" s="808"/>
      <c r="E147" s="808"/>
      <c r="F147" s="808"/>
      <c r="G147" s="808"/>
      <c r="H147" s="808"/>
      <c r="I147" s="808"/>
      <c r="J147" s="808"/>
      <c r="K147" s="809"/>
    </row>
    <row r="148" spans="1:11" ht="13.5" customHeight="1" x14ac:dyDescent="0.3">
      <c r="B148" s="361" t="s">
        <v>1110</v>
      </c>
      <c r="C148" s="812" t="s">
        <v>1111</v>
      </c>
      <c r="D148" s="812"/>
      <c r="E148" s="812"/>
      <c r="F148" s="812"/>
      <c r="G148" s="812"/>
      <c r="H148" s="812"/>
      <c r="I148" s="812"/>
      <c r="J148" s="812"/>
      <c r="K148" s="362" t="s">
        <v>35</v>
      </c>
    </row>
    <row r="149" spans="1:11" x14ac:dyDescent="0.3">
      <c r="B149" s="363"/>
      <c r="C149" s="804" t="s">
        <v>1206</v>
      </c>
      <c r="D149" s="805"/>
      <c r="E149" s="805"/>
      <c r="F149" s="805"/>
      <c r="G149" s="805"/>
      <c r="H149" s="805"/>
      <c r="I149" s="805"/>
      <c r="J149" s="806"/>
      <c r="K149" s="364"/>
    </row>
    <row r="150" spans="1:11" ht="13.5" customHeight="1" x14ac:dyDescent="0.3">
      <c r="B150" s="365" t="s">
        <v>1112</v>
      </c>
      <c r="C150" s="813" t="s">
        <v>1118</v>
      </c>
      <c r="D150" s="813"/>
      <c r="E150" s="813"/>
      <c r="F150" s="813"/>
      <c r="G150" s="813"/>
      <c r="H150" s="813"/>
      <c r="I150" s="813"/>
      <c r="J150" s="813"/>
      <c r="K150" s="366" t="s">
        <v>35</v>
      </c>
    </row>
    <row r="151" spans="1:11" ht="13.5" customHeight="1" x14ac:dyDescent="0.3">
      <c r="B151" s="365" t="s">
        <v>1113</v>
      </c>
      <c r="C151" s="813" t="s">
        <v>1119</v>
      </c>
      <c r="D151" s="813"/>
      <c r="E151" s="813"/>
      <c r="F151" s="813"/>
      <c r="G151" s="813"/>
      <c r="H151" s="813"/>
      <c r="I151" s="813"/>
      <c r="J151" s="813"/>
      <c r="K151" s="366" t="s">
        <v>35</v>
      </c>
    </row>
    <row r="152" spans="1:11" ht="13.5" customHeight="1" x14ac:dyDescent="0.3">
      <c r="B152" s="365" t="s">
        <v>1114</v>
      </c>
      <c r="C152" s="813" t="s">
        <v>1120</v>
      </c>
      <c r="D152" s="813"/>
      <c r="E152" s="813"/>
      <c r="F152" s="813"/>
      <c r="G152" s="813"/>
      <c r="H152" s="813"/>
      <c r="I152" s="813"/>
      <c r="J152" s="813"/>
      <c r="K152" s="366" t="s">
        <v>35</v>
      </c>
    </row>
    <row r="153" spans="1:11" ht="27" customHeight="1" x14ac:dyDescent="0.3">
      <c r="B153" s="365" t="s">
        <v>1115</v>
      </c>
      <c r="C153" s="813" t="s">
        <v>1121</v>
      </c>
      <c r="D153" s="813"/>
      <c r="E153" s="813"/>
      <c r="F153" s="813"/>
      <c r="G153" s="813"/>
      <c r="H153" s="813"/>
      <c r="I153" s="813"/>
      <c r="J153" s="813"/>
      <c r="K153" s="366" t="s">
        <v>35</v>
      </c>
    </row>
    <row r="154" spans="1:11" ht="13.5" customHeight="1" x14ac:dyDescent="0.3">
      <c r="B154" s="365" t="s">
        <v>1116</v>
      </c>
      <c r="C154" s="813" t="s">
        <v>1272</v>
      </c>
      <c r="D154" s="813"/>
      <c r="E154" s="813"/>
      <c r="F154" s="813"/>
      <c r="G154" s="813"/>
      <c r="H154" s="813"/>
      <c r="I154" s="813"/>
      <c r="J154" s="813"/>
      <c r="K154" s="366" t="s">
        <v>35</v>
      </c>
    </row>
    <row r="155" spans="1:11" ht="13.5" customHeight="1" thickBot="1" x14ac:dyDescent="0.35">
      <c r="B155" s="367" t="s">
        <v>1117</v>
      </c>
      <c r="C155" s="831" t="s">
        <v>1122</v>
      </c>
      <c r="D155" s="831"/>
      <c r="E155" s="831"/>
      <c r="F155" s="831"/>
      <c r="G155" s="831"/>
      <c r="H155" s="831"/>
      <c r="I155" s="831"/>
      <c r="J155" s="831"/>
      <c r="K155" s="368" t="s">
        <v>35</v>
      </c>
    </row>
    <row r="156" spans="1:11" ht="13.8" thickBot="1" x14ac:dyDescent="0.35">
      <c r="B156" s="369"/>
      <c r="C156" s="833" t="s">
        <v>1123</v>
      </c>
      <c r="D156" s="833"/>
      <c r="E156" s="833"/>
      <c r="F156" s="833"/>
      <c r="G156" s="833"/>
      <c r="H156" s="833"/>
      <c r="I156" s="833"/>
      <c r="J156" s="833"/>
      <c r="K156" s="370" t="str">
        <f>IF(OR(K148="Yes",K150="Yes",K151="Yes",K152="Yes",K153="Yes",K154="Yes",K155="Yes"),"Yes","No")</f>
        <v>No</v>
      </c>
    </row>
    <row r="157" spans="1:11" ht="13.8" thickBot="1" x14ac:dyDescent="0.35">
      <c r="B157" s="834" t="s">
        <v>1061</v>
      </c>
      <c r="C157" s="834"/>
      <c r="D157" s="834"/>
      <c r="E157" s="834"/>
      <c r="F157" s="834"/>
      <c r="G157" s="834" t="s">
        <v>1062</v>
      </c>
      <c r="H157" s="834"/>
      <c r="I157" s="834"/>
      <c r="J157" s="834"/>
      <c r="K157" s="834"/>
    </row>
    <row r="158" spans="1:11" ht="27" thickBot="1" x14ac:dyDescent="0.35">
      <c r="B158" s="371" t="s">
        <v>26</v>
      </c>
      <c r="C158" s="372" t="s">
        <v>553</v>
      </c>
      <c r="D158" s="372" t="s">
        <v>19</v>
      </c>
      <c r="E158" s="372" t="s">
        <v>25</v>
      </c>
      <c r="F158" s="373" t="s">
        <v>554</v>
      </c>
      <c r="G158" s="374" t="s">
        <v>1063</v>
      </c>
      <c r="H158" s="372" t="s">
        <v>1064</v>
      </c>
      <c r="I158" s="375" t="s">
        <v>1065</v>
      </c>
      <c r="J158" s="375" t="s">
        <v>1066</v>
      </c>
      <c r="K158" s="376" t="s">
        <v>1067</v>
      </c>
    </row>
    <row r="159" spans="1:11" ht="13.8" thickBot="1" x14ac:dyDescent="0.35">
      <c r="B159" s="433" t="s">
        <v>619</v>
      </c>
      <c r="C159" s="434" t="s">
        <v>619</v>
      </c>
      <c r="D159" s="434" t="s">
        <v>621</v>
      </c>
      <c r="E159" s="434" t="s">
        <v>621</v>
      </c>
      <c r="F159" s="435" t="s">
        <v>621</v>
      </c>
      <c r="G159" s="436" t="s">
        <v>619</v>
      </c>
      <c r="H159" s="434" t="s">
        <v>621</v>
      </c>
      <c r="I159" s="434" t="s">
        <v>621</v>
      </c>
      <c r="J159" s="434" t="s">
        <v>621</v>
      </c>
      <c r="K159" s="435" t="s">
        <v>621</v>
      </c>
    </row>
    <row r="160" spans="1:11" ht="13.8" thickBot="1" x14ac:dyDescent="0.35">
      <c r="B160" s="807" t="s">
        <v>1068</v>
      </c>
      <c r="C160" s="808"/>
      <c r="D160" s="808"/>
      <c r="E160" s="808"/>
      <c r="F160" s="808"/>
      <c r="G160" s="808"/>
      <c r="H160" s="808"/>
      <c r="I160" s="808"/>
      <c r="J160" s="808"/>
      <c r="K160" s="809"/>
    </row>
    <row r="161" spans="2:11" ht="27" thickBot="1" x14ac:dyDescent="0.35">
      <c r="B161" s="369" t="s">
        <v>1124</v>
      </c>
      <c r="C161" s="827" t="s">
        <v>31</v>
      </c>
      <c r="D161" s="827"/>
      <c r="E161" s="827"/>
      <c r="F161" s="827"/>
      <c r="G161" s="827"/>
      <c r="H161" s="827"/>
      <c r="I161" s="381" t="s">
        <v>1125</v>
      </c>
      <c r="J161" s="828" t="s">
        <v>1074</v>
      </c>
      <c r="K161" s="829"/>
    </row>
    <row r="162" spans="2:11" x14ac:dyDescent="0.3">
      <c r="B162" s="361" t="s">
        <v>623</v>
      </c>
      <c r="C162" s="812" t="s">
        <v>622</v>
      </c>
      <c r="D162" s="812"/>
      <c r="E162" s="812"/>
      <c r="F162" s="812"/>
      <c r="G162" s="812"/>
      <c r="H162" s="812"/>
      <c r="I162" s="385" t="s">
        <v>35</v>
      </c>
      <c r="J162" s="856" t="s">
        <v>863</v>
      </c>
      <c r="K162" s="857"/>
    </row>
    <row r="163" spans="2:11" ht="27" customHeight="1" x14ac:dyDescent="0.3">
      <c r="B163" s="365" t="s">
        <v>1214</v>
      </c>
      <c r="C163" s="813" t="s">
        <v>1216</v>
      </c>
      <c r="D163" s="813"/>
      <c r="E163" s="813"/>
      <c r="F163" s="813"/>
      <c r="G163" s="813"/>
      <c r="H163" s="813"/>
      <c r="I163" s="422" t="s">
        <v>35</v>
      </c>
      <c r="J163" s="813" t="s">
        <v>863</v>
      </c>
      <c r="K163" s="845"/>
    </row>
    <row r="164" spans="2:11" ht="27" customHeight="1" thickBot="1" x14ac:dyDescent="0.35">
      <c r="B164" s="365" t="s">
        <v>1346</v>
      </c>
      <c r="C164" s="813" t="s">
        <v>1345</v>
      </c>
      <c r="D164" s="813"/>
      <c r="E164" s="813"/>
      <c r="F164" s="813"/>
      <c r="G164" s="813"/>
      <c r="H164" s="813"/>
      <c r="I164" s="422" t="s">
        <v>37</v>
      </c>
      <c r="J164" s="876" t="s">
        <v>1797</v>
      </c>
      <c r="K164" s="877"/>
    </row>
    <row r="165" spans="2:11" ht="27" thickBot="1" x14ac:dyDescent="0.35">
      <c r="B165" s="383" t="s">
        <v>1072</v>
      </c>
      <c r="C165" s="814" t="s">
        <v>1103</v>
      </c>
      <c r="D165" s="815"/>
      <c r="E165" s="383" t="s">
        <v>1070</v>
      </c>
      <c r="F165" s="384" t="s">
        <v>1134</v>
      </c>
      <c r="G165" s="816" t="s">
        <v>1175</v>
      </c>
      <c r="H165" s="817"/>
      <c r="I165" s="383" t="s">
        <v>1130</v>
      </c>
      <c r="J165" s="814" t="s">
        <v>1133</v>
      </c>
      <c r="K165" s="815"/>
    </row>
    <row r="166" spans="2:11" ht="13.8" thickBot="1" x14ac:dyDescent="0.35">
      <c r="B166" s="824" t="s">
        <v>1076</v>
      </c>
      <c r="C166" s="825"/>
      <c r="D166" s="825"/>
      <c r="E166" s="825"/>
      <c r="F166" s="825"/>
      <c r="G166" s="825"/>
      <c r="H166" s="825"/>
      <c r="I166" s="825"/>
      <c r="J166" s="825"/>
      <c r="K166" s="826"/>
    </row>
    <row r="167" spans="2:11" ht="25.95" customHeight="1" thickBot="1" x14ac:dyDescent="0.35">
      <c r="B167" s="360" t="s">
        <v>1346</v>
      </c>
      <c r="C167" s="863" t="s">
        <v>1802</v>
      </c>
      <c r="D167" s="864"/>
      <c r="E167" s="864"/>
      <c r="F167" s="864"/>
      <c r="G167" s="864"/>
      <c r="H167" s="864"/>
      <c r="I167" s="864"/>
      <c r="J167" s="864"/>
      <c r="K167" s="865"/>
    </row>
    <row r="168" spans="2:11" ht="13.8" thickBot="1" x14ac:dyDescent="0.35">
      <c r="B168" s="824" t="s">
        <v>1077</v>
      </c>
      <c r="C168" s="825"/>
      <c r="D168" s="825"/>
      <c r="E168" s="825"/>
      <c r="F168" s="825"/>
      <c r="G168" s="825"/>
      <c r="H168" s="825"/>
      <c r="I168" s="825"/>
      <c r="J168" s="825"/>
      <c r="K168" s="826"/>
    </row>
    <row r="169" spans="2:11" x14ac:dyDescent="0.3">
      <c r="B169" s="361" t="s">
        <v>674</v>
      </c>
      <c r="C169" s="863" t="s">
        <v>673</v>
      </c>
      <c r="D169" s="864"/>
      <c r="E169" s="864"/>
      <c r="F169" s="864"/>
      <c r="G169" s="864"/>
      <c r="H169" s="864"/>
      <c r="I169" s="864"/>
      <c r="J169" s="864"/>
      <c r="K169" s="865"/>
    </row>
    <row r="170" spans="2:11" x14ac:dyDescent="0.3">
      <c r="B170" s="430" t="s">
        <v>676</v>
      </c>
      <c r="C170" s="818" t="s">
        <v>11</v>
      </c>
      <c r="D170" s="819"/>
      <c r="E170" s="819"/>
      <c r="F170" s="819"/>
      <c r="G170" s="819"/>
      <c r="H170" s="819"/>
      <c r="I170" s="819"/>
      <c r="J170" s="819"/>
      <c r="K170" s="820"/>
    </row>
    <row r="171" spans="2:11" x14ac:dyDescent="0.3">
      <c r="B171" s="432" t="s">
        <v>1336</v>
      </c>
      <c r="C171" s="818" t="s">
        <v>14</v>
      </c>
      <c r="D171" s="819"/>
      <c r="E171" s="819"/>
      <c r="F171" s="819"/>
      <c r="G171" s="819"/>
      <c r="H171" s="819"/>
      <c r="I171" s="819"/>
      <c r="J171" s="819"/>
      <c r="K171" s="820"/>
    </row>
    <row r="172" spans="2:11" ht="13.8" thickBot="1" x14ac:dyDescent="0.35">
      <c r="B172" s="431" t="s">
        <v>1217</v>
      </c>
      <c r="C172" s="821" t="s">
        <v>1189</v>
      </c>
      <c r="D172" s="822"/>
      <c r="E172" s="822"/>
      <c r="F172" s="822"/>
      <c r="G172" s="822"/>
      <c r="H172" s="822"/>
      <c r="I172" s="822"/>
      <c r="J172" s="822"/>
      <c r="K172" s="823"/>
    </row>
    <row r="173" spans="2:11" ht="13.8" thickBot="1" x14ac:dyDescent="0.35">
      <c r="B173" s="824" t="s">
        <v>1139</v>
      </c>
      <c r="C173" s="825"/>
      <c r="D173" s="825"/>
      <c r="E173" s="825"/>
      <c r="F173" s="825"/>
      <c r="G173" s="825"/>
      <c r="H173" s="825"/>
      <c r="I173" s="825"/>
      <c r="J173" s="825"/>
      <c r="K173" s="826"/>
    </row>
    <row r="174" spans="2:11" ht="13.8" thickBot="1" x14ac:dyDescent="0.35">
      <c r="B174" s="360" t="s">
        <v>863</v>
      </c>
      <c r="C174" s="835" t="s">
        <v>1140</v>
      </c>
      <c r="D174" s="835"/>
      <c r="E174" s="835"/>
      <c r="F174" s="835"/>
      <c r="G174" s="835"/>
      <c r="H174" s="835"/>
      <c r="I174" s="835"/>
      <c r="J174" s="835"/>
      <c r="K174" s="836"/>
    </row>
    <row r="177" spans="1:11" ht="13.8" thickBot="1" x14ac:dyDescent="0.35">
      <c r="A177" s="358" t="s">
        <v>1101</v>
      </c>
      <c r="B177" s="359" t="s">
        <v>1209</v>
      </c>
    </row>
    <row r="178" spans="1:11" ht="13.8" thickBot="1" x14ac:dyDescent="0.35">
      <c r="B178" s="807" t="s">
        <v>1060</v>
      </c>
      <c r="C178" s="808"/>
      <c r="D178" s="808"/>
      <c r="E178" s="808"/>
      <c r="F178" s="808"/>
      <c r="G178" s="808"/>
      <c r="H178" s="808"/>
      <c r="I178" s="808"/>
      <c r="J178" s="808"/>
      <c r="K178" s="809"/>
    </row>
    <row r="179" spans="1:11" ht="27" customHeight="1" thickBot="1" x14ac:dyDescent="0.35">
      <c r="B179" s="360" t="s">
        <v>560</v>
      </c>
      <c r="C179" s="810" t="s">
        <v>1207</v>
      </c>
      <c r="D179" s="810"/>
      <c r="E179" s="810"/>
      <c r="F179" s="810"/>
      <c r="G179" s="810"/>
      <c r="H179" s="810"/>
      <c r="I179" s="810"/>
      <c r="J179" s="810"/>
      <c r="K179" s="811"/>
    </row>
    <row r="180" spans="1:11" ht="13.8" thickBot="1" x14ac:dyDescent="0.35">
      <c r="A180" s="290"/>
      <c r="B180" s="807" t="s">
        <v>1109</v>
      </c>
      <c r="C180" s="808"/>
      <c r="D180" s="808"/>
      <c r="E180" s="808"/>
      <c r="F180" s="808"/>
      <c r="G180" s="808"/>
      <c r="H180" s="808"/>
      <c r="I180" s="808"/>
      <c r="J180" s="808"/>
      <c r="K180" s="809"/>
    </row>
    <row r="181" spans="1:11" ht="13.5" customHeight="1" x14ac:dyDescent="0.3">
      <c r="B181" s="361" t="s">
        <v>1110</v>
      </c>
      <c r="C181" s="812" t="s">
        <v>1111</v>
      </c>
      <c r="D181" s="812"/>
      <c r="E181" s="812"/>
      <c r="F181" s="812"/>
      <c r="G181" s="812"/>
      <c r="H181" s="812"/>
      <c r="I181" s="812"/>
      <c r="J181" s="812"/>
      <c r="K181" s="362" t="s">
        <v>35</v>
      </c>
    </row>
    <row r="182" spans="1:11" x14ac:dyDescent="0.3">
      <c r="B182" s="363"/>
      <c r="C182" s="804" t="s">
        <v>1206</v>
      </c>
      <c r="D182" s="805"/>
      <c r="E182" s="805"/>
      <c r="F182" s="805"/>
      <c r="G182" s="805"/>
      <c r="H182" s="805"/>
      <c r="I182" s="805"/>
      <c r="J182" s="806"/>
      <c r="K182" s="364"/>
    </row>
    <row r="183" spans="1:11" ht="13.5" customHeight="1" x14ac:dyDescent="0.3">
      <c r="B183" s="365" t="s">
        <v>1112</v>
      </c>
      <c r="C183" s="813" t="s">
        <v>1118</v>
      </c>
      <c r="D183" s="813"/>
      <c r="E183" s="813"/>
      <c r="F183" s="813"/>
      <c r="G183" s="813"/>
      <c r="H183" s="813"/>
      <c r="I183" s="813"/>
      <c r="J183" s="813"/>
      <c r="K183" s="366" t="s">
        <v>35</v>
      </c>
    </row>
    <row r="184" spans="1:11" ht="13.5" customHeight="1" x14ac:dyDescent="0.3">
      <c r="B184" s="365" t="s">
        <v>1113</v>
      </c>
      <c r="C184" s="813" t="s">
        <v>1119</v>
      </c>
      <c r="D184" s="813"/>
      <c r="E184" s="813"/>
      <c r="F184" s="813"/>
      <c r="G184" s="813"/>
      <c r="H184" s="813"/>
      <c r="I184" s="813"/>
      <c r="J184" s="813"/>
      <c r="K184" s="366" t="s">
        <v>35</v>
      </c>
    </row>
    <row r="185" spans="1:11" ht="13.5" customHeight="1" x14ac:dyDescent="0.3">
      <c r="B185" s="365" t="s">
        <v>1114</v>
      </c>
      <c r="C185" s="813" t="s">
        <v>1120</v>
      </c>
      <c r="D185" s="813"/>
      <c r="E185" s="813"/>
      <c r="F185" s="813"/>
      <c r="G185" s="813"/>
      <c r="H185" s="813"/>
      <c r="I185" s="813"/>
      <c r="J185" s="813"/>
      <c r="K185" s="366" t="s">
        <v>35</v>
      </c>
    </row>
    <row r="186" spans="1:11" ht="27" customHeight="1" x14ac:dyDescent="0.3">
      <c r="B186" s="365" t="s">
        <v>1115</v>
      </c>
      <c r="C186" s="813" t="s">
        <v>1121</v>
      </c>
      <c r="D186" s="813"/>
      <c r="E186" s="813"/>
      <c r="F186" s="813"/>
      <c r="G186" s="813"/>
      <c r="H186" s="813"/>
      <c r="I186" s="813"/>
      <c r="J186" s="813"/>
      <c r="K186" s="366" t="s">
        <v>35</v>
      </c>
    </row>
    <row r="187" spans="1:11" ht="13.5" customHeight="1" x14ac:dyDescent="0.3">
      <c r="B187" s="365" t="s">
        <v>1116</v>
      </c>
      <c r="C187" s="813" t="s">
        <v>1272</v>
      </c>
      <c r="D187" s="813"/>
      <c r="E187" s="813"/>
      <c r="F187" s="813"/>
      <c r="G187" s="813"/>
      <c r="H187" s="813"/>
      <c r="I187" s="813"/>
      <c r="J187" s="813"/>
      <c r="K187" s="366" t="s">
        <v>35</v>
      </c>
    </row>
    <row r="188" spans="1:11" ht="13.5" customHeight="1" thickBot="1" x14ac:dyDescent="0.35">
      <c r="B188" s="367" t="s">
        <v>1117</v>
      </c>
      <c r="C188" s="831" t="s">
        <v>1122</v>
      </c>
      <c r="D188" s="831"/>
      <c r="E188" s="831"/>
      <c r="F188" s="831"/>
      <c r="G188" s="831"/>
      <c r="H188" s="831"/>
      <c r="I188" s="831"/>
      <c r="J188" s="831"/>
      <c r="K188" s="368" t="s">
        <v>35</v>
      </c>
    </row>
    <row r="189" spans="1:11" ht="13.8" thickBot="1" x14ac:dyDescent="0.35">
      <c r="B189" s="369"/>
      <c r="C189" s="833" t="s">
        <v>1123</v>
      </c>
      <c r="D189" s="833"/>
      <c r="E189" s="833"/>
      <c r="F189" s="833"/>
      <c r="G189" s="833"/>
      <c r="H189" s="833"/>
      <c r="I189" s="833"/>
      <c r="J189" s="833"/>
      <c r="K189" s="370" t="str">
        <f>IF(OR(K181="Yes",K183="Yes",K184="Yes",K185="Yes",K186="Yes",K187="Yes",K188="Yes"),"Yes","No")</f>
        <v>No</v>
      </c>
    </row>
    <row r="190" spans="1:11" ht="13.8" thickBot="1" x14ac:dyDescent="0.35">
      <c r="B190" s="834" t="s">
        <v>1061</v>
      </c>
      <c r="C190" s="834"/>
      <c r="D190" s="834"/>
      <c r="E190" s="834"/>
      <c r="F190" s="834"/>
      <c r="G190" s="834" t="s">
        <v>1062</v>
      </c>
      <c r="H190" s="834"/>
      <c r="I190" s="834"/>
      <c r="J190" s="834"/>
      <c r="K190" s="834"/>
    </row>
    <row r="191" spans="1:11" ht="27" thickBot="1" x14ac:dyDescent="0.35">
      <c r="B191" s="371" t="s">
        <v>26</v>
      </c>
      <c r="C191" s="372" t="s">
        <v>553</v>
      </c>
      <c r="D191" s="372" t="s">
        <v>19</v>
      </c>
      <c r="E191" s="372" t="s">
        <v>25</v>
      </c>
      <c r="F191" s="373" t="s">
        <v>554</v>
      </c>
      <c r="G191" s="374" t="s">
        <v>1063</v>
      </c>
      <c r="H191" s="372" t="s">
        <v>1064</v>
      </c>
      <c r="I191" s="375" t="s">
        <v>1065</v>
      </c>
      <c r="J191" s="375" t="s">
        <v>1066</v>
      </c>
      <c r="K191" s="376" t="s">
        <v>1067</v>
      </c>
    </row>
    <row r="192" spans="1:11" ht="13.8" thickBot="1" x14ac:dyDescent="0.35">
      <c r="B192" s="433" t="s">
        <v>619</v>
      </c>
      <c r="C192" s="434" t="s">
        <v>619</v>
      </c>
      <c r="D192" s="434" t="s">
        <v>621</v>
      </c>
      <c r="E192" s="434" t="s">
        <v>619</v>
      </c>
      <c r="F192" s="435" t="s">
        <v>619</v>
      </c>
      <c r="G192" s="436" t="s">
        <v>619</v>
      </c>
      <c r="H192" s="434" t="s">
        <v>621</v>
      </c>
      <c r="I192" s="434" t="s">
        <v>621</v>
      </c>
      <c r="J192" s="434" t="s">
        <v>621</v>
      </c>
      <c r="K192" s="435" t="s">
        <v>621</v>
      </c>
    </row>
    <row r="193" spans="2:12" ht="13.8" thickBot="1" x14ac:dyDescent="0.35">
      <c r="B193" s="807" t="s">
        <v>1068</v>
      </c>
      <c r="C193" s="808"/>
      <c r="D193" s="808"/>
      <c r="E193" s="808"/>
      <c r="F193" s="808"/>
      <c r="G193" s="808"/>
      <c r="H193" s="808"/>
      <c r="I193" s="808"/>
      <c r="J193" s="808"/>
      <c r="K193" s="809"/>
    </row>
    <row r="194" spans="2:12" ht="27" thickBot="1" x14ac:dyDescent="0.35">
      <c r="B194" s="369" t="s">
        <v>1124</v>
      </c>
      <c r="C194" s="827" t="s">
        <v>31</v>
      </c>
      <c r="D194" s="827"/>
      <c r="E194" s="827"/>
      <c r="F194" s="827"/>
      <c r="G194" s="827"/>
      <c r="H194" s="827"/>
      <c r="I194" s="381" t="s">
        <v>1125</v>
      </c>
      <c r="J194" s="828" t="s">
        <v>1074</v>
      </c>
      <c r="K194" s="829"/>
    </row>
    <row r="195" spans="2:12" ht="39.9" customHeight="1" x14ac:dyDescent="0.3">
      <c r="B195" s="365" t="s">
        <v>664</v>
      </c>
      <c r="C195" s="813" t="s">
        <v>1210</v>
      </c>
      <c r="D195" s="813"/>
      <c r="E195" s="813"/>
      <c r="F195" s="813"/>
      <c r="G195" s="813"/>
      <c r="H195" s="813"/>
      <c r="I195" s="422" t="s">
        <v>37</v>
      </c>
      <c r="J195" s="881" t="s">
        <v>1797</v>
      </c>
      <c r="K195" s="882"/>
      <c r="L195" s="290" t="s">
        <v>619</v>
      </c>
    </row>
    <row r="196" spans="2:12" ht="54" customHeight="1" x14ac:dyDescent="0.3">
      <c r="B196" s="365" t="s">
        <v>867</v>
      </c>
      <c r="C196" s="813" t="s">
        <v>1212</v>
      </c>
      <c r="D196" s="813"/>
      <c r="E196" s="813"/>
      <c r="F196" s="813"/>
      <c r="G196" s="813"/>
      <c r="H196" s="813"/>
      <c r="I196" s="422" t="s">
        <v>35</v>
      </c>
      <c r="J196" s="813" t="s">
        <v>863</v>
      </c>
      <c r="K196" s="845"/>
    </row>
    <row r="197" spans="2:12" ht="39.9" customHeight="1" thickBot="1" x14ac:dyDescent="0.35">
      <c r="B197" s="367" t="s">
        <v>1211</v>
      </c>
      <c r="C197" s="831" t="s">
        <v>1215</v>
      </c>
      <c r="D197" s="831"/>
      <c r="E197" s="831"/>
      <c r="F197" s="831"/>
      <c r="G197" s="831"/>
      <c r="H197" s="831"/>
      <c r="I197" s="386" t="s">
        <v>35</v>
      </c>
      <c r="J197" s="831" t="s">
        <v>863</v>
      </c>
      <c r="K197" s="832"/>
    </row>
    <row r="198" spans="2:12" ht="27" thickBot="1" x14ac:dyDescent="0.35">
      <c r="B198" s="383" t="s">
        <v>1072</v>
      </c>
      <c r="C198" s="814" t="s">
        <v>1103</v>
      </c>
      <c r="D198" s="815"/>
      <c r="E198" s="383" t="s">
        <v>1070</v>
      </c>
      <c r="F198" s="384" t="s">
        <v>1134</v>
      </c>
      <c r="G198" s="816" t="s">
        <v>1175</v>
      </c>
      <c r="H198" s="817"/>
      <c r="I198" s="383" t="s">
        <v>1130</v>
      </c>
      <c r="J198" s="814" t="s">
        <v>1133</v>
      </c>
      <c r="K198" s="815"/>
    </row>
    <row r="199" spans="2:12" ht="13.8" thickBot="1" x14ac:dyDescent="0.35">
      <c r="B199" s="824" t="s">
        <v>1076</v>
      </c>
      <c r="C199" s="825"/>
      <c r="D199" s="825"/>
      <c r="E199" s="825"/>
      <c r="F199" s="825"/>
      <c r="G199" s="825"/>
      <c r="H199" s="825"/>
      <c r="I199" s="825"/>
      <c r="J199" s="825"/>
      <c r="K199" s="826"/>
    </row>
    <row r="200" spans="2:12" ht="13.8" thickBot="1" x14ac:dyDescent="0.35">
      <c r="B200" s="360" t="s">
        <v>664</v>
      </c>
      <c r="C200" s="863" t="s">
        <v>1718</v>
      </c>
      <c r="D200" s="864"/>
      <c r="E200" s="864"/>
      <c r="F200" s="864"/>
      <c r="G200" s="864"/>
      <c r="H200" s="864"/>
      <c r="I200" s="864"/>
      <c r="J200" s="864"/>
      <c r="K200" s="865"/>
    </row>
    <row r="201" spans="2:12" ht="13.8" thickBot="1" x14ac:dyDescent="0.35">
      <c r="B201" s="824" t="s">
        <v>1077</v>
      </c>
      <c r="C201" s="825"/>
      <c r="D201" s="825"/>
      <c r="E201" s="825"/>
      <c r="F201" s="825"/>
      <c r="G201" s="825"/>
      <c r="H201" s="825"/>
      <c r="I201" s="825"/>
      <c r="J201" s="825"/>
      <c r="K201" s="826"/>
    </row>
    <row r="202" spans="2:12" x14ac:dyDescent="0.3">
      <c r="B202" s="361" t="s">
        <v>674</v>
      </c>
      <c r="C202" s="863" t="s">
        <v>673</v>
      </c>
      <c r="D202" s="864"/>
      <c r="E202" s="864"/>
      <c r="F202" s="864"/>
      <c r="G202" s="864"/>
      <c r="H202" s="864"/>
      <c r="I202" s="864"/>
      <c r="J202" s="864"/>
      <c r="K202" s="865"/>
    </row>
    <row r="203" spans="2:12" ht="27" customHeight="1" x14ac:dyDescent="0.3">
      <c r="B203" s="430" t="s">
        <v>676</v>
      </c>
      <c r="C203" s="818" t="s">
        <v>11</v>
      </c>
      <c r="D203" s="819"/>
      <c r="E203" s="819"/>
      <c r="F203" s="819"/>
      <c r="G203" s="819"/>
      <c r="H203" s="819"/>
      <c r="I203" s="819"/>
      <c r="J203" s="819"/>
      <c r="K203" s="820"/>
    </row>
    <row r="204" spans="2:12" x14ac:dyDescent="0.3">
      <c r="B204" s="432" t="s">
        <v>1217</v>
      </c>
      <c r="C204" s="878" t="s">
        <v>1189</v>
      </c>
      <c r="D204" s="879"/>
      <c r="E204" s="879"/>
      <c r="F204" s="879"/>
      <c r="G204" s="879"/>
      <c r="H204" s="879"/>
      <c r="I204" s="879"/>
      <c r="J204" s="879"/>
      <c r="K204" s="880"/>
    </row>
    <row r="205" spans="2:12" ht="13.8" thickBot="1" x14ac:dyDescent="0.35">
      <c r="B205" s="431" t="s">
        <v>680</v>
      </c>
      <c r="C205" s="821" t="s">
        <v>679</v>
      </c>
      <c r="D205" s="822"/>
      <c r="E205" s="822"/>
      <c r="F205" s="822"/>
      <c r="G205" s="822"/>
      <c r="H205" s="822"/>
      <c r="I205" s="822"/>
      <c r="J205" s="822"/>
      <c r="K205" s="823"/>
    </row>
    <row r="206" spans="2:12" ht="13.8" thickBot="1" x14ac:dyDescent="0.35">
      <c r="B206" s="824" t="s">
        <v>1139</v>
      </c>
      <c r="C206" s="825"/>
      <c r="D206" s="825"/>
      <c r="E206" s="825"/>
      <c r="F206" s="825"/>
      <c r="G206" s="825"/>
      <c r="H206" s="825"/>
      <c r="I206" s="825"/>
      <c r="J206" s="825"/>
      <c r="K206" s="826"/>
    </row>
    <row r="207" spans="2:12" ht="13.8" thickBot="1" x14ac:dyDescent="0.35">
      <c r="B207" s="360" t="s">
        <v>863</v>
      </c>
      <c r="C207" s="835" t="s">
        <v>1140</v>
      </c>
      <c r="D207" s="835"/>
      <c r="E207" s="835"/>
      <c r="F207" s="835"/>
      <c r="G207" s="835"/>
      <c r="H207" s="835"/>
      <c r="I207" s="835"/>
      <c r="J207" s="835"/>
      <c r="K207" s="836"/>
    </row>
    <row r="210" spans="1:11" ht="13.8" thickBot="1" x14ac:dyDescent="0.35">
      <c r="A210" s="358" t="s">
        <v>1208</v>
      </c>
      <c r="B210" s="359" t="s">
        <v>510</v>
      </c>
    </row>
    <row r="211" spans="1:11" ht="13.8" thickBot="1" x14ac:dyDescent="0.35">
      <c r="B211" s="807" t="s">
        <v>1060</v>
      </c>
      <c r="C211" s="808"/>
      <c r="D211" s="808"/>
      <c r="E211" s="808"/>
      <c r="F211" s="808"/>
      <c r="G211" s="808"/>
      <c r="H211" s="808"/>
      <c r="I211" s="808"/>
      <c r="J211" s="808"/>
      <c r="K211" s="809"/>
    </row>
    <row r="212" spans="1:11" ht="13.8" thickBot="1" x14ac:dyDescent="0.35">
      <c r="B212" s="360" t="s">
        <v>561</v>
      </c>
      <c r="C212" s="810" t="s">
        <v>1335</v>
      </c>
      <c r="D212" s="810"/>
      <c r="E212" s="810"/>
      <c r="F212" s="810"/>
      <c r="G212" s="810"/>
      <c r="H212" s="810"/>
      <c r="I212" s="810"/>
      <c r="J212" s="810"/>
      <c r="K212" s="811"/>
    </row>
    <row r="213" spans="1:11" ht="13.8" thickBot="1" x14ac:dyDescent="0.35">
      <c r="A213" s="290"/>
      <c r="B213" s="807" t="s">
        <v>1109</v>
      </c>
      <c r="C213" s="808"/>
      <c r="D213" s="808"/>
      <c r="E213" s="808"/>
      <c r="F213" s="808"/>
      <c r="G213" s="808"/>
      <c r="H213" s="808"/>
      <c r="I213" s="808"/>
      <c r="J213" s="808"/>
      <c r="K213" s="809"/>
    </row>
    <row r="214" spans="1:11" ht="13.5" customHeight="1" x14ac:dyDescent="0.3">
      <c r="B214" s="361" t="s">
        <v>1110</v>
      </c>
      <c r="C214" s="812" t="s">
        <v>1111</v>
      </c>
      <c r="D214" s="812"/>
      <c r="E214" s="812"/>
      <c r="F214" s="812"/>
      <c r="G214" s="812"/>
      <c r="H214" s="812"/>
      <c r="I214" s="812"/>
      <c r="J214" s="812"/>
      <c r="K214" s="362" t="s">
        <v>35</v>
      </c>
    </row>
    <row r="215" spans="1:11" x14ac:dyDescent="0.3">
      <c r="B215" s="363"/>
      <c r="C215" s="804" t="s">
        <v>1206</v>
      </c>
      <c r="D215" s="805"/>
      <c r="E215" s="805"/>
      <c r="F215" s="805"/>
      <c r="G215" s="805"/>
      <c r="H215" s="805"/>
      <c r="I215" s="805"/>
      <c r="J215" s="806"/>
      <c r="K215" s="364"/>
    </row>
    <row r="216" spans="1:11" ht="13.5" customHeight="1" x14ac:dyDescent="0.3">
      <c r="B216" s="365" t="s">
        <v>1112</v>
      </c>
      <c r="C216" s="813" t="s">
        <v>1118</v>
      </c>
      <c r="D216" s="813"/>
      <c r="E216" s="813"/>
      <c r="F216" s="813"/>
      <c r="G216" s="813"/>
      <c r="H216" s="813"/>
      <c r="I216" s="813"/>
      <c r="J216" s="813"/>
      <c r="K216" s="366" t="s">
        <v>35</v>
      </c>
    </row>
    <row r="217" spans="1:11" ht="13.5" customHeight="1" x14ac:dyDescent="0.3">
      <c r="B217" s="365" t="s">
        <v>1113</v>
      </c>
      <c r="C217" s="813" t="s">
        <v>1119</v>
      </c>
      <c r="D217" s="813"/>
      <c r="E217" s="813"/>
      <c r="F217" s="813"/>
      <c r="G217" s="813"/>
      <c r="H217" s="813"/>
      <c r="I217" s="813"/>
      <c r="J217" s="813"/>
      <c r="K217" s="366" t="s">
        <v>35</v>
      </c>
    </row>
    <row r="218" spans="1:11" ht="13.5" customHeight="1" x14ac:dyDescent="0.3">
      <c r="B218" s="365" t="s">
        <v>1114</v>
      </c>
      <c r="C218" s="813" t="s">
        <v>1120</v>
      </c>
      <c r="D218" s="813"/>
      <c r="E218" s="813"/>
      <c r="F218" s="813"/>
      <c r="G218" s="813"/>
      <c r="H218" s="813"/>
      <c r="I218" s="813"/>
      <c r="J218" s="813"/>
      <c r="K218" s="366" t="s">
        <v>35</v>
      </c>
    </row>
    <row r="219" spans="1:11" ht="27" customHeight="1" x14ac:dyDescent="0.3">
      <c r="B219" s="365" t="s">
        <v>1115</v>
      </c>
      <c r="C219" s="813" t="s">
        <v>1121</v>
      </c>
      <c r="D219" s="813"/>
      <c r="E219" s="813"/>
      <c r="F219" s="813"/>
      <c r="G219" s="813"/>
      <c r="H219" s="813"/>
      <c r="I219" s="813"/>
      <c r="J219" s="813"/>
      <c r="K219" s="366" t="s">
        <v>35</v>
      </c>
    </row>
    <row r="220" spans="1:11" ht="13.5" customHeight="1" x14ac:dyDescent="0.3">
      <c r="B220" s="365" t="s">
        <v>1116</v>
      </c>
      <c r="C220" s="813" t="s">
        <v>1272</v>
      </c>
      <c r="D220" s="813"/>
      <c r="E220" s="813"/>
      <c r="F220" s="813"/>
      <c r="G220" s="813"/>
      <c r="H220" s="813"/>
      <c r="I220" s="813"/>
      <c r="J220" s="813"/>
      <c r="K220" s="366" t="s">
        <v>35</v>
      </c>
    </row>
    <row r="221" spans="1:11" ht="13.5" customHeight="1" thickBot="1" x14ac:dyDescent="0.35">
      <c r="B221" s="367" t="s">
        <v>1117</v>
      </c>
      <c r="C221" s="831" t="s">
        <v>1122</v>
      </c>
      <c r="D221" s="831"/>
      <c r="E221" s="831"/>
      <c r="F221" s="831"/>
      <c r="G221" s="831"/>
      <c r="H221" s="831"/>
      <c r="I221" s="831"/>
      <c r="J221" s="831"/>
      <c r="K221" s="368" t="s">
        <v>35</v>
      </c>
    </row>
    <row r="222" spans="1:11" ht="13.8" thickBot="1" x14ac:dyDescent="0.35">
      <c r="B222" s="369"/>
      <c r="C222" s="833" t="s">
        <v>1123</v>
      </c>
      <c r="D222" s="833"/>
      <c r="E222" s="833"/>
      <c r="F222" s="833"/>
      <c r="G222" s="833"/>
      <c r="H222" s="833"/>
      <c r="I222" s="833"/>
      <c r="J222" s="833"/>
      <c r="K222" s="370" t="str">
        <f>IF(OR(K214="Yes",K216="Yes",K217="Yes",K218="Yes",K219="Yes",K220="Yes",K221="Yes"),"Yes","No")</f>
        <v>No</v>
      </c>
    </row>
    <row r="223" spans="1:11" ht="13.8" thickBot="1" x14ac:dyDescent="0.35">
      <c r="B223" s="834" t="s">
        <v>1061</v>
      </c>
      <c r="C223" s="834"/>
      <c r="D223" s="834"/>
      <c r="E223" s="834"/>
      <c r="F223" s="834"/>
      <c r="G223" s="834" t="s">
        <v>1062</v>
      </c>
      <c r="H223" s="834"/>
      <c r="I223" s="834"/>
      <c r="J223" s="834"/>
      <c r="K223" s="834"/>
    </row>
    <row r="224" spans="1:11" ht="27" thickBot="1" x14ac:dyDescent="0.35">
      <c r="B224" s="371" t="s">
        <v>26</v>
      </c>
      <c r="C224" s="372" t="s">
        <v>553</v>
      </c>
      <c r="D224" s="372" t="s">
        <v>19</v>
      </c>
      <c r="E224" s="372" t="s">
        <v>25</v>
      </c>
      <c r="F224" s="373" t="s">
        <v>554</v>
      </c>
      <c r="G224" s="374" t="s">
        <v>1063</v>
      </c>
      <c r="H224" s="372" t="s">
        <v>1064</v>
      </c>
      <c r="I224" s="375" t="s">
        <v>1065</v>
      </c>
      <c r="J224" s="375" t="s">
        <v>1066</v>
      </c>
      <c r="K224" s="376" t="s">
        <v>1067</v>
      </c>
    </row>
    <row r="225" spans="2:11" ht="13.8" thickBot="1" x14ac:dyDescent="0.35">
      <c r="B225" s="433" t="s">
        <v>621</v>
      </c>
      <c r="C225" s="434" t="s">
        <v>621</v>
      </c>
      <c r="D225" s="434" t="s">
        <v>621</v>
      </c>
      <c r="E225" s="434" t="s">
        <v>619</v>
      </c>
      <c r="F225" s="435" t="s">
        <v>619</v>
      </c>
      <c r="G225" s="436" t="s">
        <v>619</v>
      </c>
      <c r="H225" s="434" t="s">
        <v>619</v>
      </c>
      <c r="I225" s="434" t="s">
        <v>621</v>
      </c>
      <c r="J225" s="434" t="s">
        <v>621</v>
      </c>
      <c r="K225" s="435" t="s">
        <v>621</v>
      </c>
    </row>
    <row r="226" spans="2:11" ht="13.8" thickBot="1" x14ac:dyDescent="0.35">
      <c r="B226" s="807" t="s">
        <v>1068</v>
      </c>
      <c r="C226" s="808"/>
      <c r="D226" s="808"/>
      <c r="E226" s="808"/>
      <c r="F226" s="808"/>
      <c r="G226" s="808"/>
      <c r="H226" s="808"/>
      <c r="I226" s="808"/>
      <c r="J226" s="808"/>
      <c r="K226" s="809"/>
    </row>
    <row r="227" spans="2:11" ht="27" thickBot="1" x14ac:dyDescent="0.35">
      <c r="B227" s="369" t="s">
        <v>1124</v>
      </c>
      <c r="C227" s="827" t="s">
        <v>31</v>
      </c>
      <c r="D227" s="827"/>
      <c r="E227" s="827"/>
      <c r="F227" s="827"/>
      <c r="G227" s="827"/>
      <c r="H227" s="827"/>
      <c r="I227" s="381" t="s">
        <v>1125</v>
      </c>
      <c r="J227" s="828" t="s">
        <v>1074</v>
      </c>
      <c r="K227" s="829"/>
    </row>
    <row r="228" spans="2:11" ht="13.8" thickBot="1" x14ac:dyDescent="0.35">
      <c r="B228" s="361" t="s">
        <v>863</v>
      </c>
      <c r="C228" s="812" t="s">
        <v>863</v>
      </c>
      <c r="D228" s="812"/>
      <c r="E228" s="812"/>
      <c r="F228" s="812"/>
      <c r="G228" s="812"/>
      <c r="H228" s="812"/>
      <c r="I228" s="385" t="s">
        <v>863</v>
      </c>
      <c r="J228" s="856" t="s">
        <v>863</v>
      </c>
      <c r="K228" s="857"/>
    </row>
    <row r="229" spans="2:11" ht="27" thickBot="1" x14ac:dyDescent="0.35">
      <c r="B229" s="383" t="s">
        <v>1072</v>
      </c>
      <c r="C229" s="861" t="s">
        <v>1190</v>
      </c>
      <c r="D229" s="862"/>
      <c r="E229" s="383" t="s">
        <v>1070</v>
      </c>
      <c r="F229" s="384" t="s">
        <v>1135</v>
      </c>
      <c r="G229" s="816" t="s">
        <v>1191</v>
      </c>
      <c r="H229" s="817"/>
      <c r="I229" s="383" t="s">
        <v>1130</v>
      </c>
      <c r="J229" s="814" t="s">
        <v>1132</v>
      </c>
      <c r="K229" s="815"/>
    </row>
    <row r="230" spans="2:11" ht="13.8" thickBot="1" x14ac:dyDescent="0.35">
      <c r="B230" s="824" t="s">
        <v>1076</v>
      </c>
      <c r="C230" s="825"/>
      <c r="D230" s="825"/>
      <c r="E230" s="825"/>
      <c r="F230" s="825"/>
      <c r="G230" s="825"/>
      <c r="H230" s="825"/>
      <c r="I230" s="825"/>
      <c r="J230" s="825"/>
      <c r="K230" s="826"/>
    </row>
    <row r="231" spans="2:11" ht="13.8" thickBot="1" x14ac:dyDescent="0.35">
      <c r="B231" s="360" t="s">
        <v>863</v>
      </c>
      <c r="C231" s="858" t="s">
        <v>863</v>
      </c>
      <c r="D231" s="859"/>
      <c r="E231" s="859"/>
      <c r="F231" s="859"/>
      <c r="G231" s="859"/>
      <c r="H231" s="859"/>
      <c r="I231" s="859"/>
      <c r="J231" s="859"/>
      <c r="K231" s="860"/>
    </row>
    <row r="232" spans="2:11" ht="13.8" thickBot="1" x14ac:dyDescent="0.35">
      <c r="B232" s="824" t="s">
        <v>1077</v>
      </c>
      <c r="C232" s="825"/>
      <c r="D232" s="825"/>
      <c r="E232" s="825"/>
      <c r="F232" s="825"/>
      <c r="G232" s="825"/>
      <c r="H232" s="825"/>
      <c r="I232" s="825"/>
      <c r="J232" s="825"/>
      <c r="K232" s="826"/>
    </row>
    <row r="233" spans="2:11" ht="13.8" thickBot="1" x14ac:dyDescent="0.35">
      <c r="B233" s="360" t="s">
        <v>677</v>
      </c>
      <c r="C233" s="830" t="s">
        <v>1395</v>
      </c>
      <c r="D233" s="816"/>
      <c r="E233" s="816"/>
      <c r="F233" s="816"/>
      <c r="G233" s="816"/>
      <c r="H233" s="816"/>
      <c r="I233" s="816"/>
      <c r="J233" s="816"/>
      <c r="K233" s="817"/>
    </row>
    <row r="234" spans="2:11" ht="13.8" thickBot="1" x14ac:dyDescent="0.35">
      <c r="B234" s="360" t="s">
        <v>1219</v>
      </c>
      <c r="C234" s="830" t="s">
        <v>868</v>
      </c>
      <c r="D234" s="816"/>
      <c r="E234" s="816"/>
      <c r="F234" s="816"/>
      <c r="G234" s="816"/>
      <c r="H234" s="816"/>
      <c r="I234" s="816"/>
      <c r="J234" s="816"/>
      <c r="K234" s="817"/>
    </row>
  </sheetData>
  <autoFilter ref="A1:O234" xr:uid="{00000000-0009-0000-0000-000005000000}"/>
  <mergeCells count="248">
    <mergeCell ref="C163:H163"/>
    <mergeCell ref="J163:K163"/>
    <mergeCell ref="B147:K147"/>
    <mergeCell ref="C148:J148"/>
    <mergeCell ref="C85:J85"/>
    <mergeCell ref="C86:J86"/>
    <mergeCell ref="C87:J87"/>
    <mergeCell ref="C88:J88"/>
    <mergeCell ref="B123:F123"/>
    <mergeCell ref="G123:K123"/>
    <mergeCell ref="C119:J119"/>
    <mergeCell ref="C120:J120"/>
    <mergeCell ref="C137:K137"/>
    <mergeCell ref="C134:K134"/>
    <mergeCell ref="B106:K106"/>
    <mergeCell ref="C107:K107"/>
    <mergeCell ref="B140:K140"/>
    <mergeCell ref="C141:K141"/>
    <mergeCell ref="C128:H128"/>
    <mergeCell ref="J128:K128"/>
    <mergeCell ref="C132:D132"/>
    <mergeCell ref="C94:H94"/>
    <mergeCell ref="J94:K94"/>
    <mergeCell ref="C99:D99"/>
    <mergeCell ref="C29:H29"/>
    <mergeCell ref="J29:K29"/>
    <mergeCell ref="C95:H95"/>
    <mergeCell ref="J95:K95"/>
    <mergeCell ref="C96:H96"/>
    <mergeCell ref="J96:K96"/>
    <mergeCell ref="C97:H97"/>
    <mergeCell ref="J97:K97"/>
    <mergeCell ref="C98:H98"/>
    <mergeCell ref="J98:K98"/>
    <mergeCell ref="B77:K77"/>
    <mergeCell ref="C78:K78"/>
    <mergeCell ref="B89:F89"/>
    <mergeCell ref="G89:K89"/>
    <mergeCell ref="B79:K79"/>
    <mergeCell ref="C40:K40"/>
    <mergeCell ref="G34:H34"/>
    <mergeCell ref="J34:K34"/>
    <mergeCell ref="C30:H30"/>
    <mergeCell ref="C31:H31"/>
    <mergeCell ref="C32:H32"/>
    <mergeCell ref="B92:K92"/>
    <mergeCell ref="C93:H93"/>
    <mergeCell ref="J93:K93"/>
    <mergeCell ref="G99:H99"/>
    <mergeCell ref="J99:K99"/>
    <mergeCell ref="C150:J150"/>
    <mergeCell ref="C139:K139"/>
    <mergeCell ref="B100:K100"/>
    <mergeCell ref="B104:K104"/>
    <mergeCell ref="C105:K105"/>
    <mergeCell ref="C121:J121"/>
    <mergeCell ref="G132:H132"/>
    <mergeCell ref="J132:K132"/>
    <mergeCell ref="C138:K138"/>
    <mergeCell ref="C101:K101"/>
    <mergeCell ref="C102:K102"/>
    <mergeCell ref="C103:K103"/>
    <mergeCell ref="C131:H131"/>
    <mergeCell ref="J131:K131"/>
    <mergeCell ref="C135:K135"/>
    <mergeCell ref="B211:K211"/>
    <mergeCell ref="B213:K213"/>
    <mergeCell ref="C214:J214"/>
    <mergeCell ref="C216:J216"/>
    <mergeCell ref="C222:J222"/>
    <mergeCell ref="C215:J215"/>
    <mergeCell ref="B193:K193"/>
    <mergeCell ref="B199:K199"/>
    <mergeCell ref="C200:K200"/>
    <mergeCell ref="B201:K201"/>
    <mergeCell ref="C202:K202"/>
    <mergeCell ref="C203:K203"/>
    <mergeCell ref="C204:K204"/>
    <mergeCell ref="B206:K206"/>
    <mergeCell ref="C207:K207"/>
    <mergeCell ref="C198:D198"/>
    <mergeCell ref="J196:K196"/>
    <mergeCell ref="C212:K212"/>
    <mergeCell ref="J194:K194"/>
    <mergeCell ref="C195:H195"/>
    <mergeCell ref="J195:K195"/>
    <mergeCell ref="G198:H198"/>
    <mergeCell ref="J198:K198"/>
    <mergeCell ref="C197:H197"/>
    <mergeCell ref="C205:K205"/>
    <mergeCell ref="C129:H129"/>
    <mergeCell ref="J129:K129"/>
    <mergeCell ref="C130:H130"/>
    <mergeCell ref="J130:K130"/>
    <mergeCell ref="C164:H164"/>
    <mergeCell ref="J164:K164"/>
    <mergeCell ref="C196:H196"/>
    <mergeCell ref="C152:J152"/>
    <mergeCell ref="C153:J153"/>
    <mergeCell ref="C186:J186"/>
    <mergeCell ref="C187:J187"/>
    <mergeCell ref="C188:J188"/>
    <mergeCell ref="C189:J189"/>
    <mergeCell ref="B190:F190"/>
    <mergeCell ref="G190:K190"/>
    <mergeCell ref="C154:J154"/>
    <mergeCell ref="C155:J155"/>
    <mergeCell ref="B157:F157"/>
    <mergeCell ref="J162:K162"/>
    <mergeCell ref="B166:K166"/>
    <mergeCell ref="C167:K167"/>
    <mergeCell ref="B168:K168"/>
    <mergeCell ref="C169:K169"/>
    <mergeCell ref="C22:J22"/>
    <mergeCell ref="B26:K26"/>
    <mergeCell ref="C27:H27"/>
    <mergeCell ref="J27:K27"/>
    <mergeCell ref="C28:H28"/>
    <mergeCell ref="J28:K28"/>
    <mergeCell ref="C34:D34"/>
    <mergeCell ref="B160:K160"/>
    <mergeCell ref="C161:H161"/>
    <mergeCell ref="J161:K161"/>
    <mergeCell ref="B44:K44"/>
    <mergeCell ref="C45:K45"/>
    <mergeCell ref="C51:J51"/>
    <mergeCell ref="C53:J53"/>
    <mergeCell ref="B48:K48"/>
    <mergeCell ref="C54:J54"/>
    <mergeCell ref="C55:J55"/>
    <mergeCell ref="C56:J56"/>
    <mergeCell ref="C83:J83"/>
    <mergeCell ref="C84:J84"/>
    <mergeCell ref="B145:K145"/>
    <mergeCell ref="C146:K146"/>
    <mergeCell ref="C33:H33"/>
    <mergeCell ref="J30:K30"/>
    <mergeCell ref="C66:D66"/>
    <mergeCell ref="G66:H66"/>
    <mergeCell ref="J66:K66"/>
    <mergeCell ref="C58:J58"/>
    <mergeCell ref="C65:H65"/>
    <mergeCell ref="J65:K65"/>
    <mergeCell ref="C68:K68"/>
    <mergeCell ref="C57:J57"/>
    <mergeCell ref="C80:J80"/>
    <mergeCell ref="B69:K69"/>
    <mergeCell ref="C70:K70"/>
    <mergeCell ref="C71:K71"/>
    <mergeCell ref="B67:K67"/>
    <mergeCell ref="C59:J59"/>
    <mergeCell ref="B63:K63"/>
    <mergeCell ref="C64:H64"/>
    <mergeCell ref="J64:K64"/>
    <mergeCell ref="B60:F60"/>
    <mergeCell ref="G60:K60"/>
    <mergeCell ref="C234:K234"/>
    <mergeCell ref="C227:H227"/>
    <mergeCell ref="J227:K227"/>
    <mergeCell ref="C228:H228"/>
    <mergeCell ref="J228:K228"/>
    <mergeCell ref="C217:J217"/>
    <mergeCell ref="C218:J218"/>
    <mergeCell ref="C219:J219"/>
    <mergeCell ref="C220:J220"/>
    <mergeCell ref="C221:J221"/>
    <mergeCell ref="B230:K230"/>
    <mergeCell ref="C231:K231"/>
    <mergeCell ref="B232:K232"/>
    <mergeCell ref="B223:F223"/>
    <mergeCell ref="G223:K223"/>
    <mergeCell ref="C229:D229"/>
    <mergeCell ref="B226:K226"/>
    <mergeCell ref="C233:K233"/>
    <mergeCell ref="G229:H229"/>
    <mergeCell ref="J229:K229"/>
    <mergeCell ref="B5:D5"/>
    <mergeCell ref="B6:D6"/>
    <mergeCell ref="B7:D7"/>
    <mergeCell ref="B11:K11"/>
    <mergeCell ref="C12:K12"/>
    <mergeCell ref="B23:F23"/>
    <mergeCell ref="G23:K23"/>
    <mergeCell ref="B35:K35"/>
    <mergeCell ref="C49:K49"/>
    <mergeCell ref="B13:K13"/>
    <mergeCell ref="C14:J14"/>
    <mergeCell ref="C16:J16"/>
    <mergeCell ref="C17:J17"/>
    <mergeCell ref="C18:J18"/>
    <mergeCell ref="C19:J19"/>
    <mergeCell ref="C20:J20"/>
    <mergeCell ref="C21:J21"/>
    <mergeCell ref="J31:K31"/>
    <mergeCell ref="J32:K32"/>
    <mergeCell ref="J33:K33"/>
    <mergeCell ref="B38:K38"/>
    <mergeCell ref="C39:K39"/>
    <mergeCell ref="C41:K41"/>
    <mergeCell ref="C42:K42"/>
    <mergeCell ref="J197:K197"/>
    <mergeCell ref="B73:K73"/>
    <mergeCell ref="C171:K171"/>
    <mergeCell ref="C184:J184"/>
    <mergeCell ref="B111:K111"/>
    <mergeCell ref="C112:K112"/>
    <mergeCell ref="B113:K113"/>
    <mergeCell ref="C114:J114"/>
    <mergeCell ref="C116:J116"/>
    <mergeCell ref="C117:J117"/>
    <mergeCell ref="C118:J118"/>
    <mergeCell ref="C122:J122"/>
    <mergeCell ref="B126:K126"/>
    <mergeCell ref="C156:J156"/>
    <mergeCell ref="B133:K133"/>
    <mergeCell ref="G157:K157"/>
    <mergeCell ref="B136:K136"/>
    <mergeCell ref="C174:K174"/>
    <mergeCell ref="C74:K74"/>
    <mergeCell ref="C185:J185"/>
    <mergeCell ref="C194:H194"/>
    <mergeCell ref="C162:H162"/>
    <mergeCell ref="C82:J82"/>
    <mergeCell ref="C151:J151"/>
    <mergeCell ref="C15:J15"/>
    <mergeCell ref="C52:J52"/>
    <mergeCell ref="C81:J81"/>
    <mergeCell ref="B178:K178"/>
    <mergeCell ref="C179:K179"/>
    <mergeCell ref="B180:K180"/>
    <mergeCell ref="C181:J181"/>
    <mergeCell ref="C183:J183"/>
    <mergeCell ref="C165:D165"/>
    <mergeCell ref="G165:H165"/>
    <mergeCell ref="J165:K165"/>
    <mergeCell ref="C170:K170"/>
    <mergeCell ref="C172:K172"/>
    <mergeCell ref="B173:K173"/>
    <mergeCell ref="C115:J115"/>
    <mergeCell ref="C149:J149"/>
    <mergeCell ref="C127:H127"/>
    <mergeCell ref="J127:K127"/>
    <mergeCell ref="C37:K37"/>
    <mergeCell ref="C36:K36"/>
    <mergeCell ref="C182:J182"/>
    <mergeCell ref="B50:K50"/>
    <mergeCell ref="C72:K72"/>
    <mergeCell ref="C43:K43"/>
  </mergeCells>
  <dataValidations count="1">
    <dataValidation type="list" allowBlank="1" showInputMessage="1" showErrorMessage="1" sqref="F34 F66 F99 F132 F165 F229 F198 J34:K34 J66:K66 J99:K99 J132:K132 J165:K165 J229:K229 J198:K198" xr:uid="{00000000-0002-0000-0500-000001000000}">
      <formula1>#REF!</formula1>
    </dataValidation>
  </dataValidation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189"/>
  <sheetViews>
    <sheetView tabSelected="1" topLeftCell="A119" zoomScale="110" zoomScaleNormal="110" workbookViewId="0">
      <selection activeCell="B126" sqref="B126:K126"/>
    </sheetView>
  </sheetViews>
  <sheetFormatPr defaultColWidth="9.109375" defaultRowHeight="13.2" x14ac:dyDescent="0.3"/>
  <cols>
    <col min="1" max="1" width="4.6640625" style="352" customWidth="1"/>
    <col min="2" max="2" width="15.6640625" style="290" customWidth="1"/>
    <col min="3" max="3" width="14.6640625" style="290" customWidth="1"/>
    <col min="4" max="4" width="16" style="290" customWidth="1"/>
    <col min="5" max="8" width="14.6640625" style="290" customWidth="1"/>
    <col min="9" max="9" width="18.5546875" style="290" customWidth="1"/>
    <col min="10" max="11" width="14.6640625" style="290" customWidth="1"/>
    <col min="12" max="12" width="11" style="290" bestFit="1" customWidth="1"/>
    <col min="13" max="13" width="11.6640625" style="290" bestFit="1" customWidth="1"/>
    <col min="14" max="16384" width="9.109375" style="290"/>
  </cols>
  <sheetData>
    <row r="2" spans="1:11" x14ac:dyDescent="0.3">
      <c r="B2" s="353" t="s">
        <v>1270</v>
      </c>
    </row>
    <row r="3" spans="1:11" x14ac:dyDescent="0.3">
      <c r="B3" s="353" t="s">
        <v>1796</v>
      </c>
    </row>
    <row r="4" spans="1:11" ht="13.8" thickBot="1" x14ac:dyDescent="0.35"/>
    <row r="5" spans="1:11" ht="13.8" thickBot="1" x14ac:dyDescent="0.35">
      <c r="B5" s="837" t="s">
        <v>23</v>
      </c>
      <c r="C5" s="838"/>
      <c r="D5" s="839"/>
      <c r="E5" s="354"/>
      <c r="F5" s="355" t="s">
        <v>190</v>
      </c>
    </row>
    <row r="6" spans="1:11" ht="13.8" thickBot="1" x14ac:dyDescent="0.35">
      <c r="B6" s="840" t="s">
        <v>860</v>
      </c>
      <c r="C6" s="841"/>
      <c r="D6" s="841"/>
      <c r="E6" s="356"/>
      <c r="F6" s="355" t="s">
        <v>615</v>
      </c>
    </row>
    <row r="7" spans="1:11" ht="13.8" thickBot="1" x14ac:dyDescent="0.35">
      <c r="B7" s="842" t="s">
        <v>1075</v>
      </c>
      <c r="C7" s="843"/>
      <c r="D7" s="844"/>
      <c r="E7" s="356"/>
      <c r="F7" s="357">
        <v>5175000</v>
      </c>
    </row>
    <row r="9" spans="1:11" x14ac:dyDescent="0.3">
      <c r="B9" s="353" t="s">
        <v>508</v>
      </c>
    </row>
    <row r="10" spans="1:11" ht="13.8" thickBot="1" x14ac:dyDescent="0.35">
      <c r="A10" s="358" t="s">
        <v>1097</v>
      </c>
      <c r="B10" s="359" t="s">
        <v>1423</v>
      </c>
    </row>
    <row r="11" spans="1:11" ht="13.8" thickBot="1" x14ac:dyDescent="0.35">
      <c r="B11" s="807" t="s">
        <v>1060</v>
      </c>
      <c r="C11" s="808"/>
      <c r="D11" s="808"/>
      <c r="E11" s="808"/>
      <c r="F11" s="808"/>
      <c r="G11" s="808"/>
      <c r="H11" s="808"/>
      <c r="I11" s="808"/>
      <c r="J11" s="808"/>
      <c r="K11" s="809"/>
    </row>
    <row r="12" spans="1:11" ht="13.8" thickBot="1" x14ac:dyDescent="0.35">
      <c r="B12" s="360" t="s">
        <v>562</v>
      </c>
      <c r="C12" s="810" t="s">
        <v>1180</v>
      </c>
      <c r="D12" s="810"/>
      <c r="E12" s="810"/>
      <c r="F12" s="810"/>
      <c r="G12" s="810"/>
      <c r="H12" s="810"/>
      <c r="I12" s="810"/>
      <c r="J12" s="810"/>
      <c r="K12" s="811"/>
    </row>
    <row r="13" spans="1:11" ht="13.8" thickBot="1" x14ac:dyDescent="0.35">
      <c r="A13" s="290"/>
      <c r="B13" s="807" t="s">
        <v>1109</v>
      </c>
      <c r="C13" s="808"/>
      <c r="D13" s="808"/>
      <c r="E13" s="808"/>
      <c r="F13" s="808"/>
      <c r="G13" s="808"/>
      <c r="H13" s="808"/>
      <c r="I13" s="808"/>
      <c r="J13" s="808"/>
      <c r="K13" s="809"/>
    </row>
    <row r="14" spans="1:11" x14ac:dyDescent="0.3">
      <c r="A14" s="290"/>
      <c r="B14" s="361" t="s">
        <v>1110</v>
      </c>
      <c r="C14" s="812" t="s">
        <v>1111</v>
      </c>
      <c r="D14" s="812"/>
      <c r="E14" s="812"/>
      <c r="F14" s="812"/>
      <c r="G14" s="812"/>
      <c r="H14" s="812"/>
      <c r="I14" s="812"/>
      <c r="J14" s="812"/>
      <c r="K14" s="362" t="s">
        <v>35</v>
      </c>
    </row>
    <row r="15" spans="1:11" x14ac:dyDescent="0.3">
      <c r="B15" s="363"/>
      <c r="C15" s="804" t="s">
        <v>1206</v>
      </c>
      <c r="D15" s="805"/>
      <c r="E15" s="805"/>
      <c r="F15" s="805"/>
      <c r="G15" s="805"/>
      <c r="H15" s="805"/>
      <c r="I15" s="805"/>
      <c r="J15" s="806"/>
      <c r="K15" s="364"/>
    </row>
    <row r="16" spans="1:11" x14ac:dyDescent="0.3">
      <c r="A16" s="290"/>
      <c r="B16" s="365" t="s">
        <v>1112</v>
      </c>
      <c r="C16" s="813" t="s">
        <v>1118</v>
      </c>
      <c r="D16" s="813"/>
      <c r="E16" s="813"/>
      <c r="F16" s="813"/>
      <c r="G16" s="813"/>
      <c r="H16" s="813"/>
      <c r="I16" s="813"/>
      <c r="J16" s="813"/>
      <c r="K16" s="366" t="s">
        <v>35</v>
      </c>
    </row>
    <row r="17" spans="1:11" x14ac:dyDescent="0.3">
      <c r="A17" s="290"/>
      <c r="B17" s="365" t="s">
        <v>1113</v>
      </c>
      <c r="C17" s="813" t="s">
        <v>1119</v>
      </c>
      <c r="D17" s="813"/>
      <c r="E17" s="813"/>
      <c r="F17" s="813"/>
      <c r="G17" s="813"/>
      <c r="H17" s="813"/>
      <c r="I17" s="813"/>
      <c r="J17" s="813"/>
      <c r="K17" s="366" t="s">
        <v>35</v>
      </c>
    </row>
    <row r="18" spans="1:11" x14ac:dyDescent="0.3">
      <c r="A18" s="290"/>
      <c r="B18" s="365" t="s">
        <v>1114</v>
      </c>
      <c r="C18" s="813" t="s">
        <v>1120</v>
      </c>
      <c r="D18" s="813"/>
      <c r="E18" s="813"/>
      <c r="F18" s="813"/>
      <c r="G18" s="813"/>
      <c r="H18" s="813"/>
      <c r="I18" s="813"/>
      <c r="J18" s="813"/>
      <c r="K18" s="366" t="s">
        <v>35</v>
      </c>
    </row>
    <row r="19" spans="1:11" x14ac:dyDescent="0.3">
      <c r="A19" s="290"/>
      <c r="B19" s="365" t="s">
        <v>1115</v>
      </c>
      <c r="C19" s="813" t="s">
        <v>1121</v>
      </c>
      <c r="D19" s="813"/>
      <c r="E19" s="813"/>
      <c r="F19" s="813"/>
      <c r="G19" s="813"/>
      <c r="H19" s="813"/>
      <c r="I19" s="813"/>
      <c r="J19" s="813"/>
      <c r="K19" s="366" t="s">
        <v>35</v>
      </c>
    </row>
    <row r="20" spans="1:11" x14ac:dyDescent="0.3">
      <c r="A20" s="290"/>
      <c r="B20" s="365" t="s">
        <v>1116</v>
      </c>
      <c r="C20" s="813" t="s">
        <v>1272</v>
      </c>
      <c r="D20" s="813"/>
      <c r="E20" s="813"/>
      <c r="F20" s="813"/>
      <c r="G20" s="813"/>
      <c r="H20" s="813"/>
      <c r="I20" s="813"/>
      <c r="J20" s="813"/>
      <c r="K20" s="366" t="s">
        <v>35</v>
      </c>
    </row>
    <row r="21" spans="1:11" ht="13.8" thickBot="1" x14ac:dyDescent="0.35">
      <c r="A21" s="290"/>
      <c r="B21" s="367" t="s">
        <v>1117</v>
      </c>
      <c r="C21" s="831" t="s">
        <v>1122</v>
      </c>
      <c r="D21" s="831"/>
      <c r="E21" s="831"/>
      <c r="F21" s="831"/>
      <c r="G21" s="831"/>
      <c r="H21" s="831"/>
      <c r="I21" s="831"/>
      <c r="J21" s="831"/>
      <c r="K21" s="368" t="s">
        <v>35</v>
      </c>
    </row>
    <row r="22" spans="1:11" ht="13.8" thickBot="1" x14ac:dyDescent="0.35">
      <c r="A22" s="290"/>
      <c r="B22" s="369"/>
      <c r="C22" s="833" t="s">
        <v>1123</v>
      </c>
      <c r="D22" s="833"/>
      <c r="E22" s="833"/>
      <c r="F22" s="833"/>
      <c r="G22" s="833"/>
      <c r="H22" s="833"/>
      <c r="I22" s="833"/>
      <c r="J22" s="833"/>
      <c r="K22" s="370" t="str">
        <f>IF(OR(K14="Yes",K16="Yes",K17="Yes",K18="Yes",K19="Yes",K20="Yes",K21="Yes"),"Yes","No")</f>
        <v>No</v>
      </c>
    </row>
    <row r="23" spans="1:11" ht="13.8" thickBot="1" x14ac:dyDescent="0.35">
      <c r="B23" s="834" t="s">
        <v>1061</v>
      </c>
      <c r="C23" s="834"/>
      <c r="D23" s="834"/>
      <c r="E23" s="834"/>
      <c r="F23" s="834"/>
      <c r="G23" s="834" t="s">
        <v>1062</v>
      </c>
      <c r="H23" s="834"/>
      <c r="I23" s="834"/>
      <c r="J23" s="834"/>
      <c r="K23" s="834"/>
    </row>
    <row r="24" spans="1:11"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1:11" ht="13.8" thickBot="1" x14ac:dyDescent="0.35">
      <c r="B25" s="433" t="s">
        <v>619</v>
      </c>
      <c r="C25" s="434" t="s">
        <v>619</v>
      </c>
      <c r="D25" s="434" t="s">
        <v>621</v>
      </c>
      <c r="E25" s="434" t="s">
        <v>619</v>
      </c>
      <c r="F25" s="435" t="s">
        <v>621</v>
      </c>
      <c r="G25" s="436" t="s">
        <v>619</v>
      </c>
      <c r="H25" s="434" t="s">
        <v>621</v>
      </c>
      <c r="I25" s="434" t="s">
        <v>621</v>
      </c>
      <c r="J25" s="434" t="s">
        <v>621</v>
      </c>
      <c r="K25" s="435" t="s">
        <v>621</v>
      </c>
    </row>
    <row r="26" spans="1:11" ht="13.8" thickBot="1" x14ac:dyDescent="0.35">
      <c r="B26" s="807" t="s">
        <v>1068</v>
      </c>
      <c r="C26" s="808"/>
      <c r="D26" s="808"/>
      <c r="E26" s="808"/>
      <c r="F26" s="808"/>
      <c r="G26" s="808"/>
      <c r="H26" s="808"/>
      <c r="I26" s="808"/>
      <c r="J26" s="808"/>
      <c r="K26" s="809"/>
    </row>
    <row r="27" spans="1:11" ht="27" thickBot="1" x14ac:dyDescent="0.35">
      <c r="B27" s="369" t="s">
        <v>1124</v>
      </c>
      <c r="C27" s="827" t="s">
        <v>31</v>
      </c>
      <c r="D27" s="827"/>
      <c r="E27" s="827"/>
      <c r="F27" s="827"/>
      <c r="G27" s="827"/>
      <c r="H27" s="827"/>
      <c r="I27" s="381" t="s">
        <v>1125</v>
      </c>
      <c r="J27" s="828" t="s">
        <v>1074</v>
      </c>
      <c r="K27" s="829"/>
    </row>
    <row r="28" spans="1:11" ht="13.8" thickBot="1" x14ac:dyDescent="0.35">
      <c r="B28" s="382" t="s">
        <v>628</v>
      </c>
      <c r="C28" s="856" t="s">
        <v>626</v>
      </c>
      <c r="D28" s="856"/>
      <c r="E28" s="856"/>
      <c r="F28" s="856"/>
      <c r="G28" s="856"/>
      <c r="H28" s="856"/>
      <c r="I28" s="338" t="s">
        <v>37</v>
      </c>
      <c r="J28" s="899" t="s">
        <v>1797</v>
      </c>
      <c r="K28" s="900"/>
    </row>
    <row r="29" spans="1:11" ht="27" thickBot="1" x14ac:dyDescent="0.35">
      <c r="B29" s="383" t="s">
        <v>1072</v>
      </c>
      <c r="C29" s="814" t="s">
        <v>1260</v>
      </c>
      <c r="D29" s="815"/>
      <c r="E29" s="383" t="s">
        <v>1070</v>
      </c>
      <c r="F29" s="384" t="s">
        <v>1134</v>
      </c>
      <c r="G29" s="816" t="s">
        <v>1131</v>
      </c>
      <c r="H29" s="817"/>
      <c r="I29" s="383" t="s">
        <v>1130</v>
      </c>
      <c r="J29" s="814" t="s">
        <v>1133</v>
      </c>
      <c r="K29" s="815"/>
    </row>
    <row r="30" spans="1:11" ht="13.8" thickBot="1" x14ac:dyDescent="0.35">
      <c r="B30" s="824" t="s">
        <v>1076</v>
      </c>
      <c r="C30" s="825"/>
      <c r="D30" s="825"/>
      <c r="E30" s="825"/>
      <c r="F30" s="825"/>
      <c r="G30" s="825"/>
      <c r="H30" s="825"/>
      <c r="I30" s="825"/>
      <c r="J30" s="825"/>
      <c r="K30" s="826"/>
    </row>
    <row r="31" spans="1:11" ht="16.95" customHeight="1" thickBot="1" x14ac:dyDescent="0.35">
      <c r="B31" s="360" t="s">
        <v>628</v>
      </c>
      <c r="C31" s="830" t="s">
        <v>1713</v>
      </c>
      <c r="D31" s="816"/>
      <c r="E31" s="816"/>
      <c r="F31" s="816"/>
      <c r="G31" s="816"/>
      <c r="H31" s="816"/>
      <c r="I31" s="816"/>
      <c r="J31" s="816"/>
      <c r="K31" s="817"/>
    </row>
    <row r="32" spans="1:11" ht="13.8" thickBot="1" x14ac:dyDescent="0.35">
      <c r="B32" s="824" t="s">
        <v>1077</v>
      </c>
      <c r="C32" s="825"/>
      <c r="D32" s="825"/>
      <c r="E32" s="825"/>
      <c r="F32" s="825"/>
      <c r="G32" s="825"/>
      <c r="H32" s="825"/>
      <c r="I32" s="825"/>
      <c r="J32" s="825"/>
      <c r="K32" s="826"/>
    </row>
    <row r="33" spans="2:11" ht="13.8" thickBot="1" x14ac:dyDescent="0.35">
      <c r="B33" s="360" t="s">
        <v>681</v>
      </c>
      <c r="C33" s="835" t="s">
        <v>492</v>
      </c>
      <c r="D33" s="835"/>
      <c r="E33" s="835"/>
      <c r="F33" s="835"/>
      <c r="G33" s="835"/>
      <c r="H33" s="835"/>
      <c r="I33" s="835"/>
      <c r="J33" s="835"/>
      <c r="K33" s="836"/>
    </row>
    <row r="34" spans="2:11" ht="29.25" customHeight="1" thickBot="1" x14ac:dyDescent="0.35">
      <c r="B34" s="360" t="s">
        <v>713</v>
      </c>
      <c r="C34" s="830" t="s">
        <v>714</v>
      </c>
      <c r="D34" s="816"/>
      <c r="E34" s="816"/>
      <c r="F34" s="816"/>
      <c r="G34" s="816"/>
      <c r="H34" s="816"/>
      <c r="I34" s="816"/>
      <c r="J34" s="816"/>
      <c r="K34" s="817"/>
    </row>
    <row r="35" spans="2:11" ht="13.8" thickBot="1" x14ac:dyDescent="0.35">
      <c r="B35" s="824" t="s">
        <v>1139</v>
      </c>
      <c r="C35" s="825"/>
      <c r="D35" s="825"/>
      <c r="E35" s="825"/>
      <c r="F35" s="825"/>
      <c r="G35" s="825"/>
      <c r="H35" s="825"/>
      <c r="I35" s="825"/>
      <c r="J35" s="825"/>
      <c r="K35" s="826"/>
    </row>
    <row r="36" spans="2:11" ht="13.8" thickBot="1" x14ac:dyDescent="0.35">
      <c r="B36" s="360" t="s">
        <v>863</v>
      </c>
      <c r="C36" s="835" t="s">
        <v>1140</v>
      </c>
      <c r="D36" s="835"/>
      <c r="E36" s="835"/>
      <c r="F36" s="835"/>
      <c r="G36" s="835"/>
      <c r="H36" s="835"/>
      <c r="I36" s="835"/>
      <c r="J36" s="835"/>
      <c r="K36" s="836"/>
    </row>
    <row r="38" spans="2:11" ht="13.8" thickBot="1" x14ac:dyDescent="0.35"/>
    <row r="39" spans="2:11" ht="13.8" thickBot="1" x14ac:dyDescent="0.35">
      <c r="B39" s="807" t="s">
        <v>1060</v>
      </c>
      <c r="C39" s="808"/>
      <c r="D39" s="808"/>
      <c r="E39" s="808"/>
      <c r="F39" s="808"/>
      <c r="G39" s="808"/>
      <c r="H39" s="808"/>
      <c r="I39" s="808"/>
      <c r="J39" s="808"/>
      <c r="K39" s="809"/>
    </row>
    <row r="40" spans="2:11" ht="13.8" thickBot="1" x14ac:dyDescent="0.35">
      <c r="B40" s="360" t="s">
        <v>563</v>
      </c>
      <c r="C40" s="810" t="s">
        <v>1181</v>
      </c>
      <c r="D40" s="810"/>
      <c r="E40" s="810"/>
      <c r="F40" s="810"/>
      <c r="G40" s="810"/>
      <c r="H40" s="810"/>
      <c r="I40" s="810"/>
      <c r="J40" s="810"/>
      <c r="K40" s="811"/>
    </row>
    <row r="41" spans="2:11" ht="13.8" thickBot="1" x14ac:dyDescent="0.35">
      <c r="B41" s="807" t="s">
        <v>1109</v>
      </c>
      <c r="C41" s="808"/>
      <c r="D41" s="808"/>
      <c r="E41" s="808"/>
      <c r="F41" s="808"/>
      <c r="G41" s="808"/>
      <c r="H41" s="808"/>
      <c r="I41" s="808"/>
      <c r="J41" s="808"/>
      <c r="K41" s="809"/>
    </row>
    <row r="42" spans="2:11" x14ac:dyDescent="0.3">
      <c r="B42" s="361" t="s">
        <v>1110</v>
      </c>
      <c r="C42" s="812" t="s">
        <v>1111</v>
      </c>
      <c r="D42" s="812"/>
      <c r="E42" s="812"/>
      <c r="F42" s="812"/>
      <c r="G42" s="812"/>
      <c r="H42" s="812"/>
      <c r="I42" s="812"/>
      <c r="J42" s="812"/>
      <c r="K42" s="362" t="s">
        <v>35</v>
      </c>
    </row>
    <row r="43" spans="2:11" x14ac:dyDescent="0.3">
      <c r="B43" s="363"/>
      <c r="C43" s="804" t="s">
        <v>1206</v>
      </c>
      <c r="D43" s="805"/>
      <c r="E43" s="805"/>
      <c r="F43" s="805"/>
      <c r="G43" s="805"/>
      <c r="H43" s="805"/>
      <c r="I43" s="805"/>
      <c r="J43" s="806"/>
      <c r="K43" s="364"/>
    </row>
    <row r="44" spans="2:11" x14ac:dyDescent="0.3">
      <c r="B44" s="365" t="s">
        <v>1112</v>
      </c>
      <c r="C44" s="813" t="s">
        <v>1118</v>
      </c>
      <c r="D44" s="813"/>
      <c r="E44" s="813"/>
      <c r="F44" s="813"/>
      <c r="G44" s="813"/>
      <c r="H44" s="813"/>
      <c r="I44" s="813"/>
      <c r="J44" s="813"/>
      <c r="K44" s="366" t="s">
        <v>35</v>
      </c>
    </row>
    <row r="45" spans="2:11" x14ac:dyDescent="0.3">
      <c r="B45" s="365" t="s">
        <v>1113</v>
      </c>
      <c r="C45" s="813" t="s">
        <v>1119</v>
      </c>
      <c r="D45" s="813"/>
      <c r="E45" s="813"/>
      <c r="F45" s="813"/>
      <c r="G45" s="813"/>
      <c r="H45" s="813"/>
      <c r="I45" s="813"/>
      <c r="J45" s="813"/>
      <c r="K45" s="366" t="s">
        <v>35</v>
      </c>
    </row>
    <row r="46" spans="2:11" x14ac:dyDescent="0.3">
      <c r="B46" s="365" t="s">
        <v>1114</v>
      </c>
      <c r="C46" s="813" t="s">
        <v>1120</v>
      </c>
      <c r="D46" s="813"/>
      <c r="E46" s="813"/>
      <c r="F46" s="813"/>
      <c r="G46" s="813"/>
      <c r="H46" s="813"/>
      <c r="I46" s="813"/>
      <c r="J46" s="813"/>
      <c r="K46" s="366" t="s">
        <v>35</v>
      </c>
    </row>
    <row r="47" spans="2:11" x14ac:dyDescent="0.3">
      <c r="B47" s="365" t="s">
        <v>1115</v>
      </c>
      <c r="C47" s="813" t="s">
        <v>1121</v>
      </c>
      <c r="D47" s="813"/>
      <c r="E47" s="813"/>
      <c r="F47" s="813"/>
      <c r="G47" s="813"/>
      <c r="H47" s="813"/>
      <c r="I47" s="813"/>
      <c r="J47" s="813"/>
      <c r="K47" s="366" t="s">
        <v>35</v>
      </c>
    </row>
    <row r="48" spans="2:11" x14ac:dyDescent="0.3">
      <c r="B48" s="365" t="s">
        <v>1116</v>
      </c>
      <c r="C48" s="813" t="s">
        <v>1272</v>
      </c>
      <c r="D48" s="813"/>
      <c r="E48" s="813"/>
      <c r="F48" s="813"/>
      <c r="G48" s="813"/>
      <c r="H48" s="813"/>
      <c r="I48" s="813"/>
      <c r="J48" s="813"/>
      <c r="K48" s="366" t="s">
        <v>35</v>
      </c>
    </row>
    <row r="49" spans="2:11" ht="13.8" thickBot="1" x14ac:dyDescent="0.35">
      <c r="B49" s="367" t="s">
        <v>1117</v>
      </c>
      <c r="C49" s="831" t="s">
        <v>1122</v>
      </c>
      <c r="D49" s="831"/>
      <c r="E49" s="831"/>
      <c r="F49" s="831"/>
      <c r="G49" s="831"/>
      <c r="H49" s="831"/>
      <c r="I49" s="831"/>
      <c r="J49" s="831"/>
      <c r="K49" s="368" t="s">
        <v>35</v>
      </c>
    </row>
    <row r="50" spans="2:11" ht="13.8" thickBot="1" x14ac:dyDescent="0.35">
      <c r="B50" s="369"/>
      <c r="C50" s="833" t="s">
        <v>1123</v>
      </c>
      <c r="D50" s="833"/>
      <c r="E50" s="833"/>
      <c r="F50" s="833"/>
      <c r="G50" s="833"/>
      <c r="H50" s="833"/>
      <c r="I50" s="833"/>
      <c r="J50" s="833"/>
      <c r="K50" s="370" t="str">
        <f>IF(OR(K42="Yes",K44="Yes",K45="Yes",K46="Yes",K47="Yes",K48="Yes",K49="Yes"),"Yes","No")</f>
        <v>No</v>
      </c>
    </row>
    <row r="51" spans="2:11" ht="13.8" thickBot="1" x14ac:dyDescent="0.35">
      <c r="B51" s="834" t="s">
        <v>1061</v>
      </c>
      <c r="C51" s="834"/>
      <c r="D51" s="834"/>
      <c r="E51" s="834"/>
      <c r="F51" s="834"/>
      <c r="G51" s="834" t="s">
        <v>1062</v>
      </c>
      <c r="H51" s="834"/>
      <c r="I51" s="834"/>
      <c r="J51" s="834"/>
      <c r="K51" s="834"/>
    </row>
    <row r="52" spans="2:11" ht="27" thickBot="1" x14ac:dyDescent="0.35">
      <c r="B52" s="371" t="s">
        <v>26</v>
      </c>
      <c r="C52" s="372" t="s">
        <v>553</v>
      </c>
      <c r="D52" s="372" t="s">
        <v>19</v>
      </c>
      <c r="E52" s="372" t="s">
        <v>25</v>
      </c>
      <c r="F52" s="373" t="s">
        <v>554</v>
      </c>
      <c r="G52" s="374" t="s">
        <v>1063</v>
      </c>
      <c r="H52" s="372" t="s">
        <v>1064</v>
      </c>
      <c r="I52" s="375" t="s">
        <v>1065</v>
      </c>
      <c r="J52" s="375" t="s">
        <v>1066</v>
      </c>
      <c r="K52" s="376" t="s">
        <v>1067</v>
      </c>
    </row>
    <row r="53" spans="2:11" ht="13.8" thickBot="1" x14ac:dyDescent="0.35">
      <c r="B53" s="433" t="s">
        <v>619</v>
      </c>
      <c r="C53" s="434" t="s">
        <v>619</v>
      </c>
      <c r="D53" s="434" t="s">
        <v>621</v>
      </c>
      <c r="E53" s="434" t="s">
        <v>619</v>
      </c>
      <c r="F53" s="435" t="s">
        <v>621</v>
      </c>
      <c r="G53" s="436" t="s">
        <v>619</v>
      </c>
      <c r="H53" s="434" t="s">
        <v>621</v>
      </c>
      <c r="I53" s="434" t="s">
        <v>621</v>
      </c>
      <c r="J53" s="434" t="s">
        <v>621</v>
      </c>
      <c r="K53" s="435" t="s">
        <v>621</v>
      </c>
    </row>
    <row r="54" spans="2:11" ht="13.8" thickBot="1" x14ac:dyDescent="0.35">
      <c r="B54" s="807" t="s">
        <v>1068</v>
      </c>
      <c r="C54" s="808"/>
      <c r="D54" s="808"/>
      <c r="E54" s="808"/>
      <c r="F54" s="808"/>
      <c r="G54" s="808"/>
      <c r="H54" s="808"/>
      <c r="I54" s="808"/>
      <c r="J54" s="808"/>
      <c r="K54" s="809"/>
    </row>
    <row r="55" spans="2:11" ht="27" thickBot="1" x14ac:dyDescent="0.35">
      <c r="B55" s="369" t="s">
        <v>1124</v>
      </c>
      <c r="C55" s="827" t="s">
        <v>31</v>
      </c>
      <c r="D55" s="827"/>
      <c r="E55" s="827"/>
      <c r="F55" s="827"/>
      <c r="G55" s="827"/>
      <c r="H55" s="827"/>
      <c r="I55" s="381" t="s">
        <v>1125</v>
      </c>
      <c r="J55" s="828" t="s">
        <v>1074</v>
      </c>
      <c r="K55" s="829"/>
    </row>
    <row r="56" spans="2:11" ht="13.8" thickBot="1" x14ac:dyDescent="0.35">
      <c r="B56" s="382" t="s">
        <v>628</v>
      </c>
      <c r="C56" s="856" t="s">
        <v>626</v>
      </c>
      <c r="D56" s="856"/>
      <c r="E56" s="856"/>
      <c r="F56" s="856"/>
      <c r="G56" s="856"/>
      <c r="H56" s="856"/>
      <c r="I56" s="338" t="s">
        <v>37</v>
      </c>
      <c r="J56" s="899" t="s">
        <v>1797</v>
      </c>
      <c r="K56" s="900"/>
    </row>
    <row r="57" spans="2:11" ht="27" customHeight="1" thickBot="1" x14ac:dyDescent="0.35">
      <c r="B57" s="383" t="s">
        <v>1072</v>
      </c>
      <c r="C57" s="814" t="s">
        <v>1260</v>
      </c>
      <c r="D57" s="815"/>
      <c r="E57" s="383" t="s">
        <v>1070</v>
      </c>
      <c r="F57" s="384" t="s">
        <v>1134</v>
      </c>
      <c r="G57" s="816" t="s">
        <v>1131</v>
      </c>
      <c r="H57" s="817"/>
      <c r="I57" s="383" t="s">
        <v>1130</v>
      </c>
      <c r="J57" s="814" t="s">
        <v>1133</v>
      </c>
      <c r="K57" s="815"/>
    </row>
    <row r="58" spans="2:11" ht="13.8" thickBot="1" x14ac:dyDescent="0.35">
      <c r="B58" s="824" t="s">
        <v>1076</v>
      </c>
      <c r="C58" s="825"/>
      <c r="D58" s="825"/>
      <c r="E58" s="825"/>
      <c r="F58" s="825"/>
      <c r="G58" s="825"/>
      <c r="H58" s="825"/>
      <c r="I58" s="825"/>
      <c r="J58" s="825"/>
      <c r="K58" s="826"/>
    </row>
    <row r="59" spans="2:11" ht="13.8" thickBot="1" x14ac:dyDescent="0.35">
      <c r="B59" s="360" t="s">
        <v>628</v>
      </c>
      <c r="C59" s="830" t="s">
        <v>1713</v>
      </c>
      <c r="D59" s="816"/>
      <c r="E59" s="816"/>
      <c r="F59" s="816"/>
      <c r="G59" s="816"/>
      <c r="H59" s="816"/>
      <c r="I59" s="816"/>
      <c r="J59" s="816"/>
      <c r="K59" s="817"/>
    </row>
    <row r="60" spans="2:11" ht="13.8" thickBot="1" x14ac:dyDescent="0.35">
      <c r="B60" s="824" t="s">
        <v>1077</v>
      </c>
      <c r="C60" s="825"/>
      <c r="D60" s="825"/>
      <c r="E60" s="825"/>
      <c r="F60" s="825"/>
      <c r="G60" s="825"/>
      <c r="H60" s="825"/>
      <c r="I60" s="825"/>
      <c r="J60" s="825"/>
      <c r="K60" s="826"/>
    </row>
    <row r="61" spans="2:11" x14ac:dyDescent="0.3">
      <c r="B61" s="388" t="s">
        <v>681</v>
      </c>
      <c r="C61" s="901" t="s">
        <v>492</v>
      </c>
      <c r="D61" s="901"/>
      <c r="E61" s="901"/>
      <c r="F61" s="901"/>
      <c r="G61" s="901"/>
      <c r="H61" s="901"/>
      <c r="I61" s="901"/>
      <c r="J61" s="901"/>
      <c r="K61" s="902"/>
    </row>
    <row r="62" spans="2:11" ht="26.1" customHeight="1" thickBot="1" x14ac:dyDescent="0.35">
      <c r="B62" s="367" t="s">
        <v>713</v>
      </c>
      <c r="C62" s="883" t="s">
        <v>714</v>
      </c>
      <c r="D62" s="884"/>
      <c r="E62" s="884"/>
      <c r="F62" s="884"/>
      <c r="G62" s="884"/>
      <c r="H62" s="884"/>
      <c r="I62" s="884"/>
      <c r="J62" s="884"/>
      <c r="K62" s="885"/>
    </row>
    <row r="63" spans="2:11" ht="13.8" thickBot="1" x14ac:dyDescent="0.35">
      <c r="B63" s="824" t="s">
        <v>1139</v>
      </c>
      <c r="C63" s="825"/>
      <c r="D63" s="825"/>
      <c r="E63" s="825"/>
      <c r="F63" s="825"/>
      <c r="G63" s="825"/>
      <c r="H63" s="825"/>
      <c r="I63" s="825"/>
      <c r="J63" s="825"/>
      <c r="K63" s="826"/>
    </row>
    <row r="64" spans="2:11" ht="13.8" thickBot="1" x14ac:dyDescent="0.35">
      <c r="B64" s="360" t="s">
        <v>863</v>
      </c>
      <c r="C64" s="835" t="s">
        <v>1140</v>
      </c>
      <c r="D64" s="835"/>
      <c r="E64" s="835"/>
      <c r="F64" s="835"/>
      <c r="G64" s="835"/>
      <c r="H64" s="835"/>
      <c r="I64" s="835"/>
      <c r="J64" s="835"/>
      <c r="K64" s="836"/>
    </row>
    <row r="66" spans="2:11" ht="13.8" thickBot="1" x14ac:dyDescent="0.35"/>
    <row r="67" spans="2:11" ht="13.8" thickBot="1" x14ac:dyDescent="0.35">
      <c r="B67" s="807" t="s">
        <v>1060</v>
      </c>
      <c r="C67" s="808"/>
      <c r="D67" s="808"/>
      <c r="E67" s="808"/>
      <c r="F67" s="808"/>
      <c r="G67" s="808"/>
      <c r="H67" s="808"/>
      <c r="I67" s="808"/>
      <c r="J67" s="808"/>
      <c r="K67" s="809"/>
    </row>
    <row r="68" spans="2:11" ht="13.8" thickBot="1" x14ac:dyDescent="0.35">
      <c r="B68" s="360" t="s">
        <v>564</v>
      </c>
      <c r="C68" s="810" t="s">
        <v>872</v>
      </c>
      <c r="D68" s="810"/>
      <c r="E68" s="810"/>
      <c r="F68" s="810"/>
      <c r="G68" s="810"/>
      <c r="H68" s="810"/>
      <c r="I68" s="810"/>
      <c r="J68" s="810"/>
      <c r="K68" s="811"/>
    </row>
    <row r="69" spans="2:11" ht="13.8" thickBot="1" x14ac:dyDescent="0.35">
      <c r="B69" s="807" t="s">
        <v>1109</v>
      </c>
      <c r="C69" s="808"/>
      <c r="D69" s="808"/>
      <c r="E69" s="808"/>
      <c r="F69" s="808"/>
      <c r="G69" s="808"/>
      <c r="H69" s="808"/>
      <c r="I69" s="808"/>
      <c r="J69" s="808"/>
      <c r="K69" s="809"/>
    </row>
    <row r="70" spans="2:11" x14ac:dyDescent="0.3">
      <c r="B70" s="361" t="s">
        <v>1110</v>
      </c>
      <c r="C70" s="812" t="s">
        <v>1111</v>
      </c>
      <c r="D70" s="812"/>
      <c r="E70" s="812"/>
      <c r="F70" s="812"/>
      <c r="G70" s="812"/>
      <c r="H70" s="812"/>
      <c r="I70" s="812"/>
      <c r="J70" s="812"/>
      <c r="K70" s="362" t="s">
        <v>37</v>
      </c>
    </row>
    <row r="71" spans="2:11" x14ac:dyDescent="0.3">
      <c r="B71" s="363"/>
      <c r="C71" s="804" t="s">
        <v>1396</v>
      </c>
      <c r="D71" s="805"/>
      <c r="E71" s="805"/>
      <c r="F71" s="805"/>
      <c r="G71" s="805"/>
      <c r="H71" s="805"/>
      <c r="I71" s="805"/>
      <c r="J71" s="806"/>
      <c r="K71" s="364"/>
    </row>
    <row r="72" spans="2:11" x14ac:dyDescent="0.3">
      <c r="B72" s="365" t="s">
        <v>1112</v>
      </c>
      <c r="C72" s="813" t="s">
        <v>1118</v>
      </c>
      <c r="D72" s="813"/>
      <c r="E72" s="813"/>
      <c r="F72" s="813"/>
      <c r="G72" s="813"/>
      <c r="H72" s="813"/>
      <c r="I72" s="813"/>
      <c r="J72" s="813"/>
      <c r="K72" s="366" t="s">
        <v>35</v>
      </c>
    </row>
    <row r="73" spans="2:11" x14ac:dyDescent="0.3">
      <c r="B73" s="365" t="s">
        <v>1113</v>
      </c>
      <c r="C73" s="813" t="s">
        <v>1119</v>
      </c>
      <c r="D73" s="813"/>
      <c r="E73" s="813"/>
      <c r="F73" s="813"/>
      <c r="G73" s="813"/>
      <c r="H73" s="813"/>
      <c r="I73" s="813"/>
      <c r="J73" s="813"/>
      <c r="K73" s="366" t="s">
        <v>35</v>
      </c>
    </row>
    <row r="74" spans="2:11" x14ac:dyDescent="0.3">
      <c r="B74" s="365" t="s">
        <v>1114</v>
      </c>
      <c r="C74" s="813" t="s">
        <v>1120</v>
      </c>
      <c r="D74" s="813"/>
      <c r="E74" s="813"/>
      <c r="F74" s="813"/>
      <c r="G74" s="813"/>
      <c r="H74" s="813"/>
      <c r="I74" s="813"/>
      <c r="J74" s="813"/>
      <c r="K74" s="366" t="s">
        <v>35</v>
      </c>
    </row>
    <row r="75" spans="2:11" x14ac:dyDescent="0.3">
      <c r="B75" s="365" t="s">
        <v>1115</v>
      </c>
      <c r="C75" s="813" t="s">
        <v>1121</v>
      </c>
      <c r="D75" s="813"/>
      <c r="E75" s="813"/>
      <c r="F75" s="813"/>
      <c r="G75" s="813"/>
      <c r="H75" s="813"/>
      <c r="I75" s="813"/>
      <c r="J75" s="813"/>
      <c r="K75" s="366" t="s">
        <v>35</v>
      </c>
    </row>
    <row r="76" spans="2:11" x14ac:dyDescent="0.3">
      <c r="B76" s="365" t="s">
        <v>1116</v>
      </c>
      <c r="C76" s="813" t="s">
        <v>1272</v>
      </c>
      <c r="D76" s="813"/>
      <c r="E76" s="813"/>
      <c r="F76" s="813"/>
      <c r="G76" s="813"/>
      <c r="H76" s="813"/>
      <c r="I76" s="813"/>
      <c r="J76" s="813"/>
      <c r="K76" s="366" t="s">
        <v>35</v>
      </c>
    </row>
    <row r="77" spans="2:11" ht="13.8" thickBot="1" x14ac:dyDescent="0.35">
      <c r="B77" s="367" t="s">
        <v>1117</v>
      </c>
      <c r="C77" s="831" t="s">
        <v>1122</v>
      </c>
      <c r="D77" s="831"/>
      <c r="E77" s="831"/>
      <c r="F77" s="831"/>
      <c r="G77" s="831"/>
      <c r="H77" s="831"/>
      <c r="I77" s="831"/>
      <c r="J77" s="831"/>
      <c r="K77" s="368" t="s">
        <v>35</v>
      </c>
    </row>
    <row r="78" spans="2:11" ht="13.8" thickBot="1" x14ac:dyDescent="0.35">
      <c r="B78" s="369"/>
      <c r="C78" s="833" t="s">
        <v>1123</v>
      </c>
      <c r="D78" s="833"/>
      <c r="E78" s="833"/>
      <c r="F78" s="833"/>
      <c r="G78" s="833"/>
      <c r="H78" s="833"/>
      <c r="I78" s="833"/>
      <c r="J78" s="833"/>
      <c r="K78" s="370" t="str">
        <f>IF(OR(K70="Yes",K72="Yes",K73="Yes",K74="Yes",K75="Yes",K76="Yes",K77="Yes"),"Yes","No")</f>
        <v>Yes</v>
      </c>
    </row>
    <row r="79" spans="2:11" ht="13.8" thickBot="1" x14ac:dyDescent="0.35">
      <c r="B79" s="834" t="s">
        <v>1061</v>
      </c>
      <c r="C79" s="834"/>
      <c r="D79" s="834"/>
      <c r="E79" s="834"/>
      <c r="F79" s="834"/>
      <c r="G79" s="834" t="s">
        <v>1062</v>
      </c>
      <c r="H79" s="834"/>
      <c r="I79" s="834"/>
      <c r="J79" s="834"/>
      <c r="K79" s="834"/>
    </row>
    <row r="80" spans="2:11" ht="27" thickBot="1" x14ac:dyDescent="0.35">
      <c r="B80" s="371" t="s">
        <v>26</v>
      </c>
      <c r="C80" s="372" t="s">
        <v>553</v>
      </c>
      <c r="D80" s="372" t="s">
        <v>19</v>
      </c>
      <c r="E80" s="372" t="s">
        <v>25</v>
      </c>
      <c r="F80" s="373" t="s">
        <v>554</v>
      </c>
      <c r="G80" s="374" t="s">
        <v>1063</v>
      </c>
      <c r="H80" s="372" t="s">
        <v>1064</v>
      </c>
      <c r="I80" s="375" t="s">
        <v>1065</v>
      </c>
      <c r="J80" s="375" t="s">
        <v>1066</v>
      </c>
      <c r="K80" s="376" t="s">
        <v>1067</v>
      </c>
    </row>
    <row r="81" spans="2:11" ht="13.8" thickBot="1" x14ac:dyDescent="0.35">
      <c r="B81" s="433" t="s">
        <v>619</v>
      </c>
      <c r="C81" s="434" t="s">
        <v>619</v>
      </c>
      <c r="D81" s="434" t="s">
        <v>621</v>
      </c>
      <c r="E81" s="434" t="s">
        <v>621</v>
      </c>
      <c r="F81" s="435" t="s">
        <v>621</v>
      </c>
      <c r="G81" s="436" t="s">
        <v>619</v>
      </c>
      <c r="H81" s="434" t="s">
        <v>621</v>
      </c>
      <c r="I81" s="434" t="s">
        <v>621</v>
      </c>
      <c r="J81" s="434" t="s">
        <v>621</v>
      </c>
      <c r="K81" s="435" t="s">
        <v>621</v>
      </c>
    </row>
    <row r="82" spans="2:11" ht="13.8" thickBot="1" x14ac:dyDescent="0.35">
      <c r="B82" s="807" t="s">
        <v>1068</v>
      </c>
      <c r="C82" s="808"/>
      <c r="D82" s="808"/>
      <c r="E82" s="808"/>
      <c r="F82" s="808"/>
      <c r="G82" s="808"/>
      <c r="H82" s="808"/>
      <c r="I82" s="808"/>
      <c r="J82" s="808"/>
      <c r="K82" s="809"/>
    </row>
    <row r="83" spans="2:11" ht="27" thickBot="1" x14ac:dyDescent="0.35">
      <c r="B83" s="369" t="s">
        <v>1124</v>
      </c>
      <c r="C83" s="827" t="s">
        <v>31</v>
      </c>
      <c r="D83" s="827"/>
      <c r="E83" s="827"/>
      <c r="F83" s="827"/>
      <c r="G83" s="827"/>
      <c r="H83" s="827"/>
      <c r="I83" s="381" t="s">
        <v>1125</v>
      </c>
      <c r="J83" s="828" t="s">
        <v>1074</v>
      </c>
      <c r="K83" s="829"/>
    </row>
    <row r="84" spans="2:11" x14ac:dyDescent="0.3">
      <c r="B84" s="361" t="s">
        <v>628</v>
      </c>
      <c r="C84" s="812" t="s">
        <v>626</v>
      </c>
      <c r="D84" s="812"/>
      <c r="E84" s="812"/>
      <c r="F84" s="812"/>
      <c r="G84" s="812"/>
      <c r="H84" s="812"/>
      <c r="I84" s="385" t="s">
        <v>37</v>
      </c>
      <c r="J84" s="899" t="s">
        <v>1797</v>
      </c>
      <c r="K84" s="900"/>
    </row>
    <row r="85" spans="2:11" ht="13.8" thickBot="1" x14ac:dyDescent="0.35">
      <c r="B85" s="367" t="s">
        <v>668</v>
      </c>
      <c r="C85" s="831" t="s">
        <v>669</v>
      </c>
      <c r="D85" s="831"/>
      <c r="E85" s="831"/>
      <c r="F85" s="831"/>
      <c r="G85" s="831"/>
      <c r="H85" s="831"/>
      <c r="I85" s="386" t="s">
        <v>37</v>
      </c>
      <c r="J85" s="899" t="s">
        <v>1797</v>
      </c>
      <c r="K85" s="900"/>
    </row>
    <row r="86" spans="2:11" ht="27" customHeight="1" thickBot="1" x14ac:dyDescent="0.35">
      <c r="B86" s="383" t="s">
        <v>1072</v>
      </c>
      <c r="C86" s="814" t="s">
        <v>1260</v>
      </c>
      <c r="D86" s="815"/>
      <c r="E86" s="383" t="s">
        <v>1070</v>
      </c>
      <c r="F86" s="384" t="s">
        <v>1134</v>
      </c>
      <c r="G86" s="816" t="s">
        <v>1131</v>
      </c>
      <c r="H86" s="817"/>
      <c r="I86" s="383" t="s">
        <v>1130</v>
      </c>
      <c r="J86" s="814" t="s">
        <v>1133</v>
      </c>
      <c r="K86" s="815"/>
    </row>
    <row r="87" spans="2:11" ht="13.8" thickBot="1" x14ac:dyDescent="0.35">
      <c r="B87" s="824" t="s">
        <v>1076</v>
      </c>
      <c r="C87" s="825"/>
      <c r="D87" s="825"/>
      <c r="E87" s="825"/>
      <c r="F87" s="825"/>
      <c r="G87" s="825"/>
      <c r="H87" s="825"/>
      <c r="I87" s="825"/>
      <c r="J87" s="825"/>
      <c r="K87" s="826"/>
    </row>
    <row r="88" spans="2:11" x14ac:dyDescent="0.3">
      <c r="B88" s="361" t="s">
        <v>628</v>
      </c>
      <c r="C88" s="863" t="s">
        <v>1713</v>
      </c>
      <c r="D88" s="864"/>
      <c r="E88" s="864"/>
      <c r="F88" s="864"/>
      <c r="G88" s="864"/>
      <c r="H88" s="864"/>
      <c r="I88" s="864"/>
      <c r="J88" s="864"/>
      <c r="K88" s="865"/>
    </row>
    <row r="89" spans="2:11" ht="30" customHeight="1" thickBot="1" x14ac:dyDescent="0.35">
      <c r="B89" s="367" t="s">
        <v>668</v>
      </c>
      <c r="C89" s="883" t="s">
        <v>1798</v>
      </c>
      <c r="D89" s="884"/>
      <c r="E89" s="884"/>
      <c r="F89" s="884"/>
      <c r="G89" s="884"/>
      <c r="H89" s="884"/>
      <c r="I89" s="884"/>
      <c r="J89" s="884"/>
      <c r="K89" s="885"/>
    </row>
    <row r="90" spans="2:11" ht="13.8" thickBot="1" x14ac:dyDescent="0.35">
      <c r="B90" s="824" t="s">
        <v>1077</v>
      </c>
      <c r="C90" s="825"/>
      <c r="D90" s="825"/>
      <c r="E90" s="825"/>
      <c r="F90" s="825"/>
      <c r="G90" s="825"/>
      <c r="H90" s="825"/>
      <c r="I90" s="825"/>
      <c r="J90" s="825"/>
      <c r="K90" s="826"/>
    </row>
    <row r="91" spans="2:11" x14ac:dyDescent="0.3">
      <c r="B91" s="388" t="s">
        <v>681</v>
      </c>
      <c r="C91" s="901" t="s">
        <v>492</v>
      </c>
      <c r="D91" s="901"/>
      <c r="E91" s="901"/>
      <c r="F91" s="901"/>
      <c r="G91" s="901"/>
      <c r="H91" s="901"/>
      <c r="I91" s="901"/>
      <c r="J91" s="901"/>
      <c r="K91" s="902"/>
    </row>
    <row r="92" spans="2:11" ht="26.1" customHeight="1" thickBot="1" x14ac:dyDescent="0.35">
      <c r="B92" s="367" t="s">
        <v>713</v>
      </c>
      <c r="C92" s="883" t="s">
        <v>714</v>
      </c>
      <c r="D92" s="884"/>
      <c r="E92" s="884"/>
      <c r="F92" s="884"/>
      <c r="G92" s="884"/>
      <c r="H92" s="884"/>
      <c r="I92" s="884"/>
      <c r="J92" s="884"/>
      <c r="K92" s="885"/>
    </row>
    <row r="93" spans="2:11" ht="13.8" thickBot="1" x14ac:dyDescent="0.35">
      <c r="B93" s="824" t="s">
        <v>1139</v>
      </c>
      <c r="C93" s="825"/>
      <c r="D93" s="825"/>
      <c r="E93" s="825"/>
      <c r="F93" s="825"/>
      <c r="G93" s="825"/>
      <c r="H93" s="825"/>
      <c r="I93" s="825"/>
      <c r="J93" s="825"/>
      <c r="K93" s="826"/>
    </row>
    <row r="94" spans="2:11" ht="13.8" thickBot="1" x14ac:dyDescent="0.35">
      <c r="B94" s="360" t="s">
        <v>684</v>
      </c>
      <c r="C94" s="835" t="s">
        <v>1192</v>
      </c>
      <c r="D94" s="835"/>
      <c r="E94" s="835"/>
      <c r="F94" s="835"/>
      <c r="G94" s="835"/>
      <c r="H94" s="835"/>
      <c r="I94" s="835"/>
      <c r="J94" s="835"/>
      <c r="K94" s="836"/>
    </row>
    <row r="97" spans="1:11" ht="13.8" thickBot="1" x14ac:dyDescent="0.35">
      <c r="A97" s="358" t="s">
        <v>1095</v>
      </c>
      <c r="B97" s="353" t="s">
        <v>1424</v>
      </c>
    </row>
    <row r="98" spans="1:11" ht="13.8" thickBot="1" x14ac:dyDescent="0.35">
      <c r="B98" s="807" t="s">
        <v>1060</v>
      </c>
      <c r="C98" s="808"/>
      <c r="D98" s="808"/>
      <c r="E98" s="808"/>
      <c r="F98" s="808"/>
      <c r="G98" s="808"/>
      <c r="H98" s="808"/>
      <c r="I98" s="808"/>
      <c r="J98" s="808"/>
      <c r="K98" s="809"/>
    </row>
    <row r="99" spans="1:11" ht="13.8" thickBot="1" x14ac:dyDescent="0.35">
      <c r="B99" s="360" t="s">
        <v>565</v>
      </c>
      <c r="C99" s="810" t="s">
        <v>1183</v>
      </c>
      <c r="D99" s="810"/>
      <c r="E99" s="810"/>
      <c r="F99" s="810"/>
      <c r="G99" s="810"/>
      <c r="H99" s="810"/>
      <c r="I99" s="810"/>
      <c r="J99" s="810"/>
      <c r="K99" s="811"/>
    </row>
    <row r="100" spans="1:11" ht="13.8" thickBot="1" x14ac:dyDescent="0.35">
      <c r="B100" s="807" t="s">
        <v>1109</v>
      </c>
      <c r="C100" s="808"/>
      <c r="D100" s="808"/>
      <c r="E100" s="808"/>
      <c r="F100" s="808"/>
      <c r="G100" s="808"/>
      <c r="H100" s="808"/>
      <c r="I100" s="808"/>
      <c r="J100" s="808"/>
      <c r="K100" s="809"/>
    </row>
    <row r="101" spans="1:11" x14ac:dyDescent="0.3">
      <c r="B101" s="361" t="s">
        <v>1110</v>
      </c>
      <c r="C101" s="812" t="s">
        <v>1111</v>
      </c>
      <c r="D101" s="812"/>
      <c r="E101" s="812"/>
      <c r="F101" s="812"/>
      <c r="G101" s="812"/>
      <c r="H101" s="812"/>
      <c r="I101" s="812"/>
      <c r="J101" s="812"/>
      <c r="K101" s="362" t="s">
        <v>35</v>
      </c>
    </row>
    <row r="102" spans="1:11" x14ac:dyDescent="0.3">
      <c r="B102" s="363"/>
      <c r="C102" s="804" t="s">
        <v>1206</v>
      </c>
      <c r="D102" s="805"/>
      <c r="E102" s="805"/>
      <c r="F102" s="805"/>
      <c r="G102" s="805"/>
      <c r="H102" s="805"/>
      <c r="I102" s="805"/>
      <c r="J102" s="806"/>
      <c r="K102" s="364"/>
    </row>
    <row r="103" spans="1:11" x14ac:dyDescent="0.3">
      <c r="B103" s="365" t="s">
        <v>1112</v>
      </c>
      <c r="C103" s="813" t="s">
        <v>1118</v>
      </c>
      <c r="D103" s="813"/>
      <c r="E103" s="813"/>
      <c r="F103" s="813"/>
      <c r="G103" s="813"/>
      <c r="H103" s="813"/>
      <c r="I103" s="813"/>
      <c r="J103" s="813"/>
      <c r="K103" s="366" t="s">
        <v>35</v>
      </c>
    </row>
    <row r="104" spans="1:11" x14ac:dyDescent="0.3">
      <c r="B104" s="365" t="s">
        <v>1113</v>
      </c>
      <c r="C104" s="813" t="s">
        <v>1119</v>
      </c>
      <c r="D104" s="813"/>
      <c r="E104" s="813"/>
      <c r="F104" s="813"/>
      <c r="G104" s="813"/>
      <c r="H104" s="813"/>
      <c r="I104" s="813"/>
      <c r="J104" s="813"/>
      <c r="K104" s="366" t="s">
        <v>35</v>
      </c>
    </row>
    <row r="105" spans="1:11" x14ac:dyDescent="0.3">
      <c r="B105" s="365" t="s">
        <v>1114</v>
      </c>
      <c r="C105" s="813" t="s">
        <v>1120</v>
      </c>
      <c r="D105" s="813"/>
      <c r="E105" s="813"/>
      <c r="F105" s="813"/>
      <c r="G105" s="813"/>
      <c r="H105" s="813"/>
      <c r="I105" s="813"/>
      <c r="J105" s="813"/>
      <c r="K105" s="366" t="s">
        <v>35</v>
      </c>
    </row>
    <row r="106" spans="1:11" x14ac:dyDescent="0.3">
      <c r="B106" s="365" t="s">
        <v>1115</v>
      </c>
      <c r="C106" s="813" t="s">
        <v>1121</v>
      </c>
      <c r="D106" s="813"/>
      <c r="E106" s="813"/>
      <c r="F106" s="813"/>
      <c r="G106" s="813"/>
      <c r="H106" s="813"/>
      <c r="I106" s="813"/>
      <c r="J106" s="813"/>
      <c r="K106" s="366" t="s">
        <v>35</v>
      </c>
    </row>
    <row r="107" spans="1:11" x14ac:dyDescent="0.3">
      <c r="B107" s="365" t="s">
        <v>1116</v>
      </c>
      <c r="C107" s="813" t="s">
        <v>1272</v>
      </c>
      <c r="D107" s="813"/>
      <c r="E107" s="813"/>
      <c r="F107" s="813"/>
      <c r="G107" s="813"/>
      <c r="H107" s="813"/>
      <c r="I107" s="813"/>
      <c r="J107" s="813"/>
      <c r="K107" s="366" t="s">
        <v>35</v>
      </c>
    </row>
    <row r="108" spans="1:11" ht="13.8" thickBot="1" x14ac:dyDescent="0.35">
      <c r="B108" s="367" t="s">
        <v>1117</v>
      </c>
      <c r="C108" s="831" t="s">
        <v>1122</v>
      </c>
      <c r="D108" s="831"/>
      <c r="E108" s="831"/>
      <c r="F108" s="831"/>
      <c r="G108" s="831"/>
      <c r="H108" s="831"/>
      <c r="I108" s="831"/>
      <c r="J108" s="831"/>
      <c r="K108" s="368" t="s">
        <v>35</v>
      </c>
    </row>
    <row r="109" spans="1:11" ht="13.8" thickBot="1" x14ac:dyDescent="0.35">
      <c r="B109" s="369"/>
      <c r="C109" s="833" t="s">
        <v>1123</v>
      </c>
      <c r="D109" s="833"/>
      <c r="E109" s="833"/>
      <c r="F109" s="833"/>
      <c r="G109" s="833"/>
      <c r="H109" s="833"/>
      <c r="I109" s="833"/>
      <c r="J109" s="833"/>
      <c r="K109" s="370" t="str">
        <f>IF(OR(K101="Yes",K103="Yes",K104="Yes",K105="Yes",K106="Yes",K107="Yes",K108="Yes"),"Yes","No")</f>
        <v>No</v>
      </c>
    </row>
    <row r="110" spans="1:11" ht="13.8" thickBot="1" x14ac:dyDescent="0.35">
      <c r="B110" s="834" t="s">
        <v>1061</v>
      </c>
      <c r="C110" s="834"/>
      <c r="D110" s="834"/>
      <c r="E110" s="834"/>
      <c r="F110" s="834"/>
      <c r="G110" s="834" t="s">
        <v>1062</v>
      </c>
      <c r="H110" s="834"/>
      <c r="I110" s="834"/>
      <c r="J110" s="834"/>
      <c r="K110" s="834"/>
    </row>
    <row r="111" spans="1:11" ht="27" thickBot="1" x14ac:dyDescent="0.35">
      <c r="B111" s="371" t="s">
        <v>26</v>
      </c>
      <c r="C111" s="372" t="s">
        <v>553</v>
      </c>
      <c r="D111" s="372" t="s">
        <v>19</v>
      </c>
      <c r="E111" s="372" t="s">
        <v>25</v>
      </c>
      <c r="F111" s="373" t="s">
        <v>554</v>
      </c>
      <c r="G111" s="374" t="s">
        <v>1063</v>
      </c>
      <c r="H111" s="372" t="s">
        <v>1064</v>
      </c>
      <c r="I111" s="375" t="s">
        <v>1065</v>
      </c>
      <c r="J111" s="375" t="s">
        <v>1066</v>
      </c>
      <c r="K111" s="376" t="s">
        <v>1067</v>
      </c>
    </row>
    <row r="112" spans="1:11" ht="13.8" thickBot="1" x14ac:dyDescent="0.35">
      <c r="B112" s="433" t="s">
        <v>619</v>
      </c>
      <c r="C112" s="434" t="s">
        <v>619</v>
      </c>
      <c r="D112" s="434" t="s">
        <v>619</v>
      </c>
      <c r="E112" s="434" t="s">
        <v>619</v>
      </c>
      <c r="F112" s="435" t="s">
        <v>621</v>
      </c>
      <c r="G112" s="436" t="s">
        <v>619</v>
      </c>
      <c r="H112" s="434" t="s">
        <v>621</v>
      </c>
      <c r="I112" s="434" t="s">
        <v>621</v>
      </c>
      <c r="J112" s="434" t="s">
        <v>621</v>
      </c>
      <c r="K112" s="435" t="s">
        <v>621</v>
      </c>
    </row>
    <row r="113" spans="2:11" ht="13.8" thickBot="1" x14ac:dyDescent="0.35">
      <c r="B113" s="807" t="s">
        <v>1068</v>
      </c>
      <c r="C113" s="808"/>
      <c r="D113" s="808"/>
      <c r="E113" s="808"/>
      <c r="F113" s="808"/>
      <c r="G113" s="808"/>
      <c r="H113" s="808"/>
      <c r="I113" s="808"/>
      <c r="J113" s="808"/>
      <c r="K113" s="809"/>
    </row>
    <row r="114" spans="2:11" ht="27" thickBot="1" x14ac:dyDescent="0.35">
      <c r="B114" s="369" t="s">
        <v>1124</v>
      </c>
      <c r="C114" s="827" t="s">
        <v>31</v>
      </c>
      <c r="D114" s="827"/>
      <c r="E114" s="827"/>
      <c r="F114" s="827"/>
      <c r="G114" s="827"/>
      <c r="H114" s="827"/>
      <c r="I114" s="381" t="s">
        <v>1125</v>
      </c>
      <c r="J114" s="828" t="s">
        <v>1074</v>
      </c>
      <c r="K114" s="829"/>
    </row>
    <row r="115" spans="2:11" ht="26.1" customHeight="1" thickBot="1" x14ac:dyDescent="0.35">
      <c r="B115" s="382" t="s">
        <v>629</v>
      </c>
      <c r="C115" s="863" t="s">
        <v>1840</v>
      </c>
      <c r="D115" s="864"/>
      <c r="E115" s="864"/>
      <c r="F115" s="864"/>
      <c r="G115" s="864"/>
      <c r="H115" s="898"/>
      <c r="I115" s="385" t="s">
        <v>37</v>
      </c>
      <c r="J115" s="575" t="s">
        <v>1797</v>
      </c>
      <c r="K115" s="576"/>
    </row>
    <row r="116" spans="2:11" ht="26.1" customHeight="1" thickBot="1" x14ac:dyDescent="0.35">
      <c r="B116" s="423" t="s">
        <v>630</v>
      </c>
      <c r="C116" s="767" t="s">
        <v>627</v>
      </c>
      <c r="D116" s="767"/>
      <c r="E116" s="767"/>
      <c r="F116" s="767"/>
      <c r="G116" s="767"/>
      <c r="H116" s="767"/>
      <c r="I116" s="422" t="s">
        <v>37</v>
      </c>
      <c r="J116" s="575" t="s">
        <v>1797</v>
      </c>
      <c r="K116" s="576"/>
    </row>
    <row r="117" spans="2:11" ht="13.8" thickBot="1" x14ac:dyDescent="0.35">
      <c r="B117" s="367" t="s">
        <v>1338</v>
      </c>
      <c r="C117" s="831" t="s">
        <v>1339</v>
      </c>
      <c r="D117" s="831"/>
      <c r="E117" s="831"/>
      <c r="F117" s="831"/>
      <c r="G117" s="831"/>
      <c r="H117" s="831"/>
      <c r="I117" s="386" t="s">
        <v>37</v>
      </c>
      <c r="J117" s="575" t="s">
        <v>1797</v>
      </c>
      <c r="K117" s="576"/>
    </row>
    <row r="118" spans="2:11" ht="27" customHeight="1" thickBot="1" x14ac:dyDescent="0.35">
      <c r="B118" s="383" t="s">
        <v>1072</v>
      </c>
      <c r="C118" s="814" t="s">
        <v>1260</v>
      </c>
      <c r="D118" s="815"/>
      <c r="E118" s="383" t="s">
        <v>1070</v>
      </c>
      <c r="F118" s="384" t="s">
        <v>1134</v>
      </c>
      <c r="G118" s="816" t="s">
        <v>1131</v>
      </c>
      <c r="H118" s="817"/>
      <c r="I118" s="383" t="s">
        <v>1130</v>
      </c>
      <c r="J118" s="814" t="s">
        <v>1133</v>
      </c>
      <c r="K118" s="815"/>
    </row>
    <row r="119" spans="2:11" ht="13.8" thickBot="1" x14ac:dyDescent="0.35">
      <c r="B119" s="850" t="s">
        <v>1076</v>
      </c>
      <c r="C119" s="851"/>
      <c r="D119" s="851"/>
      <c r="E119" s="851"/>
      <c r="F119" s="851"/>
      <c r="G119" s="851"/>
      <c r="H119" s="851"/>
      <c r="I119" s="851"/>
      <c r="J119" s="851"/>
      <c r="K119" s="852"/>
    </row>
    <row r="120" spans="2:11" ht="32.4" customHeight="1" thickBot="1" x14ac:dyDescent="0.35">
      <c r="B120" s="361" t="s">
        <v>629</v>
      </c>
      <c r="C120" s="830" t="s">
        <v>1840</v>
      </c>
      <c r="D120" s="816"/>
      <c r="E120" s="816"/>
      <c r="F120" s="816"/>
      <c r="G120" s="816"/>
      <c r="H120" s="816"/>
      <c r="I120" s="816"/>
      <c r="J120" s="816"/>
      <c r="K120" s="817"/>
    </row>
    <row r="121" spans="2:11" ht="13.8" thickBot="1" x14ac:dyDescent="0.35">
      <c r="B121" s="365" t="s">
        <v>630</v>
      </c>
      <c r="C121" s="830" t="s">
        <v>1714</v>
      </c>
      <c r="D121" s="816"/>
      <c r="E121" s="816"/>
      <c r="F121" s="816"/>
      <c r="G121" s="816"/>
      <c r="H121" s="816"/>
      <c r="I121" s="816"/>
      <c r="J121" s="816"/>
      <c r="K121" s="817"/>
    </row>
    <row r="122" spans="2:11" ht="30" customHeight="1" thickBot="1" x14ac:dyDescent="0.35">
      <c r="B122" s="367" t="s">
        <v>1338</v>
      </c>
      <c r="C122" s="830" t="s">
        <v>1799</v>
      </c>
      <c r="D122" s="816"/>
      <c r="E122" s="816"/>
      <c r="F122" s="816"/>
      <c r="G122" s="816"/>
      <c r="H122" s="816"/>
      <c r="I122" s="816"/>
      <c r="J122" s="816"/>
      <c r="K122" s="817"/>
    </row>
    <row r="123" spans="2:11" ht="13.8" thickBot="1" x14ac:dyDescent="0.35">
      <c r="B123" s="895" t="s">
        <v>1077</v>
      </c>
      <c r="C123" s="896"/>
      <c r="D123" s="896"/>
      <c r="E123" s="896"/>
      <c r="F123" s="896"/>
      <c r="G123" s="896"/>
      <c r="H123" s="896"/>
      <c r="I123" s="896"/>
      <c r="J123" s="896"/>
      <c r="K123" s="897"/>
    </row>
    <row r="124" spans="2:11" ht="26.1" customHeight="1" x14ac:dyDescent="0.3">
      <c r="B124" s="361" t="s">
        <v>682</v>
      </c>
      <c r="C124" s="812" t="s">
        <v>1340</v>
      </c>
      <c r="D124" s="812"/>
      <c r="E124" s="812"/>
      <c r="F124" s="812"/>
      <c r="G124" s="812"/>
      <c r="H124" s="812"/>
      <c r="I124" s="812"/>
      <c r="J124" s="812"/>
      <c r="K124" s="853"/>
    </row>
    <row r="125" spans="2:11" ht="13.8" thickBot="1" x14ac:dyDescent="0.35">
      <c r="B125" s="367" t="s">
        <v>683</v>
      </c>
      <c r="C125" s="831" t="s">
        <v>494</v>
      </c>
      <c r="D125" s="831"/>
      <c r="E125" s="831"/>
      <c r="F125" s="831"/>
      <c r="G125" s="831"/>
      <c r="H125" s="831"/>
      <c r="I125" s="831"/>
      <c r="J125" s="831"/>
      <c r="K125" s="832"/>
    </row>
    <row r="126" spans="2:11" ht="13.8" thickBot="1" x14ac:dyDescent="0.35">
      <c r="B126" s="872" t="s">
        <v>1139</v>
      </c>
      <c r="C126" s="873"/>
      <c r="D126" s="873"/>
      <c r="E126" s="873"/>
      <c r="F126" s="873"/>
      <c r="G126" s="873"/>
      <c r="H126" s="873"/>
      <c r="I126" s="873"/>
      <c r="J126" s="873"/>
      <c r="K126" s="874"/>
    </row>
    <row r="127" spans="2:11" ht="13.8" thickBot="1" x14ac:dyDescent="0.35">
      <c r="B127" s="360" t="s">
        <v>863</v>
      </c>
      <c r="C127" s="835" t="s">
        <v>863</v>
      </c>
      <c r="D127" s="835"/>
      <c r="E127" s="835"/>
      <c r="F127" s="835"/>
      <c r="G127" s="835"/>
      <c r="H127" s="835"/>
      <c r="I127" s="835"/>
      <c r="J127" s="835"/>
      <c r="K127" s="836"/>
    </row>
    <row r="129" spans="2:11" ht="13.8" thickBot="1" x14ac:dyDescent="0.35"/>
    <row r="130" spans="2:11" ht="13.8" thickBot="1" x14ac:dyDescent="0.35">
      <c r="B130" s="807" t="s">
        <v>1060</v>
      </c>
      <c r="C130" s="808"/>
      <c r="D130" s="808"/>
      <c r="E130" s="808"/>
      <c r="F130" s="808"/>
      <c r="G130" s="808"/>
      <c r="H130" s="808"/>
      <c r="I130" s="808"/>
      <c r="J130" s="808"/>
      <c r="K130" s="809"/>
    </row>
    <row r="131" spans="2:11" ht="13.8" thickBot="1" x14ac:dyDescent="0.35">
      <c r="B131" s="360" t="s">
        <v>566</v>
      </c>
      <c r="C131" s="810" t="s">
        <v>1182</v>
      </c>
      <c r="D131" s="810"/>
      <c r="E131" s="810"/>
      <c r="F131" s="810"/>
      <c r="G131" s="810"/>
      <c r="H131" s="810"/>
      <c r="I131" s="810"/>
      <c r="J131" s="810"/>
      <c r="K131" s="811"/>
    </row>
    <row r="132" spans="2:11" ht="13.8" thickBot="1" x14ac:dyDescent="0.35">
      <c r="B132" s="807" t="s">
        <v>1109</v>
      </c>
      <c r="C132" s="808"/>
      <c r="D132" s="808"/>
      <c r="E132" s="808"/>
      <c r="F132" s="808"/>
      <c r="G132" s="808"/>
      <c r="H132" s="808"/>
      <c r="I132" s="808"/>
      <c r="J132" s="808"/>
      <c r="K132" s="809"/>
    </row>
    <row r="133" spans="2:11" x14ac:dyDescent="0.3">
      <c r="B133" s="361" t="s">
        <v>1110</v>
      </c>
      <c r="C133" s="812" t="s">
        <v>1111</v>
      </c>
      <c r="D133" s="812"/>
      <c r="E133" s="812"/>
      <c r="F133" s="812"/>
      <c r="G133" s="812"/>
      <c r="H133" s="812"/>
      <c r="I133" s="812"/>
      <c r="J133" s="812"/>
      <c r="K133" s="362" t="s">
        <v>35</v>
      </c>
    </row>
    <row r="134" spans="2:11" x14ac:dyDescent="0.3">
      <c r="B134" s="363"/>
      <c r="C134" s="804" t="s">
        <v>1206</v>
      </c>
      <c r="D134" s="805"/>
      <c r="E134" s="805"/>
      <c r="F134" s="805"/>
      <c r="G134" s="805"/>
      <c r="H134" s="805"/>
      <c r="I134" s="805"/>
      <c r="J134" s="806"/>
      <c r="K134" s="364"/>
    </row>
    <row r="135" spans="2:11" x14ac:dyDescent="0.3">
      <c r="B135" s="365" t="s">
        <v>1112</v>
      </c>
      <c r="C135" s="813" t="s">
        <v>1118</v>
      </c>
      <c r="D135" s="813"/>
      <c r="E135" s="813"/>
      <c r="F135" s="813"/>
      <c r="G135" s="813"/>
      <c r="H135" s="813"/>
      <c r="I135" s="813"/>
      <c r="J135" s="813"/>
      <c r="K135" s="366" t="s">
        <v>35</v>
      </c>
    </row>
    <row r="136" spans="2:11" x14ac:dyDescent="0.3">
      <c r="B136" s="365" t="s">
        <v>1113</v>
      </c>
      <c r="C136" s="813" t="s">
        <v>1119</v>
      </c>
      <c r="D136" s="813"/>
      <c r="E136" s="813"/>
      <c r="F136" s="813"/>
      <c r="G136" s="813"/>
      <c r="H136" s="813"/>
      <c r="I136" s="813"/>
      <c r="J136" s="813"/>
      <c r="K136" s="366" t="s">
        <v>35</v>
      </c>
    </row>
    <row r="137" spans="2:11" x14ac:dyDescent="0.3">
      <c r="B137" s="365" t="s">
        <v>1114</v>
      </c>
      <c r="C137" s="813" t="s">
        <v>1120</v>
      </c>
      <c r="D137" s="813"/>
      <c r="E137" s="813"/>
      <c r="F137" s="813"/>
      <c r="G137" s="813"/>
      <c r="H137" s="813"/>
      <c r="I137" s="813"/>
      <c r="J137" s="813"/>
      <c r="K137" s="366" t="s">
        <v>35</v>
      </c>
    </row>
    <row r="138" spans="2:11" x14ac:dyDescent="0.3">
      <c r="B138" s="365" t="s">
        <v>1115</v>
      </c>
      <c r="C138" s="813" t="s">
        <v>1121</v>
      </c>
      <c r="D138" s="813"/>
      <c r="E138" s="813"/>
      <c r="F138" s="813"/>
      <c r="G138" s="813"/>
      <c r="H138" s="813"/>
      <c r="I138" s="813"/>
      <c r="J138" s="813"/>
      <c r="K138" s="366" t="s">
        <v>35</v>
      </c>
    </row>
    <row r="139" spans="2:11" x14ac:dyDescent="0.3">
      <c r="B139" s="365" t="s">
        <v>1116</v>
      </c>
      <c r="C139" s="813" t="s">
        <v>1272</v>
      </c>
      <c r="D139" s="813"/>
      <c r="E139" s="813"/>
      <c r="F139" s="813"/>
      <c r="G139" s="813"/>
      <c r="H139" s="813"/>
      <c r="I139" s="813"/>
      <c r="J139" s="813"/>
      <c r="K139" s="366" t="s">
        <v>35</v>
      </c>
    </row>
    <row r="140" spans="2:11" ht="13.8" thickBot="1" x14ac:dyDescent="0.35">
      <c r="B140" s="367" t="s">
        <v>1117</v>
      </c>
      <c r="C140" s="831" t="s">
        <v>1122</v>
      </c>
      <c r="D140" s="831"/>
      <c r="E140" s="831"/>
      <c r="F140" s="831"/>
      <c r="G140" s="831"/>
      <c r="H140" s="831"/>
      <c r="I140" s="831"/>
      <c r="J140" s="831"/>
      <c r="K140" s="368" t="s">
        <v>35</v>
      </c>
    </row>
    <row r="141" spans="2:11" ht="13.8" thickBot="1" x14ac:dyDescent="0.35">
      <c r="B141" s="369"/>
      <c r="C141" s="833" t="s">
        <v>1123</v>
      </c>
      <c r="D141" s="833"/>
      <c r="E141" s="833"/>
      <c r="F141" s="833"/>
      <c r="G141" s="833"/>
      <c r="H141" s="833"/>
      <c r="I141" s="833"/>
      <c r="J141" s="833"/>
      <c r="K141" s="370" t="str">
        <f>IF(OR(K133="Yes",K135="Yes",K136="Yes",K137="Yes",K138="Yes",K139="Yes",K140="Yes"),"Yes","No")</f>
        <v>No</v>
      </c>
    </row>
    <row r="142" spans="2:11" ht="13.8" thickBot="1" x14ac:dyDescent="0.35">
      <c r="B142" s="834" t="s">
        <v>1061</v>
      </c>
      <c r="C142" s="834"/>
      <c r="D142" s="834"/>
      <c r="E142" s="834"/>
      <c r="F142" s="834"/>
      <c r="G142" s="834" t="s">
        <v>1062</v>
      </c>
      <c r="H142" s="834"/>
      <c r="I142" s="834"/>
      <c r="J142" s="834"/>
      <c r="K142" s="834"/>
    </row>
    <row r="143" spans="2:11" ht="27" thickBot="1" x14ac:dyDescent="0.35">
      <c r="B143" s="371" t="s">
        <v>26</v>
      </c>
      <c r="C143" s="372" t="s">
        <v>553</v>
      </c>
      <c r="D143" s="372" t="s">
        <v>19</v>
      </c>
      <c r="E143" s="372" t="s">
        <v>25</v>
      </c>
      <c r="F143" s="373" t="s">
        <v>554</v>
      </c>
      <c r="G143" s="374" t="s">
        <v>1063</v>
      </c>
      <c r="H143" s="372" t="s">
        <v>1064</v>
      </c>
      <c r="I143" s="375" t="s">
        <v>1065</v>
      </c>
      <c r="J143" s="375" t="s">
        <v>1066</v>
      </c>
      <c r="K143" s="376" t="s">
        <v>1067</v>
      </c>
    </row>
    <row r="144" spans="2:11" ht="13.8" thickBot="1" x14ac:dyDescent="0.35">
      <c r="B144" s="433" t="s">
        <v>619</v>
      </c>
      <c r="C144" s="434" t="s">
        <v>619</v>
      </c>
      <c r="D144" s="434" t="s">
        <v>619</v>
      </c>
      <c r="E144" s="434" t="s">
        <v>619</v>
      </c>
      <c r="F144" s="435" t="s">
        <v>621</v>
      </c>
      <c r="G144" s="436" t="s">
        <v>619</v>
      </c>
      <c r="H144" s="434" t="s">
        <v>621</v>
      </c>
      <c r="I144" s="434" t="s">
        <v>621</v>
      </c>
      <c r="J144" s="434" t="s">
        <v>621</v>
      </c>
      <c r="K144" s="435" t="s">
        <v>621</v>
      </c>
    </row>
    <row r="145" spans="2:11" ht="13.8" thickBot="1" x14ac:dyDescent="0.35">
      <c r="B145" s="807" t="s">
        <v>1068</v>
      </c>
      <c r="C145" s="808"/>
      <c r="D145" s="808"/>
      <c r="E145" s="808"/>
      <c r="F145" s="808"/>
      <c r="G145" s="808"/>
      <c r="H145" s="808"/>
      <c r="I145" s="808"/>
      <c r="J145" s="808"/>
      <c r="K145" s="809"/>
    </row>
    <row r="146" spans="2:11" ht="27" thickBot="1" x14ac:dyDescent="0.35">
      <c r="B146" s="437" t="s">
        <v>1124</v>
      </c>
      <c r="C146" s="867" t="s">
        <v>31</v>
      </c>
      <c r="D146" s="867"/>
      <c r="E146" s="867"/>
      <c r="F146" s="867"/>
      <c r="G146" s="867"/>
      <c r="H146" s="867"/>
      <c r="I146" s="438" t="s">
        <v>1125</v>
      </c>
      <c r="J146" s="868" t="s">
        <v>1074</v>
      </c>
      <c r="K146" s="869"/>
    </row>
    <row r="147" spans="2:11" ht="26.1" customHeight="1" thickBot="1" x14ac:dyDescent="0.35">
      <c r="B147" s="361" t="s">
        <v>629</v>
      </c>
      <c r="C147" s="812" t="s">
        <v>665</v>
      </c>
      <c r="D147" s="812"/>
      <c r="E147" s="812"/>
      <c r="F147" s="812"/>
      <c r="G147" s="812"/>
      <c r="H147" s="812"/>
      <c r="I147" s="385" t="s">
        <v>37</v>
      </c>
      <c r="J147" s="812" t="s">
        <v>1797</v>
      </c>
      <c r="K147" s="853"/>
    </row>
    <row r="148" spans="2:11" ht="26.1" customHeight="1" thickBot="1" x14ac:dyDescent="0.35">
      <c r="B148" s="365" t="s">
        <v>630</v>
      </c>
      <c r="C148" s="813" t="s">
        <v>627</v>
      </c>
      <c r="D148" s="813"/>
      <c r="E148" s="813"/>
      <c r="F148" s="813"/>
      <c r="G148" s="813"/>
      <c r="H148" s="813"/>
      <c r="I148" s="422" t="s">
        <v>37</v>
      </c>
      <c r="J148" s="812" t="s">
        <v>1797</v>
      </c>
      <c r="K148" s="853"/>
    </row>
    <row r="149" spans="2:11" ht="13.8" thickBot="1" x14ac:dyDescent="0.35">
      <c r="B149" s="367" t="s">
        <v>1338</v>
      </c>
      <c r="C149" s="831" t="s">
        <v>1339</v>
      </c>
      <c r="D149" s="831"/>
      <c r="E149" s="831"/>
      <c r="F149" s="831"/>
      <c r="G149" s="831"/>
      <c r="H149" s="831"/>
      <c r="I149" s="386" t="s">
        <v>37</v>
      </c>
      <c r="J149" s="812" t="s">
        <v>1797</v>
      </c>
      <c r="K149" s="853"/>
    </row>
    <row r="150" spans="2:11" ht="27" customHeight="1" thickBot="1" x14ac:dyDescent="0.35">
      <c r="B150" s="383" t="s">
        <v>1072</v>
      </c>
      <c r="C150" s="814" t="s">
        <v>1260</v>
      </c>
      <c r="D150" s="815"/>
      <c r="E150" s="383" t="s">
        <v>1070</v>
      </c>
      <c r="F150" s="384" t="s">
        <v>1134</v>
      </c>
      <c r="G150" s="816" t="s">
        <v>1131</v>
      </c>
      <c r="H150" s="817"/>
      <c r="I150" s="439" t="s">
        <v>1130</v>
      </c>
      <c r="J150" s="870" t="s">
        <v>1133</v>
      </c>
      <c r="K150" s="871"/>
    </row>
    <row r="151" spans="2:11" ht="13.8" thickBot="1" x14ac:dyDescent="0.35">
      <c r="B151" s="850" t="s">
        <v>1076</v>
      </c>
      <c r="C151" s="851"/>
      <c r="D151" s="851"/>
      <c r="E151" s="851"/>
      <c r="F151" s="851"/>
      <c r="G151" s="851"/>
      <c r="H151" s="851"/>
      <c r="I151" s="851"/>
      <c r="J151" s="851"/>
      <c r="K151" s="852"/>
    </row>
    <row r="152" spans="2:11" ht="13.8" customHeight="1" thickBot="1" x14ac:dyDescent="0.35">
      <c r="B152" s="361" t="s">
        <v>629</v>
      </c>
      <c r="C152" s="830" t="s">
        <v>1840</v>
      </c>
      <c r="D152" s="816"/>
      <c r="E152" s="816"/>
      <c r="F152" s="816"/>
      <c r="G152" s="816"/>
      <c r="H152" s="816"/>
      <c r="I152" s="816"/>
      <c r="J152" s="816"/>
      <c r="K152" s="817"/>
    </row>
    <row r="153" spans="2:11" ht="13.8" thickBot="1" x14ac:dyDescent="0.35">
      <c r="B153" s="365" t="s">
        <v>630</v>
      </c>
      <c r="C153" s="830" t="s">
        <v>1714</v>
      </c>
      <c r="D153" s="816"/>
      <c r="E153" s="816"/>
      <c r="F153" s="816"/>
      <c r="G153" s="816"/>
      <c r="H153" s="816"/>
      <c r="I153" s="816"/>
      <c r="J153" s="816"/>
      <c r="K153" s="817"/>
    </row>
    <row r="154" spans="2:11" ht="30" customHeight="1" thickBot="1" x14ac:dyDescent="0.35">
      <c r="B154" s="367" t="s">
        <v>1338</v>
      </c>
      <c r="C154" s="892" t="s">
        <v>1801</v>
      </c>
      <c r="D154" s="893"/>
      <c r="E154" s="893"/>
      <c r="F154" s="893"/>
      <c r="G154" s="893"/>
      <c r="H154" s="893"/>
      <c r="I154" s="893"/>
      <c r="J154" s="893"/>
      <c r="K154" s="894"/>
    </row>
    <row r="155" spans="2:11" ht="13.8" thickBot="1" x14ac:dyDescent="0.35">
      <c r="B155" s="895" t="s">
        <v>1077</v>
      </c>
      <c r="C155" s="896"/>
      <c r="D155" s="896"/>
      <c r="E155" s="896"/>
      <c r="F155" s="896"/>
      <c r="G155" s="896"/>
      <c r="H155" s="896"/>
      <c r="I155" s="896"/>
      <c r="J155" s="896"/>
      <c r="K155" s="897"/>
    </row>
    <row r="156" spans="2:11" ht="26.1" customHeight="1" x14ac:dyDescent="0.3">
      <c r="B156" s="361" t="s">
        <v>682</v>
      </c>
      <c r="C156" s="812" t="s">
        <v>493</v>
      </c>
      <c r="D156" s="812"/>
      <c r="E156" s="812"/>
      <c r="F156" s="812"/>
      <c r="G156" s="812"/>
      <c r="H156" s="812"/>
      <c r="I156" s="812"/>
      <c r="J156" s="812"/>
      <c r="K156" s="853"/>
    </row>
    <row r="157" spans="2:11" ht="13.8" thickBot="1" x14ac:dyDescent="0.35">
      <c r="B157" s="367" t="s">
        <v>683</v>
      </c>
      <c r="C157" s="831" t="s">
        <v>494</v>
      </c>
      <c r="D157" s="831"/>
      <c r="E157" s="831"/>
      <c r="F157" s="831"/>
      <c r="G157" s="831"/>
      <c r="H157" s="831"/>
      <c r="I157" s="831"/>
      <c r="J157" s="831"/>
      <c r="K157" s="832"/>
    </row>
    <row r="158" spans="2:11" ht="13.8" thickBot="1" x14ac:dyDescent="0.35">
      <c r="B158" s="872" t="s">
        <v>1139</v>
      </c>
      <c r="C158" s="873"/>
      <c r="D158" s="873"/>
      <c r="E158" s="873"/>
      <c r="F158" s="873"/>
      <c r="G158" s="873"/>
      <c r="H158" s="873"/>
      <c r="I158" s="873"/>
      <c r="J158" s="873"/>
      <c r="K158" s="874"/>
    </row>
    <row r="159" spans="2:11" ht="13.8" thickBot="1" x14ac:dyDescent="0.35">
      <c r="B159" s="360" t="s">
        <v>863</v>
      </c>
      <c r="C159" s="835" t="s">
        <v>863</v>
      </c>
      <c r="D159" s="835"/>
      <c r="E159" s="835"/>
      <c r="F159" s="835"/>
      <c r="G159" s="835"/>
      <c r="H159" s="835"/>
      <c r="I159" s="835"/>
      <c r="J159" s="835"/>
      <c r="K159" s="836"/>
    </row>
    <row r="161" spans="2:11" ht="13.8" thickBot="1" x14ac:dyDescent="0.35"/>
    <row r="162" spans="2:11" ht="13.8" thickBot="1" x14ac:dyDescent="0.35">
      <c r="B162" s="807" t="s">
        <v>1060</v>
      </c>
      <c r="C162" s="808"/>
      <c r="D162" s="808"/>
      <c r="E162" s="808"/>
      <c r="F162" s="808"/>
      <c r="G162" s="808"/>
      <c r="H162" s="808"/>
      <c r="I162" s="808"/>
      <c r="J162" s="808"/>
      <c r="K162" s="809"/>
    </row>
    <row r="163" spans="2:11" ht="13.8" thickBot="1" x14ac:dyDescent="0.35">
      <c r="B163" s="360" t="s">
        <v>567</v>
      </c>
      <c r="C163" s="810" t="s">
        <v>620</v>
      </c>
      <c r="D163" s="810"/>
      <c r="E163" s="810"/>
      <c r="F163" s="810"/>
      <c r="G163" s="810"/>
      <c r="H163" s="810"/>
      <c r="I163" s="810"/>
      <c r="J163" s="810"/>
      <c r="K163" s="811"/>
    </row>
    <row r="164" spans="2:11" ht="13.8" thickBot="1" x14ac:dyDescent="0.35">
      <c r="B164" s="807" t="s">
        <v>1109</v>
      </c>
      <c r="C164" s="808"/>
      <c r="D164" s="808"/>
      <c r="E164" s="808"/>
      <c r="F164" s="808"/>
      <c r="G164" s="808"/>
      <c r="H164" s="808"/>
      <c r="I164" s="808"/>
      <c r="J164" s="808"/>
      <c r="K164" s="809"/>
    </row>
    <row r="165" spans="2:11" x14ac:dyDescent="0.3">
      <c r="B165" s="361" t="s">
        <v>1110</v>
      </c>
      <c r="C165" s="812" t="s">
        <v>1111</v>
      </c>
      <c r="D165" s="812"/>
      <c r="E165" s="812"/>
      <c r="F165" s="812"/>
      <c r="G165" s="812"/>
      <c r="H165" s="812"/>
      <c r="I165" s="812"/>
      <c r="J165" s="812"/>
      <c r="K165" s="362" t="s">
        <v>35</v>
      </c>
    </row>
    <row r="166" spans="2:11" x14ac:dyDescent="0.3">
      <c r="B166" s="363"/>
      <c r="C166" s="804" t="s">
        <v>1206</v>
      </c>
      <c r="D166" s="805"/>
      <c r="E166" s="805"/>
      <c r="F166" s="805"/>
      <c r="G166" s="805"/>
      <c r="H166" s="805"/>
      <c r="I166" s="805"/>
      <c r="J166" s="806"/>
      <c r="K166" s="364"/>
    </row>
    <row r="167" spans="2:11" x14ac:dyDescent="0.3">
      <c r="B167" s="365" t="s">
        <v>1112</v>
      </c>
      <c r="C167" s="813" t="s">
        <v>1118</v>
      </c>
      <c r="D167" s="813"/>
      <c r="E167" s="813"/>
      <c r="F167" s="813"/>
      <c r="G167" s="813"/>
      <c r="H167" s="813"/>
      <c r="I167" s="813"/>
      <c r="J167" s="813"/>
      <c r="K167" s="366" t="s">
        <v>35</v>
      </c>
    </row>
    <row r="168" spans="2:11" x14ac:dyDescent="0.3">
      <c r="B168" s="365" t="s">
        <v>1113</v>
      </c>
      <c r="C168" s="813" t="s">
        <v>1119</v>
      </c>
      <c r="D168" s="813"/>
      <c r="E168" s="813"/>
      <c r="F168" s="813"/>
      <c r="G168" s="813"/>
      <c r="H168" s="813"/>
      <c r="I168" s="813"/>
      <c r="J168" s="813"/>
      <c r="K168" s="366" t="s">
        <v>35</v>
      </c>
    </row>
    <row r="169" spans="2:11" x14ac:dyDescent="0.3">
      <c r="B169" s="365" t="s">
        <v>1114</v>
      </c>
      <c r="C169" s="813" t="s">
        <v>1120</v>
      </c>
      <c r="D169" s="813"/>
      <c r="E169" s="813"/>
      <c r="F169" s="813"/>
      <c r="G169" s="813"/>
      <c r="H169" s="813"/>
      <c r="I169" s="813"/>
      <c r="J169" s="813"/>
      <c r="K169" s="366" t="s">
        <v>35</v>
      </c>
    </row>
    <row r="170" spans="2:11" x14ac:dyDescent="0.3">
      <c r="B170" s="365" t="s">
        <v>1115</v>
      </c>
      <c r="C170" s="813" t="s">
        <v>1121</v>
      </c>
      <c r="D170" s="813"/>
      <c r="E170" s="813"/>
      <c r="F170" s="813"/>
      <c r="G170" s="813"/>
      <c r="H170" s="813"/>
      <c r="I170" s="813"/>
      <c r="J170" s="813"/>
      <c r="K170" s="366" t="s">
        <v>35</v>
      </c>
    </row>
    <row r="171" spans="2:11" x14ac:dyDescent="0.3">
      <c r="B171" s="365" t="s">
        <v>1116</v>
      </c>
      <c r="C171" s="813" t="s">
        <v>1272</v>
      </c>
      <c r="D171" s="813"/>
      <c r="E171" s="813"/>
      <c r="F171" s="813"/>
      <c r="G171" s="813"/>
      <c r="H171" s="813"/>
      <c r="I171" s="813"/>
      <c r="J171" s="813"/>
      <c r="K171" s="366" t="s">
        <v>35</v>
      </c>
    </row>
    <row r="172" spans="2:11" ht="13.8" thickBot="1" x14ac:dyDescent="0.35">
      <c r="B172" s="367" t="s">
        <v>1117</v>
      </c>
      <c r="C172" s="831" t="s">
        <v>1122</v>
      </c>
      <c r="D172" s="831"/>
      <c r="E172" s="831"/>
      <c r="F172" s="831"/>
      <c r="G172" s="831"/>
      <c r="H172" s="831"/>
      <c r="I172" s="831"/>
      <c r="J172" s="831"/>
      <c r="K172" s="368" t="s">
        <v>35</v>
      </c>
    </row>
    <row r="173" spans="2:11" ht="13.8" thickBot="1" x14ac:dyDescent="0.35">
      <c r="B173" s="369"/>
      <c r="C173" s="833" t="s">
        <v>1123</v>
      </c>
      <c r="D173" s="833"/>
      <c r="E173" s="833"/>
      <c r="F173" s="833"/>
      <c r="G173" s="833"/>
      <c r="H173" s="833"/>
      <c r="I173" s="833"/>
      <c r="J173" s="833"/>
      <c r="K173" s="370" t="str">
        <f>IF(OR(K165="Yes",K167="Yes",K168="Yes",K169="Yes",K170="Yes",K171="Yes",K172="Yes"),"Yes","No")</f>
        <v>No</v>
      </c>
    </row>
    <row r="174" spans="2:11" ht="13.8" thickBot="1" x14ac:dyDescent="0.35">
      <c r="B174" s="834" t="s">
        <v>1061</v>
      </c>
      <c r="C174" s="834"/>
      <c r="D174" s="834"/>
      <c r="E174" s="834"/>
      <c r="F174" s="834"/>
      <c r="G174" s="834" t="s">
        <v>1062</v>
      </c>
      <c r="H174" s="834"/>
      <c r="I174" s="834"/>
      <c r="J174" s="834"/>
      <c r="K174" s="834"/>
    </row>
    <row r="175" spans="2:11" ht="27" thickBot="1" x14ac:dyDescent="0.35">
      <c r="B175" s="371" t="s">
        <v>26</v>
      </c>
      <c r="C175" s="372" t="s">
        <v>553</v>
      </c>
      <c r="D175" s="372" t="s">
        <v>19</v>
      </c>
      <c r="E175" s="372" t="s">
        <v>25</v>
      </c>
      <c r="F175" s="373" t="s">
        <v>554</v>
      </c>
      <c r="G175" s="374" t="s">
        <v>1063</v>
      </c>
      <c r="H175" s="372" t="s">
        <v>1064</v>
      </c>
      <c r="I175" s="375" t="s">
        <v>1065</v>
      </c>
      <c r="J175" s="375" t="s">
        <v>1066</v>
      </c>
      <c r="K175" s="376" t="s">
        <v>1067</v>
      </c>
    </row>
    <row r="176" spans="2:11" ht="13.8" thickBot="1" x14ac:dyDescent="0.35">
      <c r="B176" s="433" t="s">
        <v>621</v>
      </c>
      <c r="C176" s="434" t="s">
        <v>619</v>
      </c>
      <c r="D176" s="434" t="s">
        <v>619</v>
      </c>
      <c r="E176" s="434" t="s">
        <v>619</v>
      </c>
      <c r="F176" s="435" t="s">
        <v>621</v>
      </c>
      <c r="G176" s="436" t="s">
        <v>619</v>
      </c>
      <c r="H176" s="434" t="s">
        <v>621</v>
      </c>
      <c r="I176" s="434" t="s">
        <v>621</v>
      </c>
      <c r="J176" s="434" t="s">
        <v>621</v>
      </c>
      <c r="K176" s="435" t="s">
        <v>621</v>
      </c>
    </row>
    <row r="177" spans="2:11" ht="13.8" thickBot="1" x14ac:dyDescent="0.35">
      <c r="B177" s="807" t="s">
        <v>1068</v>
      </c>
      <c r="C177" s="808"/>
      <c r="D177" s="808"/>
      <c r="E177" s="808"/>
      <c r="F177" s="808"/>
      <c r="G177" s="808"/>
      <c r="H177" s="808"/>
      <c r="I177" s="808"/>
      <c r="J177" s="808"/>
      <c r="K177" s="809"/>
    </row>
    <row r="178" spans="2:11" ht="27" thickBot="1" x14ac:dyDescent="0.35">
      <c r="B178" s="369" t="s">
        <v>1124</v>
      </c>
      <c r="C178" s="827" t="s">
        <v>31</v>
      </c>
      <c r="D178" s="827"/>
      <c r="E178" s="827"/>
      <c r="F178" s="827"/>
      <c r="G178" s="827"/>
      <c r="H178" s="827"/>
      <c r="I178" s="381" t="s">
        <v>1125</v>
      </c>
      <c r="J178" s="828" t="s">
        <v>1074</v>
      </c>
      <c r="K178" s="829"/>
    </row>
    <row r="179" spans="2:11" ht="26.1" customHeight="1" x14ac:dyDescent="0.3">
      <c r="B179" s="382" t="s">
        <v>629</v>
      </c>
      <c r="C179" s="856" t="s">
        <v>1341</v>
      </c>
      <c r="D179" s="856"/>
      <c r="E179" s="856"/>
      <c r="F179" s="856"/>
      <c r="G179" s="856"/>
      <c r="H179" s="856"/>
      <c r="I179" s="338" t="s">
        <v>37</v>
      </c>
      <c r="J179" s="899" t="s">
        <v>1797</v>
      </c>
      <c r="K179" s="900"/>
    </row>
    <row r="180" spans="2:11" ht="26.1" customHeight="1" thickBot="1" x14ac:dyDescent="0.35">
      <c r="B180" s="367" t="s">
        <v>630</v>
      </c>
      <c r="C180" s="831" t="s">
        <v>627</v>
      </c>
      <c r="D180" s="831"/>
      <c r="E180" s="831"/>
      <c r="F180" s="831"/>
      <c r="G180" s="831"/>
      <c r="H180" s="831"/>
      <c r="I180" s="386" t="s">
        <v>37</v>
      </c>
      <c r="J180" s="899" t="s">
        <v>1797</v>
      </c>
      <c r="K180" s="900"/>
    </row>
    <row r="181" spans="2:11" ht="27" customHeight="1" thickBot="1" x14ac:dyDescent="0.35">
      <c r="B181" s="383" t="s">
        <v>1072</v>
      </c>
      <c r="C181" s="814" t="s">
        <v>1260</v>
      </c>
      <c r="D181" s="815"/>
      <c r="E181" s="383" t="s">
        <v>1070</v>
      </c>
      <c r="F181" s="384" t="s">
        <v>1134</v>
      </c>
      <c r="G181" s="816" t="s">
        <v>1131</v>
      </c>
      <c r="H181" s="817"/>
      <c r="I181" s="383" t="s">
        <v>1130</v>
      </c>
      <c r="J181" s="814" t="s">
        <v>1133</v>
      </c>
      <c r="K181" s="815"/>
    </row>
    <row r="182" spans="2:11" ht="13.8" thickBot="1" x14ac:dyDescent="0.35">
      <c r="B182" s="850" t="s">
        <v>1076</v>
      </c>
      <c r="C182" s="851"/>
      <c r="D182" s="851"/>
      <c r="E182" s="851"/>
      <c r="F182" s="851"/>
      <c r="G182" s="851"/>
      <c r="H182" s="851"/>
      <c r="I182" s="851"/>
      <c r="J182" s="851"/>
      <c r="K182" s="852"/>
    </row>
    <row r="183" spans="2:11" ht="13.8" customHeight="1" thickBot="1" x14ac:dyDescent="0.35">
      <c r="B183" s="361" t="s">
        <v>629</v>
      </c>
      <c r="C183" s="830" t="s">
        <v>1840</v>
      </c>
      <c r="D183" s="816"/>
      <c r="E183" s="816"/>
      <c r="F183" s="816"/>
      <c r="G183" s="816"/>
      <c r="H183" s="816"/>
      <c r="I183" s="816"/>
      <c r="J183" s="816"/>
      <c r="K183" s="817"/>
    </row>
    <row r="184" spans="2:11" ht="13.8" thickBot="1" x14ac:dyDescent="0.35">
      <c r="B184" s="367" t="s">
        <v>630</v>
      </c>
      <c r="C184" s="830" t="s">
        <v>1714</v>
      </c>
      <c r="D184" s="816"/>
      <c r="E184" s="816"/>
      <c r="F184" s="816"/>
      <c r="G184" s="816"/>
      <c r="H184" s="816"/>
      <c r="I184" s="816"/>
      <c r="J184" s="816"/>
      <c r="K184" s="817"/>
    </row>
    <row r="185" spans="2:11" ht="13.8" thickBot="1" x14ac:dyDescent="0.35">
      <c r="B185" s="872" t="s">
        <v>1077</v>
      </c>
      <c r="C185" s="873"/>
      <c r="D185" s="873"/>
      <c r="E185" s="873"/>
      <c r="F185" s="873"/>
      <c r="G185" s="873"/>
      <c r="H185" s="873"/>
      <c r="I185" s="873"/>
      <c r="J185" s="873"/>
      <c r="K185" s="874"/>
    </row>
    <row r="186" spans="2:11" ht="26.1" customHeight="1" thickBot="1" x14ac:dyDescent="0.35">
      <c r="B186" s="360" t="s">
        <v>682</v>
      </c>
      <c r="C186" s="830" t="s">
        <v>1340</v>
      </c>
      <c r="D186" s="816"/>
      <c r="E186" s="816"/>
      <c r="F186" s="816"/>
      <c r="G186" s="816"/>
      <c r="H186" s="816"/>
      <c r="I186" s="816"/>
      <c r="J186" s="816"/>
      <c r="K186" s="817"/>
    </row>
    <row r="187" spans="2:11" ht="13.8" thickBot="1" x14ac:dyDescent="0.35">
      <c r="B187" s="360" t="s">
        <v>683</v>
      </c>
      <c r="C187" s="830" t="s">
        <v>494</v>
      </c>
      <c r="D187" s="816"/>
      <c r="E187" s="816"/>
      <c r="F187" s="816"/>
      <c r="G187" s="816"/>
      <c r="H187" s="816"/>
      <c r="I187" s="816"/>
      <c r="J187" s="816"/>
      <c r="K187" s="817"/>
    </row>
    <row r="188" spans="2:11" ht="13.8" thickBot="1" x14ac:dyDescent="0.35">
      <c r="B188" s="824" t="s">
        <v>1139</v>
      </c>
      <c r="C188" s="825"/>
      <c r="D188" s="825"/>
      <c r="E188" s="825"/>
      <c r="F188" s="825"/>
      <c r="G188" s="825"/>
      <c r="H188" s="825"/>
      <c r="I188" s="825"/>
      <c r="J188" s="825"/>
      <c r="K188" s="826"/>
    </row>
    <row r="189" spans="2:11" ht="13.8" thickBot="1" x14ac:dyDescent="0.35">
      <c r="B189" s="360" t="s">
        <v>863</v>
      </c>
      <c r="C189" s="835" t="s">
        <v>863</v>
      </c>
      <c r="D189" s="835"/>
      <c r="E189" s="835"/>
      <c r="F189" s="835"/>
      <c r="G189" s="835"/>
      <c r="H189" s="835"/>
      <c r="I189" s="835"/>
      <c r="J189" s="835"/>
      <c r="K189" s="836"/>
    </row>
  </sheetData>
  <autoFilter ref="A9:M189" xr:uid="{00000000-0009-0000-0000-000004000000}"/>
  <mergeCells count="192">
    <mergeCell ref="C89:K89"/>
    <mergeCell ref="B26:K26"/>
    <mergeCell ref="C27:H27"/>
    <mergeCell ref="J27:K27"/>
    <mergeCell ref="C28:H28"/>
    <mergeCell ref="J28:K28"/>
    <mergeCell ref="C29:D29"/>
    <mergeCell ref="B5:D5"/>
    <mergeCell ref="B6:D6"/>
    <mergeCell ref="B7:D7"/>
    <mergeCell ref="B11:K11"/>
    <mergeCell ref="C12:K12"/>
    <mergeCell ref="B23:F23"/>
    <mergeCell ref="G23:K23"/>
    <mergeCell ref="B13:K13"/>
    <mergeCell ref="C14:J14"/>
    <mergeCell ref="C16:J16"/>
    <mergeCell ref="C17:J17"/>
    <mergeCell ref="C18:J18"/>
    <mergeCell ref="C19:J19"/>
    <mergeCell ref="C20:J20"/>
    <mergeCell ref="C21:J21"/>
    <mergeCell ref="C22:J22"/>
    <mergeCell ref="G29:H29"/>
    <mergeCell ref="J29:K29"/>
    <mergeCell ref="B63:K63"/>
    <mergeCell ref="C64:K64"/>
    <mergeCell ref="B54:K54"/>
    <mergeCell ref="C47:J47"/>
    <mergeCell ref="C48:J48"/>
    <mergeCell ref="C49:J49"/>
    <mergeCell ref="C50:J50"/>
    <mergeCell ref="B51:F51"/>
    <mergeCell ref="G51:K51"/>
    <mergeCell ref="C55:H55"/>
    <mergeCell ref="J55:K55"/>
    <mergeCell ref="C56:H56"/>
    <mergeCell ref="J56:K56"/>
    <mergeCell ref="C57:D57"/>
    <mergeCell ref="C59:K59"/>
    <mergeCell ref="B60:K60"/>
    <mergeCell ref="C61:K61"/>
    <mergeCell ref="C62:K62"/>
    <mergeCell ref="B32:K32"/>
    <mergeCell ref="C33:K33"/>
    <mergeCell ref="C34:K34"/>
    <mergeCell ref="B39:K39"/>
    <mergeCell ref="C88:K88"/>
    <mergeCell ref="J83:K83"/>
    <mergeCell ref="C84:H84"/>
    <mergeCell ref="J84:K84"/>
    <mergeCell ref="C86:D86"/>
    <mergeCell ref="G86:H86"/>
    <mergeCell ref="J86:K86"/>
    <mergeCell ref="C85:H85"/>
    <mergeCell ref="J85:K85"/>
    <mergeCell ref="B87:K87"/>
    <mergeCell ref="C156:K156"/>
    <mergeCell ref="B158:K158"/>
    <mergeCell ref="B113:K113"/>
    <mergeCell ref="C114:H114"/>
    <mergeCell ref="J114:K114"/>
    <mergeCell ref="C92:K92"/>
    <mergeCell ref="B90:K90"/>
    <mergeCell ref="C91:K91"/>
    <mergeCell ref="B93:K93"/>
    <mergeCell ref="C94:K94"/>
    <mergeCell ref="B98:K98"/>
    <mergeCell ref="C99:K99"/>
    <mergeCell ref="B110:F110"/>
    <mergeCell ref="G110:K110"/>
    <mergeCell ref="B100:K100"/>
    <mergeCell ref="C101:J101"/>
    <mergeCell ref="C103:J103"/>
    <mergeCell ref="C104:J104"/>
    <mergeCell ref="C105:J105"/>
    <mergeCell ref="C106:J106"/>
    <mergeCell ref="C107:J107"/>
    <mergeCell ref="C108:J108"/>
    <mergeCell ref="C124:K124"/>
    <mergeCell ref="C125:K125"/>
    <mergeCell ref="C120:K120"/>
    <mergeCell ref="C121:K121"/>
    <mergeCell ref="C140:J140"/>
    <mergeCell ref="C141:J141"/>
    <mergeCell ref="B142:F142"/>
    <mergeCell ref="G142:K142"/>
    <mergeCell ref="B155:K155"/>
    <mergeCell ref="C152:K152"/>
    <mergeCell ref="C153:K153"/>
    <mergeCell ref="C135:J135"/>
    <mergeCell ref="C136:J136"/>
    <mergeCell ref="C137:J137"/>
    <mergeCell ref="C138:J138"/>
    <mergeCell ref="C139:J139"/>
    <mergeCell ref="C131:K131"/>
    <mergeCell ref="B132:K132"/>
    <mergeCell ref="C133:J133"/>
    <mergeCell ref="B126:K126"/>
    <mergeCell ref="B130:K130"/>
    <mergeCell ref="C189:K189"/>
    <mergeCell ref="J180:K180"/>
    <mergeCell ref="C181:D181"/>
    <mergeCell ref="G181:H181"/>
    <mergeCell ref="J181:K181"/>
    <mergeCell ref="C157:K157"/>
    <mergeCell ref="B145:K145"/>
    <mergeCell ref="C146:H146"/>
    <mergeCell ref="J146:K146"/>
    <mergeCell ref="C147:H147"/>
    <mergeCell ref="J147:K147"/>
    <mergeCell ref="C148:H148"/>
    <mergeCell ref="J148:K148"/>
    <mergeCell ref="C150:D150"/>
    <mergeCell ref="G150:H150"/>
    <mergeCell ref="J150:K150"/>
    <mergeCell ref="B151:K151"/>
    <mergeCell ref="C167:J167"/>
    <mergeCell ref="C168:J168"/>
    <mergeCell ref="C186:K186"/>
    <mergeCell ref="C187:K187"/>
    <mergeCell ref="C166:J166"/>
    <mergeCell ref="C159:K159"/>
    <mergeCell ref="B182:K182"/>
    <mergeCell ref="B185:K185"/>
    <mergeCell ref="B162:K162"/>
    <mergeCell ref="C163:K163"/>
    <mergeCell ref="B174:F174"/>
    <mergeCell ref="G174:K174"/>
    <mergeCell ref="C169:J169"/>
    <mergeCell ref="C170:J170"/>
    <mergeCell ref="C171:J171"/>
    <mergeCell ref="C172:J172"/>
    <mergeCell ref="C173:J173"/>
    <mergeCell ref="B177:K177"/>
    <mergeCell ref="C178:H178"/>
    <mergeCell ref="J178:K178"/>
    <mergeCell ref="C179:H179"/>
    <mergeCell ref="B164:K164"/>
    <mergeCell ref="C165:J165"/>
    <mergeCell ref="C183:K183"/>
    <mergeCell ref="C184:K184"/>
    <mergeCell ref="J179:K179"/>
    <mergeCell ref="C180:H180"/>
    <mergeCell ref="B188:K188"/>
    <mergeCell ref="C45:J45"/>
    <mergeCell ref="C46:J46"/>
    <mergeCell ref="C40:K40"/>
    <mergeCell ref="C115:H115"/>
    <mergeCell ref="C116:H116"/>
    <mergeCell ref="C118:D118"/>
    <mergeCell ref="G118:H118"/>
    <mergeCell ref="J118:K118"/>
    <mergeCell ref="C109:J109"/>
    <mergeCell ref="B79:F79"/>
    <mergeCell ref="G79:K79"/>
    <mergeCell ref="C68:K68"/>
    <mergeCell ref="B67:K67"/>
    <mergeCell ref="C70:J70"/>
    <mergeCell ref="C72:J72"/>
    <mergeCell ref="C73:J73"/>
    <mergeCell ref="C74:J74"/>
    <mergeCell ref="C75:J75"/>
    <mergeCell ref="C76:J76"/>
    <mergeCell ref="B82:K82"/>
    <mergeCell ref="C83:H83"/>
    <mergeCell ref="C77:J77"/>
    <mergeCell ref="C78:J78"/>
    <mergeCell ref="B69:K69"/>
    <mergeCell ref="C154:K154"/>
    <mergeCell ref="C149:H149"/>
    <mergeCell ref="J149:K149"/>
    <mergeCell ref="C15:J15"/>
    <mergeCell ref="C43:J43"/>
    <mergeCell ref="C71:J71"/>
    <mergeCell ref="C102:J102"/>
    <mergeCell ref="C134:J134"/>
    <mergeCell ref="B30:K30"/>
    <mergeCell ref="C31:K31"/>
    <mergeCell ref="G57:H57"/>
    <mergeCell ref="J57:K57"/>
    <mergeCell ref="B58:K58"/>
    <mergeCell ref="B35:K35"/>
    <mergeCell ref="C36:K36"/>
    <mergeCell ref="B41:K41"/>
    <mergeCell ref="C42:J42"/>
    <mergeCell ref="C44:J44"/>
    <mergeCell ref="C117:H117"/>
    <mergeCell ref="C122:K122"/>
    <mergeCell ref="B119:K119"/>
    <mergeCell ref="B123:K123"/>
    <mergeCell ref="C127:K127"/>
  </mergeCells>
  <dataValidations count="1">
    <dataValidation type="list" allowBlank="1" showInputMessage="1" showErrorMessage="1" sqref="J29:K29 J57:K57 J86:K86 J118:K118 J150:K150 J181:K181 F29 F150 F57 F86 F118 F181" xr:uid="{00000000-0002-0000-0400-000001000000}">
      <formula1>#REF!</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K168"/>
  <sheetViews>
    <sheetView topLeftCell="A13" workbookViewId="0">
      <selection activeCell="C30" sqref="C30:D30"/>
    </sheetView>
  </sheetViews>
  <sheetFormatPr defaultColWidth="9.109375" defaultRowHeight="13.2" x14ac:dyDescent="0.25"/>
  <cols>
    <col min="1" max="1" width="2" style="289" bestFit="1" customWidth="1"/>
    <col min="2" max="8" width="15.6640625" style="289" customWidth="1"/>
    <col min="9" max="9" width="16.88671875" style="289" customWidth="1"/>
    <col min="10" max="11" width="15.6640625" style="289" customWidth="1"/>
    <col min="12" max="16384" width="9.109375" style="289"/>
  </cols>
  <sheetData>
    <row r="2" spans="1:11" x14ac:dyDescent="0.25">
      <c r="B2" s="353" t="s">
        <v>1270</v>
      </c>
    </row>
    <row r="3" spans="1:11" x14ac:dyDescent="0.25">
      <c r="B3" s="353" t="s">
        <v>1796</v>
      </c>
    </row>
    <row r="4" spans="1:11" ht="13.8" thickBot="1" x14ac:dyDescent="0.3"/>
    <row r="5" spans="1:11" ht="13.8" thickBot="1" x14ac:dyDescent="0.3">
      <c r="B5" s="837" t="s">
        <v>23</v>
      </c>
      <c r="C5" s="838"/>
      <c r="D5" s="839"/>
      <c r="E5" s="405"/>
      <c r="F5" s="355" t="s">
        <v>480</v>
      </c>
      <c r="G5" s="290"/>
      <c r="H5" s="290"/>
      <c r="I5" s="290"/>
    </row>
    <row r="6" spans="1:11" ht="13.8" thickBot="1" x14ac:dyDescent="0.3">
      <c r="B6" s="837" t="s">
        <v>860</v>
      </c>
      <c r="C6" s="838"/>
      <c r="D6" s="839"/>
      <c r="E6" s="356"/>
      <c r="F6" s="355" t="s">
        <v>615</v>
      </c>
    </row>
    <row r="7" spans="1:11" ht="13.8" thickBot="1" x14ac:dyDescent="0.3">
      <c r="B7" s="919" t="s">
        <v>1075</v>
      </c>
      <c r="C7" s="920"/>
      <c r="D7" s="920"/>
      <c r="E7" s="356"/>
      <c r="F7" s="357">
        <v>5175000</v>
      </c>
    </row>
    <row r="9" spans="1:11" x14ac:dyDescent="0.25">
      <c r="B9" s="406" t="s">
        <v>508</v>
      </c>
    </row>
    <row r="10" spans="1:11" ht="13.8" thickBot="1" x14ac:dyDescent="0.3">
      <c r="A10" s="390" t="s">
        <v>1097</v>
      </c>
      <c r="B10" s="390" t="s">
        <v>514</v>
      </c>
    </row>
    <row r="11" spans="1:11" ht="13.8" thickBot="1" x14ac:dyDescent="0.3">
      <c r="B11" s="921" t="s">
        <v>1060</v>
      </c>
      <c r="C11" s="922"/>
      <c r="D11" s="922"/>
      <c r="E11" s="922"/>
      <c r="F11" s="922"/>
      <c r="G11" s="922"/>
      <c r="H11" s="922"/>
      <c r="I11" s="922"/>
      <c r="J11" s="922"/>
      <c r="K11" s="923"/>
    </row>
    <row r="12" spans="1:11" ht="13.8" thickBot="1" x14ac:dyDescent="0.3">
      <c r="B12" s="494" t="s">
        <v>568</v>
      </c>
      <c r="C12" s="810" t="s">
        <v>482</v>
      </c>
      <c r="D12" s="810"/>
      <c r="E12" s="810"/>
      <c r="F12" s="810"/>
      <c r="G12" s="810"/>
      <c r="H12" s="810"/>
      <c r="I12" s="810"/>
      <c r="J12" s="810"/>
      <c r="K12" s="811"/>
    </row>
    <row r="13" spans="1:11" s="290" customFormat="1" ht="13.8" thickBot="1" x14ac:dyDescent="0.35">
      <c r="B13" s="929" t="s">
        <v>1109</v>
      </c>
      <c r="C13" s="930"/>
      <c r="D13" s="930"/>
      <c r="E13" s="930"/>
      <c r="F13" s="930"/>
      <c r="G13" s="930"/>
      <c r="H13" s="930"/>
      <c r="I13" s="930"/>
      <c r="J13" s="930"/>
      <c r="K13" s="931"/>
    </row>
    <row r="14" spans="1:11" s="290" customFormat="1" x14ac:dyDescent="0.3">
      <c r="B14" s="361" t="s">
        <v>1110</v>
      </c>
      <c r="C14" s="812" t="s">
        <v>1111</v>
      </c>
      <c r="D14" s="812"/>
      <c r="E14" s="812"/>
      <c r="F14" s="812"/>
      <c r="G14" s="812"/>
      <c r="H14" s="812"/>
      <c r="I14" s="812"/>
      <c r="J14" s="812"/>
      <c r="K14" s="362" t="s">
        <v>35</v>
      </c>
    </row>
    <row r="15" spans="1:11" s="290" customFormat="1" x14ac:dyDescent="0.3">
      <c r="A15" s="352"/>
      <c r="B15" s="363"/>
      <c r="C15" s="804" t="s">
        <v>1206</v>
      </c>
      <c r="D15" s="805"/>
      <c r="E15" s="805"/>
      <c r="F15" s="805"/>
      <c r="G15" s="805"/>
      <c r="H15" s="805"/>
      <c r="I15" s="805"/>
      <c r="J15" s="806"/>
      <c r="K15" s="364"/>
    </row>
    <row r="16" spans="1:11" s="290" customFormat="1" x14ac:dyDescent="0.3">
      <c r="B16" s="365" t="s">
        <v>1112</v>
      </c>
      <c r="C16" s="813" t="s">
        <v>1118</v>
      </c>
      <c r="D16" s="813"/>
      <c r="E16" s="813"/>
      <c r="F16" s="813"/>
      <c r="G16" s="813"/>
      <c r="H16" s="813"/>
      <c r="I16" s="813"/>
      <c r="J16" s="813"/>
      <c r="K16" s="366" t="s">
        <v>35</v>
      </c>
    </row>
    <row r="17" spans="1:11" s="290" customFormat="1" x14ac:dyDescent="0.3">
      <c r="B17" s="365" t="s">
        <v>1113</v>
      </c>
      <c r="C17" s="813" t="s">
        <v>1119</v>
      </c>
      <c r="D17" s="813"/>
      <c r="E17" s="813"/>
      <c r="F17" s="813"/>
      <c r="G17" s="813"/>
      <c r="H17" s="813"/>
      <c r="I17" s="813"/>
      <c r="J17" s="813"/>
      <c r="K17" s="366" t="s">
        <v>35</v>
      </c>
    </row>
    <row r="18" spans="1:11" s="290" customFormat="1" x14ac:dyDescent="0.3">
      <c r="B18" s="365" t="s">
        <v>1114</v>
      </c>
      <c r="C18" s="813" t="s">
        <v>1120</v>
      </c>
      <c r="D18" s="813"/>
      <c r="E18" s="813"/>
      <c r="F18" s="813"/>
      <c r="G18" s="813"/>
      <c r="H18" s="813"/>
      <c r="I18" s="813"/>
      <c r="J18" s="813"/>
      <c r="K18" s="366" t="s">
        <v>35</v>
      </c>
    </row>
    <row r="19" spans="1:11" s="290" customFormat="1" ht="27" customHeight="1" x14ac:dyDescent="0.3">
      <c r="B19" s="365" t="s">
        <v>1115</v>
      </c>
      <c r="C19" s="813" t="s">
        <v>1121</v>
      </c>
      <c r="D19" s="813"/>
      <c r="E19" s="813"/>
      <c r="F19" s="813"/>
      <c r="G19" s="813"/>
      <c r="H19" s="813"/>
      <c r="I19" s="813"/>
      <c r="J19" s="813"/>
      <c r="K19" s="366" t="s">
        <v>35</v>
      </c>
    </row>
    <row r="20" spans="1:11" s="290" customFormat="1" x14ac:dyDescent="0.3">
      <c r="B20" s="365" t="s">
        <v>1116</v>
      </c>
      <c r="C20" s="813" t="s">
        <v>1272</v>
      </c>
      <c r="D20" s="813"/>
      <c r="E20" s="813"/>
      <c r="F20" s="813"/>
      <c r="G20" s="813"/>
      <c r="H20" s="813"/>
      <c r="I20" s="813"/>
      <c r="J20" s="813"/>
      <c r="K20" s="366" t="s">
        <v>35</v>
      </c>
    </row>
    <row r="21" spans="1:11" s="290" customFormat="1" ht="13.8" thickBot="1" x14ac:dyDescent="0.35">
      <c r="B21" s="367" t="s">
        <v>1117</v>
      </c>
      <c r="C21" s="831" t="s">
        <v>1122</v>
      </c>
      <c r="D21" s="831"/>
      <c r="E21" s="831"/>
      <c r="F21" s="831"/>
      <c r="G21" s="831"/>
      <c r="H21" s="831"/>
      <c r="I21" s="831"/>
      <c r="J21" s="831"/>
      <c r="K21" s="368" t="s">
        <v>35</v>
      </c>
    </row>
    <row r="22" spans="1:11" s="290" customFormat="1" ht="13.8" thickBot="1" x14ac:dyDescent="0.35">
      <c r="B22" s="391"/>
      <c r="C22" s="915" t="s">
        <v>1123</v>
      </c>
      <c r="D22" s="916"/>
      <c r="E22" s="916"/>
      <c r="F22" s="916"/>
      <c r="G22" s="916"/>
      <c r="H22" s="916"/>
      <c r="I22" s="916"/>
      <c r="J22" s="917"/>
      <c r="K22" s="392" t="str">
        <f>IF(OR(K14="Yes",K16="Yes",K17="Yes",K18="Yes",K19="Yes",K20="Yes",K21="Yes"),"Yes","No")</f>
        <v>No</v>
      </c>
    </row>
    <row r="23" spans="1:11" ht="13.8" thickBot="1" x14ac:dyDescent="0.3">
      <c r="B23" s="924" t="s">
        <v>1061</v>
      </c>
      <c r="C23" s="924"/>
      <c r="D23" s="924"/>
      <c r="E23" s="924"/>
      <c r="F23" s="924"/>
      <c r="G23" s="924" t="s">
        <v>1062</v>
      </c>
      <c r="H23" s="924"/>
      <c r="I23" s="924"/>
      <c r="J23" s="924"/>
      <c r="K23" s="924"/>
    </row>
    <row r="24" spans="1:11" ht="27" thickBot="1" x14ac:dyDescent="0.3">
      <c r="B24" s="371" t="s">
        <v>306</v>
      </c>
      <c r="C24" s="372" t="s">
        <v>19</v>
      </c>
      <c r="D24" s="372" t="s">
        <v>326</v>
      </c>
      <c r="E24" s="372" t="s">
        <v>310</v>
      </c>
      <c r="F24" s="373" t="s">
        <v>552</v>
      </c>
      <c r="G24" s="374" t="s">
        <v>1063</v>
      </c>
      <c r="H24" s="372" t="s">
        <v>1064</v>
      </c>
      <c r="I24" s="375" t="s">
        <v>1065</v>
      </c>
      <c r="J24" s="375" t="s">
        <v>1066</v>
      </c>
      <c r="K24" s="376" t="s">
        <v>1067</v>
      </c>
    </row>
    <row r="25" spans="1:11" ht="15" thickBot="1" x14ac:dyDescent="0.3">
      <c r="B25" s="490" t="s">
        <v>619</v>
      </c>
      <c r="C25" s="491" t="s">
        <v>619</v>
      </c>
      <c r="D25" s="491" t="s">
        <v>619</v>
      </c>
      <c r="E25" s="491" t="s">
        <v>619</v>
      </c>
      <c r="F25" s="492" t="s">
        <v>621</v>
      </c>
      <c r="G25" s="493" t="s">
        <v>619</v>
      </c>
      <c r="H25" s="491" t="s">
        <v>621</v>
      </c>
      <c r="I25" s="491" t="s">
        <v>619</v>
      </c>
      <c r="J25" s="491" t="s">
        <v>621</v>
      </c>
      <c r="K25" s="492" t="s">
        <v>621</v>
      </c>
    </row>
    <row r="26" spans="1:11" ht="13.8" thickBot="1" x14ac:dyDescent="0.3">
      <c r="A26" s="390"/>
      <c r="B26" s="807" t="s">
        <v>1068</v>
      </c>
      <c r="C26" s="808"/>
      <c r="D26" s="808"/>
      <c r="E26" s="808"/>
      <c r="F26" s="808"/>
      <c r="G26" s="808"/>
      <c r="H26" s="808"/>
      <c r="I26" s="808"/>
      <c r="J26" s="808"/>
      <c r="K26" s="809"/>
    </row>
    <row r="27" spans="1:11" ht="27" thickBot="1" x14ac:dyDescent="0.3">
      <c r="A27" s="390"/>
      <c r="B27" s="369" t="s">
        <v>1124</v>
      </c>
      <c r="C27" s="918" t="s">
        <v>31</v>
      </c>
      <c r="D27" s="918"/>
      <c r="E27" s="918"/>
      <c r="F27" s="918"/>
      <c r="G27" s="918"/>
      <c r="H27" s="918"/>
      <c r="I27" s="401" t="s">
        <v>1125</v>
      </c>
      <c r="J27" s="906" t="s">
        <v>1074</v>
      </c>
      <c r="K27" s="907"/>
    </row>
    <row r="28" spans="1:11" ht="39.9" customHeight="1" thickBot="1" x14ac:dyDescent="0.3">
      <c r="A28" s="390"/>
      <c r="B28" s="495" t="s">
        <v>631</v>
      </c>
      <c r="C28" s="768" t="s">
        <v>666</v>
      </c>
      <c r="D28" s="768"/>
      <c r="E28" s="768"/>
      <c r="F28" s="768"/>
      <c r="G28" s="768"/>
      <c r="H28" s="768"/>
      <c r="I28" s="499" t="s">
        <v>35</v>
      </c>
      <c r="J28" s="908" t="s">
        <v>863</v>
      </c>
      <c r="K28" s="909"/>
    </row>
    <row r="29" spans="1:11" ht="27" customHeight="1" thickBot="1" x14ac:dyDescent="0.3">
      <c r="A29" s="390"/>
      <c r="B29" s="495" t="s">
        <v>876</v>
      </c>
      <c r="C29" s="768" t="s">
        <v>875</v>
      </c>
      <c r="D29" s="768"/>
      <c r="E29" s="768"/>
      <c r="F29" s="768"/>
      <c r="G29" s="768"/>
      <c r="H29" s="768"/>
      <c r="I29" s="499" t="s">
        <v>37</v>
      </c>
      <c r="J29" s="910" t="s">
        <v>1797</v>
      </c>
      <c r="K29" s="911"/>
    </row>
    <row r="30" spans="1:11" ht="27" thickBot="1" x14ac:dyDescent="0.3">
      <c r="A30" s="390"/>
      <c r="B30" s="383" t="s">
        <v>1072</v>
      </c>
      <c r="C30" s="814" t="s">
        <v>1103</v>
      </c>
      <c r="D30" s="815"/>
      <c r="E30" s="383" t="s">
        <v>1070</v>
      </c>
      <c r="F30" s="402" t="s">
        <v>1134</v>
      </c>
      <c r="G30" s="816" t="s">
        <v>1131</v>
      </c>
      <c r="H30" s="817"/>
      <c r="I30" s="383" t="s">
        <v>1130</v>
      </c>
      <c r="J30" s="814" t="s">
        <v>1133</v>
      </c>
      <c r="K30" s="815"/>
    </row>
    <row r="31" spans="1:11" ht="13.8" thickBot="1" x14ac:dyDescent="0.3">
      <c r="B31" s="912" t="s">
        <v>1076</v>
      </c>
      <c r="C31" s="913"/>
      <c r="D31" s="913"/>
      <c r="E31" s="913"/>
      <c r="F31" s="913"/>
      <c r="G31" s="913"/>
      <c r="H31" s="913"/>
      <c r="I31" s="913"/>
      <c r="J31" s="913"/>
      <c r="K31" s="914"/>
    </row>
    <row r="32" spans="1:11" ht="27" customHeight="1" thickBot="1" x14ac:dyDescent="0.3">
      <c r="B32" s="496" t="s">
        <v>876</v>
      </c>
      <c r="C32" s="892" t="s">
        <v>1814</v>
      </c>
      <c r="D32" s="893"/>
      <c r="E32" s="893"/>
      <c r="F32" s="893"/>
      <c r="G32" s="893"/>
      <c r="H32" s="893"/>
      <c r="I32" s="893"/>
      <c r="J32" s="893"/>
      <c r="K32" s="926"/>
    </row>
    <row r="33" spans="1:11" ht="13.8" thickBot="1" x14ac:dyDescent="0.3">
      <c r="B33" s="932" t="s">
        <v>1077</v>
      </c>
      <c r="C33" s="933"/>
      <c r="D33" s="933"/>
      <c r="E33" s="933"/>
      <c r="F33" s="933"/>
      <c r="G33" s="933"/>
      <c r="H33" s="933"/>
      <c r="I33" s="933"/>
      <c r="J33" s="933"/>
      <c r="K33" s="934"/>
    </row>
    <row r="34" spans="1:11" ht="27" customHeight="1" x14ac:dyDescent="0.25">
      <c r="B34" s="497" t="s">
        <v>685</v>
      </c>
      <c r="C34" s="927" t="s">
        <v>481</v>
      </c>
      <c r="D34" s="927"/>
      <c r="E34" s="927"/>
      <c r="F34" s="927"/>
      <c r="G34" s="927"/>
      <c r="H34" s="927"/>
      <c r="I34" s="927"/>
      <c r="J34" s="927"/>
      <c r="K34" s="928"/>
    </row>
    <row r="35" spans="1:11" x14ac:dyDescent="0.25">
      <c r="B35" s="498" t="s">
        <v>715</v>
      </c>
      <c r="C35" s="765" t="s">
        <v>1099</v>
      </c>
      <c r="D35" s="765"/>
      <c r="E35" s="765"/>
      <c r="F35" s="765"/>
      <c r="G35" s="765"/>
      <c r="H35" s="765"/>
      <c r="I35" s="765"/>
      <c r="J35" s="765"/>
      <c r="K35" s="925"/>
    </row>
    <row r="36" spans="1:11" ht="27" customHeight="1" thickBot="1" x14ac:dyDescent="0.3">
      <c r="B36" s="496" t="s">
        <v>716</v>
      </c>
      <c r="C36" s="941" t="s">
        <v>717</v>
      </c>
      <c r="D36" s="941"/>
      <c r="E36" s="941"/>
      <c r="F36" s="941"/>
      <c r="G36" s="941"/>
      <c r="H36" s="941"/>
      <c r="I36" s="941"/>
      <c r="J36" s="941"/>
      <c r="K36" s="942"/>
    </row>
    <row r="38" spans="1:11" ht="13.8" thickBot="1" x14ac:dyDescent="0.3"/>
    <row r="39" spans="1:11" ht="13.8" thickBot="1" x14ac:dyDescent="0.3">
      <c r="B39" s="921" t="s">
        <v>1060</v>
      </c>
      <c r="C39" s="922"/>
      <c r="D39" s="922"/>
      <c r="E39" s="922"/>
      <c r="F39" s="922"/>
      <c r="G39" s="922"/>
      <c r="H39" s="922"/>
      <c r="I39" s="922"/>
      <c r="J39" s="922"/>
      <c r="K39" s="923"/>
    </row>
    <row r="40" spans="1:11" ht="13.8" thickBot="1" x14ac:dyDescent="0.3">
      <c r="B40" s="494" t="s">
        <v>569</v>
      </c>
      <c r="C40" s="810" t="s">
        <v>364</v>
      </c>
      <c r="D40" s="810"/>
      <c r="E40" s="810"/>
      <c r="F40" s="810"/>
      <c r="G40" s="810"/>
      <c r="H40" s="810"/>
      <c r="I40" s="810"/>
      <c r="J40" s="810"/>
      <c r="K40" s="811"/>
    </row>
    <row r="41" spans="1:11" s="290" customFormat="1" ht="13.8" thickBot="1" x14ac:dyDescent="0.35">
      <c r="B41" s="929" t="s">
        <v>1109</v>
      </c>
      <c r="C41" s="930"/>
      <c r="D41" s="930"/>
      <c r="E41" s="930"/>
      <c r="F41" s="930"/>
      <c r="G41" s="930"/>
      <c r="H41" s="930"/>
      <c r="I41" s="930"/>
      <c r="J41" s="930"/>
      <c r="K41" s="931"/>
    </row>
    <row r="42" spans="1:11" s="290" customFormat="1" x14ac:dyDescent="0.3">
      <c r="B42" s="361" t="s">
        <v>1110</v>
      </c>
      <c r="C42" s="812" t="s">
        <v>1111</v>
      </c>
      <c r="D42" s="812"/>
      <c r="E42" s="812"/>
      <c r="F42" s="812"/>
      <c r="G42" s="812"/>
      <c r="H42" s="812"/>
      <c r="I42" s="812"/>
      <c r="J42" s="812"/>
      <c r="K42" s="362" t="s">
        <v>35</v>
      </c>
    </row>
    <row r="43" spans="1:11" s="290" customFormat="1" x14ac:dyDescent="0.3">
      <c r="A43" s="352"/>
      <c r="B43" s="363"/>
      <c r="C43" s="804" t="s">
        <v>1206</v>
      </c>
      <c r="D43" s="805"/>
      <c r="E43" s="805"/>
      <c r="F43" s="805"/>
      <c r="G43" s="805"/>
      <c r="H43" s="805"/>
      <c r="I43" s="805"/>
      <c r="J43" s="806"/>
      <c r="K43" s="364"/>
    </row>
    <row r="44" spans="1:11" s="290" customFormat="1" x14ac:dyDescent="0.3">
      <c r="B44" s="365" t="s">
        <v>1112</v>
      </c>
      <c r="C44" s="813" t="s">
        <v>1118</v>
      </c>
      <c r="D44" s="813"/>
      <c r="E44" s="813"/>
      <c r="F44" s="813"/>
      <c r="G44" s="813"/>
      <c r="H44" s="813"/>
      <c r="I44" s="813"/>
      <c r="J44" s="813"/>
      <c r="K44" s="366" t="s">
        <v>35</v>
      </c>
    </row>
    <row r="45" spans="1:11" s="290" customFormat="1" x14ac:dyDescent="0.3">
      <c r="B45" s="365" t="s">
        <v>1113</v>
      </c>
      <c r="C45" s="813" t="s">
        <v>1119</v>
      </c>
      <c r="D45" s="813"/>
      <c r="E45" s="813"/>
      <c r="F45" s="813"/>
      <c r="G45" s="813"/>
      <c r="H45" s="813"/>
      <c r="I45" s="813"/>
      <c r="J45" s="813"/>
      <c r="K45" s="366" t="s">
        <v>35</v>
      </c>
    </row>
    <row r="46" spans="1:11" s="290" customFormat="1" x14ac:dyDescent="0.3">
      <c r="B46" s="365" t="s">
        <v>1114</v>
      </c>
      <c r="C46" s="813" t="s">
        <v>1120</v>
      </c>
      <c r="D46" s="813"/>
      <c r="E46" s="813"/>
      <c r="F46" s="813"/>
      <c r="G46" s="813"/>
      <c r="H46" s="813"/>
      <c r="I46" s="813"/>
      <c r="J46" s="813"/>
      <c r="K46" s="366" t="s">
        <v>35</v>
      </c>
    </row>
    <row r="47" spans="1:11" s="290" customFormat="1" ht="27" customHeight="1" x14ac:dyDescent="0.3">
      <c r="B47" s="365" t="s">
        <v>1115</v>
      </c>
      <c r="C47" s="813" t="s">
        <v>1121</v>
      </c>
      <c r="D47" s="813"/>
      <c r="E47" s="813"/>
      <c r="F47" s="813"/>
      <c r="G47" s="813"/>
      <c r="H47" s="813"/>
      <c r="I47" s="813"/>
      <c r="J47" s="813"/>
      <c r="K47" s="366" t="s">
        <v>35</v>
      </c>
    </row>
    <row r="48" spans="1:11" s="290" customFormat="1" x14ac:dyDescent="0.3">
      <c r="B48" s="365" t="s">
        <v>1116</v>
      </c>
      <c r="C48" s="813" t="s">
        <v>1272</v>
      </c>
      <c r="D48" s="813"/>
      <c r="E48" s="813"/>
      <c r="F48" s="813"/>
      <c r="G48" s="813"/>
      <c r="H48" s="813"/>
      <c r="I48" s="813"/>
      <c r="J48" s="813"/>
      <c r="K48" s="366" t="s">
        <v>35</v>
      </c>
    </row>
    <row r="49" spans="1:11" s="290" customFormat="1" ht="13.8" thickBot="1" x14ac:dyDescent="0.35">
      <c r="B49" s="367" t="s">
        <v>1117</v>
      </c>
      <c r="C49" s="831" t="s">
        <v>1122</v>
      </c>
      <c r="D49" s="831"/>
      <c r="E49" s="831"/>
      <c r="F49" s="831"/>
      <c r="G49" s="831"/>
      <c r="H49" s="831"/>
      <c r="I49" s="831"/>
      <c r="J49" s="831"/>
      <c r="K49" s="368" t="s">
        <v>35</v>
      </c>
    </row>
    <row r="50" spans="1:11" s="290" customFormat="1" ht="13.8" thickBot="1" x14ac:dyDescent="0.35">
      <c r="B50" s="391"/>
      <c r="C50" s="915" t="s">
        <v>1123</v>
      </c>
      <c r="D50" s="916"/>
      <c r="E50" s="916"/>
      <c r="F50" s="916"/>
      <c r="G50" s="916"/>
      <c r="H50" s="916"/>
      <c r="I50" s="916"/>
      <c r="J50" s="917"/>
      <c r="K50" s="392" t="str">
        <f>IF(OR(K42="Yes",K44="Yes",K45="Yes",K46="Yes",K47="Yes",K48="Yes",K49="Yes"),"Yes","No")</f>
        <v>No</v>
      </c>
    </row>
    <row r="51" spans="1:11" ht="13.8" thickBot="1" x14ac:dyDescent="0.3">
      <c r="B51" s="924" t="s">
        <v>1061</v>
      </c>
      <c r="C51" s="924"/>
      <c r="D51" s="924"/>
      <c r="E51" s="924"/>
      <c r="F51" s="924"/>
      <c r="G51" s="924" t="s">
        <v>1062</v>
      </c>
      <c r="H51" s="924"/>
      <c r="I51" s="924"/>
      <c r="J51" s="924"/>
      <c r="K51" s="924"/>
    </row>
    <row r="52" spans="1:11" ht="27" thickBot="1" x14ac:dyDescent="0.3">
      <c r="B52" s="371" t="s">
        <v>306</v>
      </c>
      <c r="C52" s="372" t="s">
        <v>19</v>
      </c>
      <c r="D52" s="372" t="s">
        <v>326</v>
      </c>
      <c r="E52" s="372" t="s">
        <v>310</v>
      </c>
      <c r="F52" s="373" t="s">
        <v>552</v>
      </c>
      <c r="G52" s="374" t="s">
        <v>1063</v>
      </c>
      <c r="H52" s="372" t="s">
        <v>1064</v>
      </c>
      <c r="I52" s="375" t="s">
        <v>1065</v>
      </c>
      <c r="J52" s="375" t="s">
        <v>1066</v>
      </c>
      <c r="K52" s="376" t="s">
        <v>1067</v>
      </c>
    </row>
    <row r="53" spans="1:11" ht="15" thickBot="1" x14ac:dyDescent="0.3">
      <c r="B53" s="490" t="s">
        <v>621</v>
      </c>
      <c r="C53" s="491" t="s">
        <v>621</v>
      </c>
      <c r="D53" s="491" t="s">
        <v>619</v>
      </c>
      <c r="E53" s="491" t="s">
        <v>619</v>
      </c>
      <c r="F53" s="492" t="s">
        <v>621</v>
      </c>
      <c r="G53" s="493" t="s">
        <v>619</v>
      </c>
      <c r="H53" s="491" t="s">
        <v>621</v>
      </c>
      <c r="I53" s="491" t="s">
        <v>619</v>
      </c>
      <c r="J53" s="491" t="s">
        <v>621</v>
      </c>
      <c r="K53" s="492" t="s">
        <v>621</v>
      </c>
    </row>
    <row r="54" spans="1:11" ht="13.8" thickBot="1" x14ac:dyDescent="0.3">
      <c r="A54" s="390"/>
      <c r="B54" s="807" t="s">
        <v>1068</v>
      </c>
      <c r="C54" s="808"/>
      <c r="D54" s="808"/>
      <c r="E54" s="808"/>
      <c r="F54" s="808"/>
      <c r="G54" s="808"/>
      <c r="H54" s="808"/>
      <c r="I54" s="808"/>
      <c r="J54" s="808"/>
      <c r="K54" s="809"/>
    </row>
    <row r="55" spans="1:11" ht="27" thickBot="1" x14ac:dyDescent="0.3">
      <c r="A55" s="390"/>
      <c r="B55" s="369" t="s">
        <v>1124</v>
      </c>
      <c r="C55" s="918" t="s">
        <v>31</v>
      </c>
      <c r="D55" s="918"/>
      <c r="E55" s="918"/>
      <c r="F55" s="918"/>
      <c r="G55" s="918"/>
      <c r="H55" s="918"/>
      <c r="I55" s="401" t="s">
        <v>1125</v>
      </c>
      <c r="J55" s="906" t="s">
        <v>1074</v>
      </c>
      <c r="K55" s="907"/>
    </row>
    <row r="56" spans="1:11" ht="39.9" customHeight="1" thickBot="1" x14ac:dyDescent="0.3">
      <c r="A56" s="390"/>
      <c r="B56" s="495" t="s">
        <v>631</v>
      </c>
      <c r="C56" s="768" t="s">
        <v>666</v>
      </c>
      <c r="D56" s="768"/>
      <c r="E56" s="768"/>
      <c r="F56" s="768"/>
      <c r="G56" s="768"/>
      <c r="H56" s="768"/>
      <c r="I56" s="499" t="s">
        <v>35</v>
      </c>
      <c r="J56" s="908" t="s">
        <v>863</v>
      </c>
      <c r="K56" s="909"/>
    </row>
    <row r="57" spans="1:11" ht="27" customHeight="1" thickBot="1" x14ac:dyDescent="0.3">
      <c r="A57" s="390"/>
      <c r="B57" s="495" t="s">
        <v>876</v>
      </c>
      <c r="C57" s="768" t="s">
        <v>875</v>
      </c>
      <c r="D57" s="768"/>
      <c r="E57" s="768"/>
      <c r="F57" s="768"/>
      <c r="G57" s="768"/>
      <c r="H57" s="768"/>
      <c r="I57" s="499" t="s">
        <v>37</v>
      </c>
      <c r="J57" s="910" t="s">
        <v>1797</v>
      </c>
      <c r="K57" s="911"/>
    </row>
    <row r="58" spans="1:11" ht="27" thickBot="1" x14ac:dyDescent="0.3">
      <c r="A58" s="390"/>
      <c r="B58" s="383" t="s">
        <v>1072</v>
      </c>
      <c r="C58" s="814" t="s">
        <v>1103</v>
      </c>
      <c r="D58" s="815"/>
      <c r="E58" s="383" t="s">
        <v>1070</v>
      </c>
      <c r="F58" s="402" t="s">
        <v>1134</v>
      </c>
      <c r="G58" s="816" t="s">
        <v>1131</v>
      </c>
      <c r="H58" s="817"/>
      <c r="I58" s="383" t="s">
        <v>1130</v>
      </c>
      <c r="J58" s="814" t="s">
        <v>1133</v>
      </c>
      <c r="K58" s="815"/>
    </row>
    <row r="59" spans="1:11" ht="13.8" thickBot="1" x14ac:dyDescent="0.3">
      <c r="B59" s="938" t="s">
        <v>1076</v>
      </c>
      <c r="C59" s="939"/>
      <c r="D59" s="939"/>
      <c r="E59" s="939"/>
      <c r="F59" s="939"/>
      <c r="G59" s="939"/>
      <c r="H59" s="939"/>
      <c r="I59" s="939"/>
      <c r="J59" s="939"/>
      <c r="K59" s="940"/>
    </row>
    <row r="60" spans="1:11" ht="27" customHeight="1" thickBot="1" x14ac:dyDescent="0.3">
      <c r="B60" s="494" t="s">
        <v>876</v>
      </c>
      <c r="C60" s="892" t="s">
        <v>1814</v>
      </c>
      <c r="D60" s="893"/>
      <c r="E60" s="893"/>
      <c r="F60" s="893"/>
      <c r="G60" s="893"/>
      <c r="H60" s="893"/>
      <c r="I60" s="893"/>
      <c r="J60" s="893"/>
      <c r="K60" s="926"/>
    </row>
    <row r="61" spans="1:11" ht="13.8" thickBot="1" x14ac:dyDescent="0.3">
      <c r="B61" s="912" t="s">
        <v>1077</v>
      </c>
      <c r="C61" s="913"/>
      <c r="D61" s="913"/>
      <c r="E61" s="913"/>
      <c r="F61" s="913"/>
      <c r="G61" s="913"/>
      <c r="H61" s="913"/>
      <c r="I61" s="913"/>
      <c r="J61" s="913"/>
      <c r="K61" s="914"/>
    </row>
    <row r="62" spans="1:11" ht="27" customHeight="1" x14ac:dyDescent="0.25">
      <c r="B62" s="497" t="s">
        <v>685</v>
      </c>
      <c r="C62" s="927" t="s">
        <v>481</v>
      </c>
      <c r="D62" s="927"/>
      <c r="E62" s="927"/>
      <c r="F62" s="927"/>
      <c r="G62" s="927"/>
      <c r="H62" s="927"/>
      <c r="I62" s="927"/>
      <c r="J62" s="927"/>
      <c r="K62" s="928"/>
    </row>
    <row r="63" spans="1:11" x14ac:dyDescent="0.25">
      <c r="B63" s="498" t="s">
        <v>715</v>
      </c>
      <c r="C63" s="765" t="s">
        <v>1099</v>
      </c>
      <c r="D63" s="765"/>
      <c r="E63" s="765"/>
      <c r="F63" s="765"/>
      <c r="G63" s="765"/>
      <c r="H63" s="765"/>
      <c r="I63" s="765"/>
      <c r="J63" s="765"/>
      <c r="K63" s="925"/>
    </row>
    <row r="64" spans="1:11" ht="27" customHeight="1" thickBot="1" x14ac:dyDescent="0.3">
      <c r="B64" s="496" t="s">
        <v>716</v>
      </c>
      <c r="C64" s="941" t="s">
        <v>717</v>
      </c>
      <c r="D64" s="941"/>
      <c r="E64" s="941"/>
      <c r="F64" s="941"/>
      <c r="G64" s="941"/>
      <c r="H64" s="941"/>
      <c r="I64" s="941"/>
      <c r="J64" s="941"/>
      <c r="K64" s="942"/>
    </row>
    <row r="67" spans="1:11" ht="13.8" thickBot="1" x14ac:dyDescent="0.3">
      <c r="A67" s="390" t="s">
        <v>1095</v>
      </c>
      <c r="B67" s="390" t="s">
        <v>513</v>
      </c>
    </row>
    <row r="68" spans="1:11" ht="13.8" thickBot="1" x14ac:dyDescent="0.3">
      <c r="B68" s="921" t="s">
        <v>1060</v>
      </c>
      <c r="C68" s="922"/>
      <c r="D68" s="922"/>
      <c r="E68" s="922"/>
      <c r="F68" s="922"/>
      <c r="G68" s="922"/>
      <c r="H68" s="922"/>
      <c r="I68" s="922"/>
      <c r="J68" s="922"/>
      <c r="K68" s="923"/>
    </row>
    <row r="69" spans="1:11" ht="13.8" thickBot="1" x14ac:dyDescent="0.3">
      <c r="B69" s="494" t="s">
        <v>570</v>
      </c>
      <c r="C69" s="810" t="s">
        <v>365</v>
      </c>
      <c r="D69" s="810"/>
      <c r="E69" s="810"/>
      <c r="F69" s="810"/>
      <c r="G69" s="810"/>
      <c r="H69" s="810"/>
      <c r="I69" s="810"/>
      <c r="J69" s="810"/>
      <c r="K69" s="811"/>
    </row>
    <row r="70" spans="1:11" s="290" customFormat="1" ht="13.8" thickBot="1" x14ac:dyDescent="0.35">
      <c r="B70" s="929" t="s">
        <v>1109</v>
      </c>
      <c r="C70" s="930"/>
      <c r="D70" s="930"/>
      <c r="E70" s="930"/>
      <c r="F70" s="930"/>
      <c r="G70" s="930"/>
      <c r="H70" s="930"/>
      <c r="I70" s="930"/>
      <c r="J70" s="930"/>
      <c r="K70" s="931"/>
    </row>
    <row r="71" spans="1:11" s="290" customFormat="1" x14ac:dyDescent="0.3">
      <c r="B71" s="361" t="s">
        <v>1110</v>
      </c>
      <c r="C71" s="812" t="s">
        <v>1111</v>
      </c>
      <c r="D71" s="812"/>
      <c r="E71" s="812"/>
      <c r="F71" s="812"/>
      <c r="G71" s="812"/>
      <c r="H71" s="812"/>
      <c r="I71" s="812"/>
      <c r="J71" s="812"/>
      <c r="K71" s="362" t="s">
        <v>35</v>
      </c>
    </row>
    <row r="72" spans="1:11" s="290" customFormat="1" x14ac:dyDescent="0.3">
      <c r="A72" s="352"/>
      <c r="B72" s="363"/>
      <c r="C72" s="804" t="s">
        <v>1206</v>
      </c>
      <c r="D72" s="805"/>
      <c r="E72" s="805"/>
      <c r="F72" s="805"/>
      <c r="G72" s="805"/>
      <c r="H72" s="805"/>
      <c r="I72" s="805"/>
      <c r="J72" s="806"/>
      <c r="K72" s="364"/>
    </row>
    <row r="73" spans="1:11" s="290" customFormat="1" x14ac:dyDescent="0.3">
      <c r="B73" s="365" t="s">
        <v>1112</v>
      </c>
      <c r="C73" s="813" t="s">
        <v>1118</v>
      </c>
      <c r="D73" s="813"/>
      <c r="E73" s="813"/>
      <c r="F73" s="813"/>
      <c r="G73" s="813"/>
      <c r="H73" s="813"/>
      <c r="I73" s="813"/>
      <c r="J73" s="813"/>
      <c r="K73" s="366" t="s">
        <v>35</v>
      </c>
    </row>
    <row r="74" spans="1:11" s="290" customFormat="1" x14ac:dyDescent="0.3">
      <c r="B74" s="365" t="s">
        <v>1113</v>
      </c>
      <c r="C74" s="813" t="s">
        <v>1119</v>
      </c>
      <c r="D74" s="813"/>
      <c r="E74" s="813"/>
      <c r="F74" s="813"/>
      <c r="G74" s="813"/>
      <c r="H74" s="813"/>
      <c r="I74" s="813"/>
      <c r="J74" s="813"/>
      <c r="K74" s="366" t="s">
        <v>35</v>
      </c>
    </row>
    <row r="75" spans="1:11" s="290" customFormat="1" x14ac:dyDescent="0.3">
      <c r="B75" s="365" t="s">
        <v>1114</v>
      </c>
      <c r="C75" s="813" t="s">
        <v>1120</v>
      </c>
      <c r="D75" s="813"/>
      <c r="E75" s="813"/>
      <c r="F75" s="813"/>
      <c r="G75" s="813"/>
      <c r="H75" s="813"/>
      <c r="I75" s="813"/>
      <c r="J75" s="813"/>
      <c r="K75" s="366" t="s">
        <v>35</v>
      </c>
    </row>
    <row r="76" spans="1:11" s="290" customFormat="1" ht="27" customHeight="1" x14ac:dyDescent="0.3">
      <c r="B76" s="365" t="s">
        <v>1115</v>
      </c>
      <c r="C76" s="813" t="s">
        <v>1121</v>
      </c>
      <c r="D76" s="813"/>
      <c r="E76" s="813"/>
      <c r="F76" s="813"/>
      <c r="G76" s="813"/>
      <c r="H76" s="813"/>
      <c r="I76" s="813"/>
      <c r="J76" s="813"/>
      <c r="K76" s="366" t="s">
        <v>35</v>
      </c>
    </row>
    <row r="77" spans="1:11" s="290" customFormat="1" x14ac:dyDescent="0.3">
      <c r="B77" s="365" t="s">
        <v>1116</v>
      </c>
      <c r="C77" s="813" t="s">
        <v>1272</v>
      </c>
      <c r="D77" s="813"/>
      <c r="E77" s="813"/>
      <c r="F77" s="813"/>
      <c r="G77" s="813"/>
      <c r="H77" s="813"/>
      <c r="I77" s="813"/>
      <c r="J77" s="813"/>
      <c r="K77" s="366" t="s">
        <v>35</v>
      </c>
    </row>
    <row r="78" spans="1:11" s="290" customFormat="1" ht="13.8" thickBot="1" x14ac:dyDescent="0.35">
      <c r="B78" s="367" t="s">
        <v>1117</v>
      </c>
      <c r="C78" s="831" t="s">
        <v>1122</v>
      </c>
      <c r="D78" s="831"/>
      <c r="E78" s="831"/>
      <c r="F78" s="831"/>
      <c r="G78" s="831"/>
      <c r="H78" s="831"/>
      <c r="I78" s="831"/>
      <c r="J78" s="831"/>
      <c r="K78" s="368" t="s">
        <v>35</v>
      </c>
    </row>
    <row r="79" spans="1:11" s="290" customFormat="1" ht="13.8" thickBot="1" x14ac:dyDescent="0.35">
      <c r="B79" s="391"/>
      <c r="C79" s="915" t="s">
        <v>1123</v>
      </c>
      <c r="D79" s="916"/>
      <c r="E79" s="916"/>
      <c r="F79" s="916"/>
      <c r="G79" s="916"/>
      <c r="H79" s="916"/>
      <c r="I79" s="916"/>
      <c r="J79" s="917"/>
      <c r="K79" s="392" t="str">
        <f>IF(OR(K71="Yes",K73="Yes",K74="Yes",K75="Yes",K76="Yes",K77="Yes",K78="Yes"),"Yes","No")</f>
        <v>No</v>
      </c>
    </row>
    <row r="80" spans="1:11" ht="13.8" thickBot="1" x14ac:dyDescent="0.3">
      <c r="B80" s="924" t="s">
        <v>1061</v>
      </c>
      <c r="C80" s="924"/>
      <c r="D80" s="924"/>
      <c r="E80" s="924"/>
      <c r="F80" s="924"/>
      <c r="G80" s="924" t="s">
        <v>1062</v>
      </c>
      <c r="H80" s="924"/>
      <c r="I80" s="924"/>
      <c r="J80" s="924"/>
      <c r="K80" s="924"/>
    </row>
    <row r="81" spans="1:11" ht="27" thickBot="1" x14ac:dyDescent="0.3">
      <c r="B81" s="371" t="s">
        <v>306</v>
      </c>
      <c r="C81" s="372" t="s">
        <v>19</v>
      </c>
      <c r="D81" s="372" t="s">
        <v>326</v>
      </c>
      <c r="E81" s="372" t="s">
        <v>310</v>
      </c>
      <c r="F81" s="373" t="s">
        <v>552</v>
      </c>
      <c r="G81" s="374" t="s">
        <v>1063</v>
      </c>
      <c r="H81" s="372" t="s">
        <v>1064</v>
      </c>
      <c r="I81" s="375" t="s">
        <v>1065</v>
      </c>
      <c r="J81" s="375" t="s">
        <v>1066</v>
      </c>
      <c r="K81" s="376" t="s">
        <v>1067</v>
      </c>
    </row>
    <row r="82" spans="1:11" ht="15" thickBot="1" x14ac:dyDescent="0.3">
      <c r="B82" s="490" t="s">
        <v>621</v>
      </c>
      <c r="C82" s="491" t="s">
        <v>619</v>
      </c>
      <c r="D82" s="491" t="s">
        <v>619</v>
      </c>
      <c r="E82" s="491" t="s">
        <v>621</v>
      </c>
      <c r="F82" s="492" t="s">
        <v>621</v>
      </c>
      <c r="G82" s="493" t="s">
        <v>619</v>
      </c>
      <c r="H82" s="491" t="s">
        <v>619</v>
      </c>
      <c r="I82" s="491" t="s">
        <v>619</v>
      </c>
      <c r="J82" s="491" t="s">
        <v>621</v>
      </c>
      <c r="K82" s="492" t="s">
        <v>621</v>
      </c>
    </row>
    <row r="83" spans="1:11" ht="13.8" thickBot="1" x14ac:dyDescent="0.3">
      <c r="A83" s="390"/>
      <c r="B83" s="807" t="s">
        <v>1068</v>
      </c>
      <c r="C83" s="808"/>
      <c r="D83" s="808"/>
      <c r="E83" s="808"/>
      <c r="F83" s="808"/>
      <c r="G83" s="808"/>
      <c r="H83" s="808"/>
      <c r="I83" s="808"/>
      <c r="J83" s="808"/>
      <c r="K83" s="809"/>
    </row>
    <row r="84" spans="1:11" ht="27" thickBot="1" x14ac:dyDescent="0.3">
      <c r="A84" s="390"/>
      <c r="B84" s="369" t="s">
        <v>1124</v>
      </c>
      <c r="C84" s="918" t="s">
        <v>31</v>
      </c>
      <c r="D84" s="918"/>
      <c r="E84" s="918"/>
      <c r="F84" s="918"/>
      <c r="G84" s="918"/>
      <c r="H84" s="918"/>
      <c r="I84" s="401" t="s">
        <v>1125</v>
      </c>
      <c r="J84" s="906" t="s">
        <v>1074</v>
      </c>
      <c r="K84" s="907"/>
    </row>
    <row r="85" spans="1:11" ht="41.4" customHeight="1" thickBot="1" x14ac:dyDescent="0.3">
      <c r="A85" s="390"/>
      <c r="B85" s="495" t="s">
        <v>631</v>
      </c>
      <c r="C85" s="768" t="s">
        <v>666</v>
      </c>
      <c r="D85" s="768"/>
      <c r="E85" s="768"/>
      <c r="F85" s="768"/>
      <c r="G85" s="768"/>
      <c r="H85" s="768"/>
      <c r="I85" s="499" t="s">
        <v>35</v>
      </c>
      <c r="J85" s="908" t="s">
        <v>863</v>
      </c>
      <c r="K85" s="909"/>
    </row>
    <row r="86" spans="1:11" ht="27" thickBot="1" x14ac:dyDescent="0.3">
      <c r="A86" s="390"/>
      <c r="B86" s="383" t="s">
        <v>1072</v>
      </c>
      <c r="C86" s="814" t="s">
        <v>1103</v>
      </c>
      <c r="D86" s="815"/>
      <c r="E86" s="383" t="s">
        <v>1070</v>
      </c>
      <c r="F86" s="402" t="s">
        <v>1134</v>
      </c>
      <c r="G86" s="816" t="s">
        <v>1202</v>
      </c>
      <c r="H86" s="817"/>
      <c r="I86" s="383" t="s">
        <v>1130</v>
      </c>
      <c r="J86" s="814" t="s">
        <v>1133</v>
      </c>
      <c r="K86" s="815"/>
    </row>
    <row r="87" spans="1:11" ht="13.8" thickBot="1" x14ac:dyDescent="0.3">
      <c r="B87" s="938" t="s">
        <v>1076</v>
      </c>
      <c r="C87" s="939"/>
      <c r="D87" s="939"/>
      <c r="E87" s="939"/>
      <c r="F87" s="939"/>
      <c r="G87" s="939"/>
      <c r="H87" s="939"/>
      <c r="I87" s="939"/>
      <c r="J87" s="939"/>
      <c r="K87" s="940"/>
    </row>
    <row r="88" spans="1:11" ht="13.8" thickBot="1" x14ac:dyDescent="0.3">
      <c r="B88" s="403" t="s">
        <v>863</v>
      </c>
      <c r="C88" s="943" t="s">
        <v>1439</v>
      </c>
      <c r="D88" s="943"/>
      <c r="E88" s="943"/>
      <c r="F88" s="943"/>
      <c r="G88" s="943"/>
      <c r="H88" s="943"/>
      <c r="I88" s="943"/>
      <c r="J88" s="943"/>
      <c r="K88" s="944"/>
    </row>
    <row r="89" spans="1:11" ht="13.8" thickBot="1" x14ac:dyDescent="0.3">
      <c r="B89" s="938" t="s">
        <v>1077</v>
      </c>
      <c r="C89" s="939"/>
      <c r="D89" s="939"/>
      <c r="E89" s="939"/>
      <c r="F89" s="939"/>
      <c r="G89" s="939"/>
      <c r="H89" s="939"/>
      <c r="I89" s="939"/>
      <c r="J89" s="939"/>
      <c r="K89" s="940"/>
    </row>
    <row r="90" spans="1:11" ht="13.8" thickBot="1" x14ac:dyDescent="0.3">
      <c r="B90" s="494" t="s">
        <v>686</v>
      </c>
      <c r="C90" s="903" t="s">
        <v>373</v>
      </c>
      <c r="D90" s="904"/>
      <c r="E90" s="904"/>
      <c r="F90" s="904"/>
      <c r="G90" s="904"/>
      <c r="H90" s="904"/>
      <c r="I90" s="904"/>
      <c r="J90" s="904"/>
      <c r="K90" s="905"/>
    </row>
    <row r="92" spans="1:11" ht="13.8" thickBot="1" x14ac:dyDescent="0.3"/>
    <row r="93" spans="1:11" ht="13.8" thickBot="1" x14ac:dyDescent="0.3">
      <c r="B93" s="921" t="s">
        <v>1060</v>
      </c>
      <c r="C93" s="922"/>
      <c r="D93" s="922"/>
      <c r="E93" s="922"/>
      <c r="F93" s="922"/>
      <c r="G93" s="922"/>
      <c r="H93" s="922"/>
      <c r="I93" s="922"/>
      <c r="J93" s="922"/>
      <c r="K93" s="923"/>
    </row>
    <row r="94" spans="1:11" ht="13.8" thickBot="1" x14ac:dyDescent="0.3">
      <c r="B94" s="494" t="s">
        <v>571</v>
      </c>
      <c r="C94" s="810" t="s">
        <v>367</v>
      </c>
      <c r="D94" s="810"/>
      <c r="E94" s="810"/>
      <c r="F94" s="810"/>
      <c r="G94" s="810"/>
      <c r="H94" s="810"/>
      <c r="I94" s="810"/>
      <c r="J94" s="810"/>
      <c r="K94" s="811"/>
    </row>
    <row r="95" spans="1:11" s="290" customFormat="1" ht="13.8" thickBot="1" x14ac:dyDescent="0.35">
      <c r="B95" s="929" t="s">
        <v>1109</v>
      </c>
      <c r="C95" s="930"/>
      <c r="D95" s="930"/>
      <c r="E95" s="930"/>
      <c r="F95" s="930"/>
      <c r="G95" s="930"/>
      <c r="H95" s="930"/>
      <c r="I95" s="930"/>
      <c r="J95" s="930"/>
      <c r="K95" s="931"/>
    </row>
    <row r="96" spans="1:11" s="290" customFormat="1" x14ac:dyDescent="0.3">
      <c r="B96" s="361" t="s">
        <v>1110</v>
      </c>
      <c r="C96" s="812" t="s">
        <v>1111</v>
      </c>
      <c r="D96" s="812"/>
      <c r="E96" s="812"/>
      <c r="F96" s="812"/>
      <c r="G96" s="812"/>
      <c r="H96" s="812"/>
      <c r="I96" s="812"/>
      <c r="J96" s="812"/>
      <c r="K96" s="362" t="s">
        <v>35</v>
      </c>
    </row>
    <row r="97" spans="1:11" s="290" customFormat="1" x14ac:dyDescent="0.3">
      <c r="A97" s="352"/>
      <c r="B97" s="363"/>
      <c r="C97" s="804" t="s">
        <v>1206</v>
      </c>
      <c r="D97" s="805"/>
      <c r="E97" s="805"/>
      <c r="F97" s="805"/>
      <c r="G97" s="805"/>
      <c r="H97" s="805"/>
      <c r="I97" s="805"/>
      <c r="J97" s="806"/>
      <c r="K97" s="364"/>
    </row>
    <row r="98" spans="1:11" s="290" customFormat="1" x14ac:dyDescent="0.3">
      <c r="B98" s="365" t="s">
        <v>1112</v>
      </c>
      <c r="C98" s="813" t="s">
        <v>1118</v>
      </c>
      <c r="D98" s="813"/>
      <c r="E98" s="813"/>
      <c r="F98" s="813"/>
      <c r="G98" s="813"/>
      <c r="H98" s="813"/>
      <c r="I98" s="813"/>
      <c r="J98" s="813"/>
      <c r="K98" s="366" t="s">
        <v>35</v>
      </c>
    </row>
    <row r="99" spans="1:11" s="290" customFormat="1" x14ac:dyDescent="0.3">
      <c r="B99" s="365" t="s">
        <v>1113</v>
      </c>
      <c r="C99" s="813" t="s">
        <v>1119</v>
      </c>
      <c r="D99" s="813"/>
      <c r="E99" s="813"/>
      <c r="F99" s="813"/>
      <c r="G99" s="813"/>
      <c r="H99" s="813"/>
      <c r="I99" s="813"/>
      <c r="J99" s="813"/>
      <c r="K99" s="366" t="s">
        <v>35</v>
      </c>
    </row>
    <row r="100" spans="1:11" s="290" customFormat="1" x14ac:dyDescent="0.3">
      <c r="B100" s="365" t="s">
        <v>1114</v>
      </c>
      <c r="C100" s="813" t="s">
        <v>1120</v>
      </c>
      <c r="D100" s="813"/>
      <c r="E100" s="813"/>
      <c r="F100" s="813"/>
      <c r="G100" s="813"/>
      <c r="H100" s="813"/>
      <c r="I100" s="813"/>
      <c r="J100" s="813"/>
      <c r="K100" s="366" t="s">
        <v>35</v>
      </c>
    </row>
    <row r="101" spans="1:11" s="290" customFormat="1" ht="27" customHeight="1" x14ac:dyDescent="0.3">
      <c r="B101" s="365" t="s">
        <v>1115</v>
      </c>
      <c r="C101" s="813" t="s">
        <v>1121</v>
      </c>
      <c r="D101" s="813"/>
      <c r="E101" s="813"/>
      <c r="F101" s="813"/>
      <c r="G101" s="813"/>
      <c r="H101" s="813"/>
      <c r="I101" s="813"/>
      <c r="J101" s="813"/>
      <c r="K101" s="366" t="s">
        <v>35</v>
      </c>
    </row>
    <row r="102" spans="1:11" s="290" customFormat="1" x14ac:dyDescent="0.3">
      <c r="B102" s="365" t="s">
        <v>1116</v>
      </c>
      <c r="C102" s="813" t="s">
        <v>1272</v>
      </c>
      <c r="D102" s="813"/>
      <c r="E102" s="813"/>
      <c r="F102" s="813"/>
      <c r="G102" s="813"/>
      <c r="H102" s="813"/>
      <c r="I102" s="813"/>
      <c r="J102" s="813"/>
      <c r="K102" s="366" t="s">
        <v>35</v>
      </c>
    </row>
    <row r="103" spans="1:11" s="290" customFormat="1" ht="13.8" thickBot="1" x14ac:dyDescent="0.35">
      <c r="B103" s="367" t="s">
        <v>1117</v>
      </c>
      <c r="C103" s="831" t="s">
        <v>1122</v>
      </c>
      <c r="D103" s="831"/>
      <c r="E103" s="831"/>
      <c r="F103" s="831"/>
      <c r="G103" s="831"/>
      <c r="H103" s="831"/>
      <c r="I103" s="831"/>
      <c r="J103" s="831"/>
      <c r="K103" s="368" t="s">
        <v>35</v>
      </c>
    </row>
    <row r="104" spans="1:11" s="290" customFormat="1" ht="13.8" thickBot="1" x14ac:dyDescent="0.35">
      <c r="B104" s="391"/>
      <c r="C104" s="915" t="s">
        <v>1123</v>
      </c>
      <c r="D104" s="916"/>
      <c r="E104" s="916"/>
      <c r="F104" s="916"/>
      <c r="G104" s="916"/>
      <c r="H104" s="916"/>
      <c r="I104" s="916"/>
      <c r="J104" s="917"/>
      <c r="K104" s="392" t="str">
        <f>IF(OR(K96="Yes",K98="Yes",K99="Yes",K100="Yes",K101="Yes",K102="Yes",K103="Yes"),"Yes","No")</f>
        <v>No</v>
      </c>
    </row>
    <row r="105" spans="1:11" ht="13.8" thickBot="1" x14ac:dyDescent="0.3">
      <c r="B105" s="924" t="s">
        <v>1061</v>
      </c>
      <c r="C105" s="924"/>
      <c r="D105" s="924"/>
      <c r="E105" s="924"/>
      <c r="F105" s="924"/>
      <c r="G105" s="924" t="s">
        <v>1062</v>
      </c>
      <c r="H105" s="924"/>
      <c r="I105" s="924"/>
      <c r="J105" s="924"/>
      <c r="K105" s="924"/>
    </row>
    <row r="106" spans="1:11" ht="27" thickBot="1" x14ac:dyDescent="0.3">
      <c r="B106" s="371" t="s">
        <v>306</v>
      </c>
      <c r="C106" s="372" t="s">
        <v>19</v>
      </c>
      <c r="D106" s="372" t="s">
        <v>326</v>
      </c>
      <c r="E106" s="372" t="s">
        <v>310</v>
      </c>
      <c r="F106" s="373" t="s">
        <v>552</v>
      </c>
      <c r="G106" s="374" t="s">
        <v>1063</v>
      </c>
      <c r="H106" s="372" t="s">
        <v>1064</v>
      </c>
      <c r="I106" s="375" t="s">
        <v>1065</v>
      </c>
      <c r="J106" s="375" t="s">
        <v>1066</v>
      </c>
      <c r="K106" s="376" t="s">
        <v>1067</v>
      </c>
    </row>
    <row r="107" spans="1:11" ht="15" thickBot="1" x14ac:dyDescent="0.3">
      <c r="B107" s="490" t="s">
        <v>621</v>
      </c>
      <c r="C107" s="491" t="s">
        <v>619</v>
      </c>
      <c r="D107" s="491" t="s">
        <v>619</v>
      </c>
      <c r="E107" s="491" t="s">
        <v>621</v>
      </c>
      <c r="F107" s="492" t="s">
        <v>621</v>
      </c>
      <c r="G107" s="493" t="s">
        <v>619</v>
      </c>
      <c r="H107" s="491" t="s">
        <v>619</v>
      </c>
      <c r="I107" s="491" t="s">
        <v>619</v>
      </c>
      <c r="J107" s="491" t="s">
        <v>621</v>
      </c>
      <c r="K107" s="492" t="s">
        <v>621</v>
      </c>
    </row>
    <row r="108" spans="1:11" ht="13.8" thickBot="1" x14ac:dyDescent="0.3">
      <c r="A108" s="390"/>
      <c r="B108" s="807" t="s">
        <v>1068</v>
      </c>
      <c r="C108" s="808"/>
      <c r="D108" s="808"/>
      <c r="E108" s="808"/>
      <c r="F108" s="808"/>
      <c r="G108" s="808"/>
      <c r="H108" s="808"/>
      <c r="I108" s="808"/>
      <c r="J108" s="808"/>
      <c r="K108" s="809"/>
    </row>
    <row r="109" spans="1:11" ht="27" thickBot="1" x14ac:dyDescent="0.3">
      <c r="A109" s="390"/>
      <c r="B109" s="369" t="s">
        <v>1124</v>
      </c>
      <c r="C109" s="918" t="s">
        <v>31</v>
      </c>
      <c r="D109" s="918"/>
      <c r="E109" s="918"/>
      <c r="F109" s="918"/>
      <c r="G109" s="918"/>
      <c r="H109" s="918"/>
      <c r="I109" s="401" t="s">
        <v>1125</v>
      </c>
      <c r="J109" s="906" t="s">
        <v>1074</v>
      </c>
      <c r="K109" s="907"/>
    </row>
    <row r="110" spans="1:11" ht="41.4" customHeight="1" thickBot="1" x14ac:dyDescent="0.3">
      <c r="A110" s="390"/>
      <c r="B110" s="495" t="s">
        <v>631</v>
      </c>
      <c r="C110" s="768" t="s">
        <v>666</v>
      </c>
      <c r="D110" s="768"/>
      <c r="E110" s="768"/>
      <c r="F110" s="768"/>
      <c r="G110" s="768"/>
      <c r="H110" s="768"/>
      <c r="I110" s="499" t="s">
        <v>35</v>
      </c>
      <c r="J110" s="908" t="s">
        <v>863</v>
      </c>
      <c r="K110" s="909"/>
    </row>
    <row r="111" spans="1:11" ht="27" thickBot="1" x14ac:dyDescent="0.3">
      <c r="A111" s="390"/>
      <c r="B111" s="383" t="s">
        <v>1072</v>
      </c>
      <c r="C111" s="861" t="s">
        <v>1440</v>
      </c>
      <c r="D111" s="862"/>
      <c r="E111" s="383" t="s">
        <v>1070</v>
      </c>
      <c r="F111" s="402" t="s">
        <v>1134</v>
      </c>
      <c r="G111" s="816" t="s">
        <v>1202</v>
      </c>
      <c r="H111" s="817"/>
      <c r="I111" s="383" t="s">
        <v>1130</v>
      </c>
      <c r="J111" s="814" t="s">
        <v>1133</v>
      </c>
      <c r="K111" s="815"/>
    </row>
    <row r="112" spans="1:11" ht="13.8" thickBot="1" x14ac:dyDescent="0.3">
      <c r="B112" s="938" t="s">
        <v>1076</v>
      </c>
      <c r="C112" s="939"/>
      <c r="D112" s="939"/>
      <c r="E112" s="939"/>
      <c r="F112" s="939"/>
      <c r="G112" s="939"/>
      <c r="H112" s="939"/>
      <c r="I112" s="939"/>
      <c r="J112" s="939"/>
      <c r="K112" s="940"/>
    </row>
    <row r="113" spans="1:11" ht="13.8" thickBot="1" x14ac:dyDescent="0.3">
      <c r="B113" s="403" t="s">
        <v>863</v>
      </c>
      <c r="C113" s="943" t="s">
        <v>1439</v>
      </c>
      <c r="D113" s="943"/>
      <c r="E113" s="943"/>
      <c r="F113" s="943"/>
      <c r="G113" s="943"/>
      <c r="H113" s="943"/>
      <c r="I113" s="943"/>
      <c r="J113" s="943"/>
      <c r="K113" s="944"/>
    </row>
    <row r="114" spans="1:11" ht="13.8" thickBot="1" x14ac:dyDescent="0.3">
      <c r="B114" s="938" t="s">
        <v>1077</v>
      </c>
      <c r="C114" s="939"/>
      <c r="D114" s="939"/>
      <c r="E114" s="939"/>
      <c r="F114" s="939"/>
      <c r="G114" s="939"/>
      <c r="H114" s="939"/>
      <c r="I114" s="939"/>
      <c r="J114" s="939"/>
      <c r="K114" s="940"/>
    </row>
    <row r="115" spans="1:11" ht="13.8" thickBot="1" x14ac:dyDescent="0.3">
      <c r="B115" s="494" t="s">
        <v>686</v>
      </c>
      <c r="C115" s="903" t="s">
        <v>373</v>
      </c>
      <c r="D115" s="904"/>
      <c r="E115" s="904"/>
      <c r="F115" s="904"/>
      <c r="G115" s="904"/>
      <c r="H115" s="904"/>
      <c r="I115" s="904"/>
      <c r="J115" s="904"/>
      <c r="K115" s="905"/>
    </row>
    <row r="118" spans="1:11" ht="13.8" thickBot="1" x14ac:dyDescent="0.3">
      <c r="A118" s="390" t="s">
        <v>1098</v>
      </c>
      <c r="B118" s="390" t="s">
        <v>1442</v>
      </c>
    </row>
    <row r="119" spans="1:11" ht="13.8" thickBot="1" x14ac:dyDescent="0.3">
      <c r="B119" s="921" t="s">
        <v>1060</v>
      </c>
      <c r="C119" s="922"/>
      <c r="D119" s="922"/>
      <c r="E119" s="922"/>
      <c r="F119" s="922"/>
      <c r="G119" s="922"/>
      <c r="H119" s="922"/>
      <c r="I119" s="922"/>
      <c r="J119" s="922"/>
      <c r="K119" s="923"/>
    </row>
    <row r="120" spans="1:11" ht="28.2" customHeight="1" thickBot="1" x14ac:dyDescent="0.3">
      <c r="B120" s="494" t="s">
        <v>572</v>
      </c>
      <c r="C120" s="810" t="s">
        <v>1441</v>
      </c>
      <c r="D120" s="810"/>
      <c r="E120" s="810"/>
      <c r="F120" s="810"/>
      <c r="G120" s="810"/>
      <c r="H120" s="810"/>
      <c r="I120" s="810"/>
      <c r="J120" s="810"/>
      <c r="K120" s="811"/>
    </row>
    <row r="121" spans="1:11" s="290" customFormat="1" ht="13.8" thickBot="1" x14ac:dyDescent="0.35">
      <c r="B121" s="929" t="s">
        <v>1109</v>
      </c>
      <c r="C121" s="930"/>
      <c r="D121" s="930"/>
      <c r="E121" s="930"/>
      <c r="F121" s="930"/>
      <c r="G121" s="930"/>
      <c r="H121" s="930"/>
      <c r="I121" s="930"/>
      <c r="J121" s="930"/>
      <c r="K121" s="931"/>
    </row>
    <row r="122" spans="1:11" s="290" customFormat="1" x14ac:dyDescent="0.3">
      <c r="B122" s="361" t="s">
        <v>1110</v>
      </c>
      <c r="C122" s="812" t="s">
        <v>1111</v>
      </c>
      <c r="D122" s="812"/>
      <c r="E122" s="812"/>
      <c r="F122" s="812"/>
      <c r="G122" s="812"/>
      <c r="H122" s="812"/>
      <c r="I122" s="812"/>
      <c r="J122" s="812"/>
      <c r="K122" s="362" t="s">
        <v>35</v>
      </c>
    </row>
    <row r="123" spans="1:11" s="290" customFormat="1" x14ac:dyDescent="0.3">
      <c r="A123" s="352"/>
      <c r="B123" s="363"/>
      <c r="C123" s="804" t="s">
        <v>1206</v>
      </c>
      <c r="D123" s="805"/>
      <c r="E123" s="805"/>
      <c r="F123" s="805"/>
      <c r="G123" s="805"/>
      <c r="H123" s="805"/>
      <c r="I123" s="805"/>
      <c r="J123" s="806"/>
      <c r="K123" s="364"/>
    </row>
    <row r="124" spans="1:11" s="290" customFormat="1" x14ac:dyDescent="0.3">
      <c r="B124" s="365" t="s">
        <v>1112</v>
      </c>
      <c r="C124" s="813" t="s">
        <v>1118</v>
      </c>
      <c r="D124" s="813"/>
      <c r="E124" s="813"/>
      <c r="F124" s="813"/>
      <c r="G124" s="813"/>
      <c r="H124" s="813"/>
      <c r="I124" s="813"/>
      <c r="J124" s="813"/>
      <c r="K124" s="366" t="s">
        <v>35</v>
      </c>
    </row>
    <row r="125" spans="1:11" s="290" customFormat="1" x14ac:dyDescent="0.3">
      <c r="B125" s="365" t="s">
        <v>1113</v>
      </c>
      <c r="C125" s="813" t="s">
        <v>1119</v>
      </c>
      <c r="D125" s="813"/>
      <c r="E125" s="813"/>
      <c r="F125" s="813"/>
      <c r="G125" s="813"/>
      <c r="H125" s="813"/>
      <c r="I125" s="813"/>
      <c r="J125" s="813"/>
      <c r="K125" s="366" t="s">
        <v>35</v>
      </c>
    </row>
    <row r="126" spans="1:11" s="290" customFormat="1" x14ac:dyDescent="0.3">
      <c r="B126" s="365" t="s">
        <v>1114</v>
      </c>
      <c r="C126" s="813" t="s">
        <v>1120</v>
      </c>
      <c r="D126" s="813"/>
      <c r="E126" s="813"/>
      <c r="F126" s="813"/>
      <c r="G126" s="813"/>
      <c r="H126" s="813"/>
      <c r="I126" s="813"/>
      <c r="J126" s="813"/>
      <c r="K126" s="366" t="s">
        <v>35</v>
      </c>
    </row>
    <row r="127" spans="1:11" s="290" customFormat="1" ht="27" customHeight="1" x14ac:dyDescent="0.3">
      <c r="B127" s="365" t="s">
        <v>1115</v>
      </c>
      <c r="C127" s="813" t="s">
        <v>1121</v>
      </c>
      <c r="D127" s="813"/>
      <c r="E127" s="813"/>
      <c r="F127" s="813"/>
      <c r="G127" s="813"/>
      <c r="H127" s="813"/>
      <c r="I127" s="813"/>
      <c r="J127" s="813"/>
      <c r="K127" s="366" t="s">
        <v>35</v>
      </c>
    </row>
    <row r="128" spans="1:11" s="290" customFormat="1" x14ac:dyDescent="0.3">
      <c r="B128" s="365" t="s">
        <v>1116</v>
      </c>
      <c r="C128" s="813" t="s">
        <v>1272</v>
      </c>
      <c r="D128" s="813"/>
      <c r="E128" s="813"/>
      <c r="F128" s="813"/>
      <c r="G128" s="813"/>
      <c r="H128" s="813"/>
      <c r="I128" s="813"/>
      <c r="J128" s="813"/>
      <c r="K128" s="366" t="s">
        <v>35</v>
      </c>
    </row>
    <row r="129" spans="1:11" s="290" customFormat="1" ht="13.8" thickBot="1" x14ac:dyDescent="0.35">
      <c r="B129" s="367" t="s">
        <v>1117</v>
      </c>
      <c r="C129" s="831" t="s">
        <v>1122</v>
      </c>
      <c r="D129" s="831"/>
      <c r="E129" s="831"/>
      <c r="F129" s="831"/>
      <c r="G129" s="831"/>
      <c r="H129" s="831"/>
      <c r="I129" s="831"/>
      <c r="J129" s="831"/>
      <c r="K129" s="368" t="s">
        <v>35</v>
      </c>
    </row>
    <row r="130" spans="1:11" s="290" customFormat="1" ht="13.8" thickBot="1" x14ac:dyDescent="0.35">
      <c r="B130" s="391"/>
      <c r="C130" s="915" t="s">
        <v>1123</v>
      </c>
      <c r="D130" s="916"/>
      <c r="E130" s="916"/>
      <c r="F130" s="916"/>
      <c r="G130" s="916"/>
      <c r="H130" s="916"/>
      <c r="I130" s="916"/>
      <c r="J130" s="917"/>
      <c r="K130" s="392" t="str">
        <f>IF(OR(K122="Yes",K124="Yes",K125="Yes",K126="Yes",K127="Yes",K128="Yes",K129="Yes"),"Yes","No")</f>
        <v>No</v>
      </c>
    </row>
    <row r="131" spans="1:11" ht="13.8" thickBot="1" x14ac:dyDescent="0.3">
      <c r="B131" s="924" t="s">
        <v>1061</v>
      </c>
      <c r="C131" s="924"/>
      <c r="D131" s="924"/>
      <c r="E131" s="924"/>
      <c r="F131" s="924"/>
      <c r="G131" s="924" t="s">
        <v>1062</v>
      </c>
      <c r="H131" s="924"/>
      <c r="I131" s="924"/>
      <c r="J131" s="924"/>
      <c r="K131" s="924"/>
    </row>
    <row r="132" spans="1:11" ht="27" thickBot="1" x14ac:dyDescent="0.3">
      <c r="B132" s="371" t="s">
        <v>306</v>
      </c>
      <c r="C132" s="372" t="s">
        <v>19</v>
      </c>
      <c r="D132" s="372" t="s">
        <v>326</v>
      </c>
      <c r="E132" s="373" t="s">
        <v>552</v>
      </c>
      <c r="F132" s="373" t="s">
        <v>1262</v>
      </c>
      <c r="G132" s="374" t="s">
        <v>1063</v>
      </c>
      <c r="H132" s="372" t="s">
        <v>1064</v>
      </c>
      <c r="I132" s="375" t="s">
        <v>1065</v>
      </c>
      <c r="J132" s="375" t="s">
        <v>1066</v>
      </c>
      <c r="K132" s="376" t="s">
        <v>1067</v>
      </c>
    </row>
    <row r="133" spans="1:11" ht="15" thickBot="1" x14ac:dyDescent="0.3">
      <c r="B133" s="490" t="s">
        <v>621</v>
      </c>
      <c r="C133" s="491" t="s">
        <v>619</v>
      </c>
      <c r="D133" s="491" t="s">
        <v>619</v>
      </c>
      <c r="E133" s="491" t="s">
        <v>619</v>
      </c>
      <c r="F133" s="492" t="s">
        <v>619</v>
      </c>
      <c r="G133" s="493" t="s">
        <v>619</v>
      </c>
      <c r="H133" s="491" t="s">
        <v>621</v>
      </c>
      <c r="I133" s="491" t="s">
        <v>619</v>
      </c>
      <c r="J133" s="491" t="s">
        <v>621</v>
      </c>
      <c r="K133" s="492" t="s">
        <v>621</v>
      </c>
    </row>
    <row r="134" spans="1:11" ht="13.8" thickBot="1" x14ac:dyDescent="0.3">
      <c r="A134" s="390"/>
      <c r="B134" s="807" t="s">
        <v>1068</v>
      </c>
      <c r="C134" s="808"/>
      <c r="D134" s="808"/>
      <c r="E134" s="808"/>
      <c r="F134" s="808"/>
      <c r="G134" s="808"/>
      <c r="H134" s="808"/>
      <c r="I134" s="808"/>
      <c r="J134" s="808"/>
      <c r="K134" s="809"/>
    </row>
    <row r="135" spans="1:11" ht="27" thickBot="1" x14ac:dyDescent="0.3">
      <c r="A135" s="390"/>
      <c r="B135" s="369" t="s">
        <v>1124</v>
      </c>
      <c r="C135" s="918" t="s">
        <v>31</v>
      </c>
      <c r="D135" s="918"/>
      <c r="E135" s="918"/>
      <c r="F135" s="918"/>
      <c r="G135" s="918"/>
      <c r="H135" s="918"/>
      <c r="I135" s="401" t="s">
        <v>1125</v>
      </c>
      <c r="J135" s="906" t="s">
        <v>1074</v>
      </c>
      <c r="K135" s="907"/>
    </row>
    <row r="136" spans="1:11" ht="13.8" thickBot="1" x14ac:dyDescent="0.3">
      <c r="A136" s="390"/>
      <c r="B136" s="363" t="s">
        <v>863</v>
      </c>
      <c r="C136" s="768" t="s">
        <v>863</v>
      </c>
      <c r="D136" s="768"/>
      <c r="E136" s="768"/>
      <c r="F136" s="768"/>
      <c r="G136" s="768"/>
      <c r="H136" s="768"/>
      <c r="I136" s="410" t="s">
        <v>863</v>
      </c>
      <c r="J136" s="761" t="s">
        <v>863</v>
      </c>
      <c r="K136" s="945"/>
    </row>
    <row r="137" spans="1:11" ht="27" customHeight="1" thickBot="1" x14ac:dyDescent="0.3">
      <c r="A137" s="390"/>
      <c r="B137" s="383" t="s">
        <v>1072</v>
      </c>
      <c r="C137" s="814" t="s">
        <v>1103</v>
      </c>
      <c r="D137" s="815"/>
      <c r="E137" s="383" t="s">
        <v>1070</v>
      </c>
      <c r="F137" s="402" t="s">
        <v>1137</v>
      </c>
      <c r="G137" s="816" t="s">
        <v>1267</v>
      </c>
      <c r="H137" s="817"/>
      <c r="I137" s="383" t="s">
        <v>1130</v>
      </c>
      <c r="J137" s="814" t="s">
        <v>1133</v>
      </c>
      <c r="K137" s="815"/>
    </row>
    <row r="138" spans="1:11" ht="13.8" thickBot="1" x14ac:dyDescent="0.3">
      <c r="B138" s="938" t="s">
        <v>1076</v>
      </c>
      <c r="C138" s="939"/>
      <c r="D138" s="939"/>
      <c r="E138" s="939"/>
      <c r="F138" s="939"/>
      <c r="G138" s="939"/>
      <c r="H138" s="939"/>
      <c r="I138" s="939"/>
      <c r="J138" s="939"/>
      <c r="K138" s="940"/>
    </row>
    <row r="139" spans="1:11" ht="13.8" thickBot="1" x14ac:dyDescent="0.3">
      <c r="B139" s="403" t="s">
        <v>863</v>
      </c>
      <c r="C139" s="943" t="s">
        <v>863</v>
      </c>
      <c r="D139" s="943"/>
      <c r="E139" s="943"/>
      <c r="F139" s="943"/>
      <c r="G139" s="943"/>
      <c r="H139" s="943"/>
      <c r="I139" s="943"/>
      <c r="J139" s="943"/>
      <c r="K139" s="944"/>
    </row>
    <row r="140" spans="1:11" ht="13.8" thickBot="1" x14ac:dyDescent="0.3">
      <c r="B140" s="938" t="s">
        <v>1077</v>
      </c>
      <c r="C140" s="939"/>
      <c r="D140" s="939"/>
      <c r="E140" s="939"/>
      <c r="F140" s="939"/>
      <c r="G140" s="939"/>
      <c r="H140" s="939"/>
      <c r="I140" s="939"/>
      <c r="J140" s="939"/>
      <c r="K140" s="940"/>
    </row>
    <row r="141" spans="1:11" x14ac:dyDescent="0.25">
      <c r="B141" s="523" t="s">
        <v>878</v>
      </c>
      <c r="C141" s="935" t="s">
        <v>879</v>
      </c>
      <c r="D141" s="936"/>
      <c r="E141" s="936"/>
      <c r="F141" s="936"/>
      <c r="G141" s="936"/>
      <c r="H141" s="936"/>
      <c r="I141" s="936"/>
      <c r="J141" s="936"/>
      <c r="K141" s="937"/>
    </row>
    <row r="142" spans="1:11" ht="13.8" thickBot="1" x14ac:dyDescent="0.3">
      <c r="B142" s="496" t="s">
        <v>1443</v>
      </c>
      <c r="C142" s="946" t="s">
        <v>1444</v>
      </c>
      <c r="D142" s="947"/>
      <c r="E142" s="947"/>
      <c r="F142" s="947"/>
      <c r="G142" s="947"/>
      <c r="H142" s="947"/>
      <c r="I142" s="947"/>
      <c r="J142" s="947"/>
      <c r="K142" s="948"/>
    </row>
    <row r="145" spans="1:11" ht="13.8" thickBot="1" x14ac:dyDescent="0.3">
      <c r="A145" s="390" t="s">
        <v>1101</v>
      </c>
      <c r="B145" s="390" t="s">
        <v>1785</v>
      </c>
    </row>
    <row r="146" spans="1:11" ht="13.8" thickBot="1" x14ac:dyDescent="0.3">
      <c r="B146" s="921" t="s">
        <v>1060</v>
      </c>
      <c r="C146" s="922"/>
      <c r="D146" s="922"/>
      <c r="E146" s="922"/>
      <c r="F146" s="922"/>
      <c r="G146" s="922"/>
      <c r="H146" s="922"/>
      <c r="I146" s="922"/>
      <c r="J146" s="922"/>
      <c r="K146" s="923"/>
    </row>
    <row r="147" spans="1:11" ht="27.6" customHeight="1" thickBot="1" x14ac:dyDescent="0.3">
      <c r="B147" s="494" t="s">
        <v>1784</v>
      </c>
      <c r="C147" s="810" t="s">
        <v>1786</v>
      </c>
      <c r="D147" s="810"/>
      <c r="E147" s="810"/>
      <c r="F147" s="810"/>
      <c r="G147" s="810"/>
      <c r="H147" s="810"/>
      <c r="I147" s="810"/>
      <c r="J147" s="810"/>
      <c r="K147" s="811"/>
    </row>
    <row r="148" spans="1:11" ht="13.8" thickBot="1" x14ac:dyDescent="0.3">
      <c r="B148" s="929" t="s">
        <v>1109</v>
      </c>
      <c r="C148" s="930"/>
      <c r="D148" s="930"/>
      <c r="E148" s="930"/>
      <c r="F148" s="930"/>
      <c r="G148" s="930"/>
      <c r="H148" s="930"/>
      <c r="I148" s="930"/>
      <c r="J148" s="930"/>
      <c r="K148" s="931"/>
    </row>
    <row r="149" spans="1:11" x14ac:dyDescent="0.25">
      <c r="B149" s="361" t="s">
        <v>1110</v>
      </c>
      <c r="C149" s="812" t="s">
        <v>1111</v>
      </c>
      <c r="D149" s="812"/>
      <c r="E149" s="812"/>
      <c r="F149" s="812"/>
      <c r="G149" s="812"/>
      <c r="H149" s="812"/>
      <c r="I149" s="812"/>
      <c r="J149" s="812"/>
      <c r="K149" s="362" t="s">
        <v>35</v>
      </c>
    </row>
    <row r="150" spans="1:11" x14ac:dyDescent="0.25">
      <c r="B150" s="363"/>
      <c r="C150" s="804" t="s">
        <v>1206</v>
      </c>
      <c r="D150" s="805"/>
      <c r="E150" s="805"/>
      <c r="F150" s="805"/>
      <c r="G150" s="805"/>
      <c r="H150" s="805"/>
      <c r="I150" s="805"/>
      <c r="J150" s="806"/>
      <c r="K150" s="364"/>
    </row>
    <row r="151" spans="1:11" x14ac:dyDescent="0.25">
      <c r="B151" s="365" t="s">
        <v>1112</v>
      </c>
      <c r="C151" s="813" t="s">
        <v>1118</v>
      </c>
      <c r="D151" s="813"/>
      <c r="E151" s="813"/>
      <c r="F151" s="813"/>
      <c r="G151" s="813"/>
      <c r="H151" s="813"/>
      <c r="I151" s="813"/>
      <c r="J151" s="813"/>
      <c r="K151" s="366" t="s">
        <v>35</v>
      </c>
    </row>
    <row r="152" spans="1:11" x14ac:dyDescent="0.25">
      <c r="B152" s="365" t="s">
        <v>1113</v>
      </c>
      <c r="C152" s="813" t="s">
        <v>1119</v>
      </c>
      <c r="D152" s="813"/>
      <c r="E152" s="813"/>
      <c r="F152" s="813"/>
      <c r="G152" s="813"/>
      <c r="H152" s="813"/>
      <c r="I152" s="813"/>
      <c r="J152" s="813"/>
      <c r="K152" s="366" t="s">
        <v>35</v>
      </c>
    </row>
    <row r="153" spans="1:11" x14ac:dyDescent="0.25">
      <c r="B153" s="365" t="s">
        <v>1114</v>
      </c>
      <c r="C153" s="813" t="s">
        <v>1120</v>
      </c>
      <c r="D153" s="813"/>
      <c r="E153" s="813"/>
      <c r="F153" s="813"/>
      <c r="G153" s="813"/>
      <c r="H153" s="813"/>
      <c r="I153" s="813"/>
      <c r="J153" s="813"/>
      <c r="K153" s="366" t="s">
        <v>35</v>
      </c>
    </row>
    <row r="154" spans="1:11" x14ac:dyDescent="0.25">
      <c r="B154" s="365" t="s">
        <v>1115</v>
      </c>
      <c r="C154" s="813" t="s">
        <v>1121</v>
      </c>
      <c r="D154" s="813"/>
      <c r="E154" s="813"/>
      <c r="F154" s="813"/>
      <c r="G154" s="813"/>
      <c r="H154" s="813"/>
      <c r="I154" s="813"/>
      <c r="J154" s="813"/>
      <c r="K154" s="366" t="s">
        <v>35</v>
      </c>
    </row>
    <row r="155" spans="1:11" x14ac:dyDescent="0.25">
      <c r="B155" s="365" t="s">
        <v>1116</v>
      </c>
      <c r="C155" s="813" t="s">
        <v>1272</v>
      </c>
      <c r="D155" s="813"/>
      <c r="E155" s="813"/>
      <c r="F155" s="813"/>
      <c r="G155" s="813"/>
      <c r="H155" s="813"/>
      <c r="I155" s="813"/>
      <c r="J155" s="813"/>
      <c r="K155" s="366" t="s">
        <v>35</v>
      </c>
    </row>
    <row r="156" spans="1:11" ht="13.8" thickBot="1" x14ac:dyDescent="0.3">
      <c r="B156" s="367" t="s">
        <v>1117</v>
      </c>
      <c r="C156" s="831" t="s">
        <v>1122</v>
      </c>
      <c r="D156" s="831"/>
      <c r="E156" s="831"/>
      <c r="F156" s="831"/>
      <c r="G156" s="831"/>
      <c r="H156" s="831"/>
      <c r="I156" s="831"/>
      <c r="J156" s="831"/>
      <c r="K156" s="368" t="s">
        <v>35</v>
      </c>
    </row>
    <row r="157" spans="1:11" ht="13.8" thickBot="1" x14ac:dyDescent="0.3">
      <c r="B157" s="391"/>
      <c r="C157" s="915" t="s">
        <v>1123</v>
      </c>
      <c r="D157" s="916"/>
      <c r="E157" s="916"/>
      <c r="F157" s="916"/>
      <c r="G157" s="916"/>
      <c r="H157" s="916"/>
      <c r="I157" s="916"/>
      <c r="J157" s="917"/>
      <c r="K157" s="392" t="str">
        <f>IF(OR(K149="Yes",K151="Yes",K152="Yes",K153="Yes",K154="Yes",K155="Yes",K156="Yes"),"Yes","No")</f>
        <v>No</v>
      </c>
    </row>
    <row r="158" spans="1:11" ht="13.8" thickBot="1" x14ac:dyDescent="0.3">
      <c r="B158" s="924" t="s">
        <v>1061</v>
      </c>
      <c r="C158" s="924"/>
      <c r="D158" s="924"/>
      <c r="E158" s="924"/>
      <c r="F158" s="924"/>
      <c r="G158" s="924" t="s">
        <v>1062</v>
      </c>
      <c r="H158" s="924"/>
      <c r="I158" s="924"/>
      <c r="J158" s="924"/>
      <c r="K158" s="924"/>
    </row>
    <row r="159" spans="1:11" ht="27" thickBot="1" x14ac:dyDescent="0.3">
      <c r="B159" s="371" t="s">
        <v>306</v>
      </c>
      <c r="C159" s="372" t="s">
        <v>19</v>
      </c>
      <c r="D159" s="372" t="s">
        <v>326</v>
      </c>
      <c r="E159" s="373" t="s">
        <v>552</v>
      </c>
      <c r="F159" s="373" t="s">
        <v>1262</v>
      </c>
      <c r="G159" s="374" t="s">
        <v>1063</v>
      </c>
      <c r="H159" s="372" t="s">
        <v>1064</v>
      </c>
      <c r="I159" s="375" t="s">
        <v>1065</v>
      </c>
      <c r="J159" s="375" t="s">
        <v>1066</v>
      </c>
      <c r="K159" s="376" t="s">
        <v>1067</v>
      </c>
    </row>
    <row r="160" spans="1:11" ht="15" thickBot="1" x14ac:dyDescent="0.3">
      <c r="B160" s="490" t="s">
        <v>621</v>
      </c>
      <c r="C160" s="491" t="s">
        <v>621</v>
      </c>
      <c r="D160" s="491" t="s">
        <v>621</v>
      </c>
      <c r="E160" s="491" t="s">
        <v>619</v>
      </c>
      <c r="F160" s="492" t="s">
        <v>619</v>
      </c>
      <c r="G160" s="493" t="s">
        <v>619</v>
      </c>
      <c r="H160" s="491" t="s">
        <v>621</v>
      </c>
      <c r="I160" s="491" t="s">
        <v>621</v>
      </c>
      <c r="J160" s="491" t="s">
        <v>621</v>
      </c>
      <c r="K160" s="492" t="s">
        <v>621</v>
      </c>
    </row>
    <row r="161" spans="2:11" ht="13.8" thickBot="1" x14ac:dyDescent="0.3">
      <c r="B161" s="807" t="s">
        <v>1068</v>
      </c>
      <c r="C161" s="808"/>
      <c r="D161" s="808"/>
      <c r="E161" s="808"/>
      <c r="F161" s="808"/>
      <c r="G161" s="808"/>
      <c r="H161" s="808"/>
      <c r="I161" s="808"/>
      <c r="J161" s="808"/>
      <c r="K161" s="809"/>
    </row>
    <row r="162" spans="2:11" ht="27" thickBot="1" x14ac:dyDescent="0.3">
      <c r="B162" s="369" t="s">
        <v>1124</v>
      </c>
      <c r="C162" s="918" t="s">
        <v>31</v>
      </c>
      <c r="D162" s="918"/>
      <c r="E162" s="918"/>
      <c r="F162" s="918"/>
      <c r="G162" s="918"/>
      <c r="H162" s="918"/>
      <c r="I162" s="401" t="s">
        <v>1125</v>
      </c>
      <c r="J162" s="906" t="s">
        <v>1074</v>
      </c>
      <c r="K162" s="907"/>
    </row>
    <row r="163" spans="2:11" ht="13.8" thickBot="1" x14ac:dyDescent="0.3">
      <c r="B163" s="363" t="s">
        <v>863</v>
      </c>
      <c r="C163" s="768" t="s">
        <v>863</v>
      </c>
      <c r="D163" s="768"/>
      <c r="E163" s="768"/>
      <c r="F163" s="768"/>
      <c r="G163" s="768"/>
      <c r="H163" s="768"/>
      <c r="I163" s="410" t="s">
        <v>863</v>
      </c>
      <c r="J163" s="761" t="s">
        <v>863</v>
      </c>
      <c r="K163" s="945"/>
    </row>
    <row r="164" spans="2:11" ht="27" thickBot="1" x14ac:dyDescent="0.3">
      <c r="B164" s="383" t="s">
        <v>1072</v>
      </c>
      <c r="C164" s="814" t="s">
        <v>1103</v>
      </c>
      <c r="D164" s="815"/>
      <c r="E164" s="383" t="s">
        <v>1070</v>
      </c>
      <c r="F164" s="402" t="s">
        <v>1137</v>
      </c>
      <c r="G164" s="816" t="s">
        <v>1267</v>
      </c>
      <c r="H164" s="817"/>
      <c r="I164" s="383" t="s">
        <v>1130</v>
      </c>
      <c r="J164" s="814" t="s">
        <v>1133</v>
      </c>
      <c r="K164" s="815"/>
    </row>
    <row r="165" spans="2:11" ht="13.8" thickBot="1" x14ac:dyDescent="0.3">
      <c r="B165" s="938" t="s">
        <v>1076</v>
      </c>
      <c r="C165" s="939"/>
      <c r="D165" s="939"/>
      <c r="E165" s="939"/>
      <c r="F165" s="939"/>
      <c r="G165" s="939"/>
      <c r="H165" s="939"/>
      <c r="I165" s="939"/>
      <c r="J165" s="939"/>
      <c r="K165" s="940"/>
    </row>
    <row r="166" spans="2:11" ht="13.8" thickBot="1" x14ac:dyDescent="0.3">
      <c r="B166" s="403" t="s">
        <v>863</v>
      </c>
      <c r="C166" s="943" t="s">
        <v>863</v>
      </c>
      <c r="D166" s="943"/>
      <c r="E166" s="943"/>
      <c r="F166" s="943"/>
      <c r="G166" s="943"/>
      <c r="H166" s="943"/>
      <c r="I166" s="943"/>
      <c r="J166" s="943"/>
      <c r="K166" s="944"/>
    </row>
    <row r="167" spans="2:11" ht="13.8" thickBot="1" x14ac:dyDescent="0.3">
      <c r="B167" s="938" t="s">
        <v>1077</v>
      </c>
      <c r="C167" s="939"/>
      <c r="D167" s="939"/>
      <c r="E167" s="939"/>
      <c r="F167" s="939"/>
      <c r="G167" s="939"/>
      <c r="H167" s="939"/>
      <c r="I167" s="939"/>
      <c r="J167" s="939"/>
      <c r="K167" s="940"/>
    </row>
    <row r="168" spans="2:11" ht="40.200000000000003" customHeight="1" thickBot="1" x14ac:dyDescent="0.3">
      <c r="B168" s="496" t="s">
        <v>1787</v>
      </c>
      <c r="C168" s="946" t="s">
        <v>1788</v>
      </c>
      <c r="D168" s="947"/>
      <c r="E168" s="947"/>
      <c r="F168" s="947"/>
      <c r="G168" s="947"/>
      <c r="H168" s="947"/>
      <c r="I168" s="947"/>
      <c r="J168" s="947"/>
      <c r="K168" s="948"/>
    </row>
  </sheetData>
  <autoFilter ref="A2:L142" xr:uid="{00000000-0009-0000-0000-000012000000}"/>
  <mergeCells count="168">
    <mergeCell ref="C164:D164"/>
    <mergeCell ref="G164:H164"/>
    <mergeCell ref="J164:K164"/>
    <mergeCell ref="B165:K165"/>
    <mergeCell ref="C166:K166"/>
    <mergeCell ref="B167:K167"/>
    <mergeCell ref="C168:K168"/>
    <mergeCell ref="C155:J155"/>
    <mergeCell ref="C156:J156"/>
    <mergeCell ref="C157:J157"/>
    <mergeCell ref="B158:F158"/>
    <mergeCell ref="G158:K158"/>
    <mergeCell ref="B161:K161"/>
    <mergeCell ref="C162:H162"/>
    <mergeCell ref="J162:K162"/>
    <mergeCell ref="C163:H163"/>
    <mergeCell ref="J163:K163"/>
    <mergeCell ref="B146:K146"/>
    <mergeCell ref="C147:K147"/>
    <mergeCell ref="B148:K148"/>
    <mergeCell ref="C149:J149"/>
    <mergeCell ref="C150:J150"/>
    <mergeCell ref="C151:J151"/>
    <mergeCell ref="C152:J152"/>
    <mergeCell ref="C153:J153"/>
    <mergeCell ref="C154:J154"/>
    <mergeCell ref="C142:K142"/>
    <mergeCell ref="C104:J104"/>
    <mergeCell ref="B41:K41"/>
    <mergeCell ref="C42:J42"/>
    <mergeCell ref="C44:J44"/>
    <mergeCell ref="J84:K84"/>
    <mergeCell ref="C85:H85"/>
    <mergeCell ref="J85:K85"/>
    <mergeCell ref="C86:D86"/>
    <mergeCell ref="G86:H86"/>
    <mergeCell ref="C43:J43"/>
    <mergeCell ref="C72:J72"/>
    <mergeCell ref="C97:J97"/>
    <mergeCell ref="C76:J76"/>
    <mergeCell ref="C77:J77"/>
    <mergeCell ref="C78:J78"/>
    <mergeCell ref="J86:K86"/>
    <mergeCell ref="C84:H84"/>
    <mergeCell ref="C88:K88"/>
    <mergeCell ref="B89:K89"/>
    <mergeCell ref="B59:K59"/>
    <mergeCell ref="C47:J47"/>
    <mergeCell ref="B140:K140"/>
    <mergeCell ref="B112:K112"/>
    <mergeCell ref="C115:K115"/>
    <mergeCell ref="B93:K93"/>
    <mergeCell ref="C94:K94"/>
    <mergeCell ref="B105:F105"/>
    <mergeCell ref="G105:K105"/>
    <mergeCell ref="C96:J96"/>
    <mergeCell ref="C98:J98"/>
    <mergeCell ref="C111:D111"/>
    <mergeCell ref="C30:D30"/>
    <mergeCell ref="G30:H30"/>
    <mergeCell ref="J30:K30"/>
    <mergeCell ref="C36:K36"/>
    <mergeCell ref="B39:K39"/>
    <mergeCell ref="C40:K40"/>
    <mergeCell ref="B51:F51"/>
    <mergeCell ref="G51:K51"/>
    <mergeCell ref="C45:J45"/>
    <mergeCell ref="B108:K108"/>
    <mergeCell ref="B95:K95"/>
    <mergeCell ref="C99:J99"/>
    <mergeCell ref="C100:J100"/>
    <mergeCell ref="C101:J101"/>
    <mergeCell ref="C102:J102"/>
    <mergeCell ref="C103:J103"/>
    <mergeCell ref="C113:K113"/>
    <mergeCell ref="B114:K114"/>
    <mergeCell ref="C136:H136"/>
    <mergeCell ref="J136:K136"/>
    <mergeCell ref="C137:D137"/>
    <mergeCell ref="G137:H137"/>
    <mergeCell ref="J137:K137"/>
    <mergeCell ref="B121:K121"/>
    <mergeCell ref="C122:J122"/>
    <mergeCell ref="C127:J127"/>
    <mergeCell ref="C123:J123"/>
    <mergeCell ref="C124:J124"/>
    <mergeCell ref="C125:J125"/>
    <mergeCell ref="C126:J126"/>
    <mergeCell ref="B119:K119"/>
    <mergeCell ref="C120:K120"/>
    <mergeCell ref="B131:F131"/>
    <mergeCell ref="G131:K131"/>
    <mergeCell ref="C128:J128"/>
    <mergeCell ref="C129:J129"/>
    <mergeCell ref="C130:J130"/>
    <mergeCell ref="B134:K134"/>
    <mergeCell ref="C135:H135"/>
    <mergeCell ref="J135:K135"/>
    <mergeCell ref="C141:K141"/>
    <mergeCell ref="J55:K55"/>
    <mergeCell ref="C110:H110"/>
    <mergeCell ref="J110:K110"/>
    <mergeCell ref="B87:K87"/>
    <mergeCell ref="B68:K68"/>
    <mergeCell ref="C69:K69"/>
    <mergeCell ref="B80:F80"/>
    <mergeCell ref="G80:K80"/>
    <mergeCell ref="C60:K60"/>
    <mergeCell ref="B61:K61"/>
    <mergeCell ref="C62:K62"/>
    <mergeCell ref="C63:K63"/>
    <mergeCell ref="C64:K64"/>
    <mergeCell ref="B70:K70"/>
    <mergeCell ref="C71:J71"/>
    <mergeCell ref="G111:H111"/>
    <mergeCell ref="J111:K111"/>
    <mergeCell ref="C109:H109"/>
    <mergeCell ref="J109:K109"/>
    <mergeCell ref="C79:J79"/>
    <mergeCell ref="B83:K83"/>
    <mergeCell ref="B138:K138"/>
    <mergeCell ref="C139:K139"/>
    <mergeCell ref="B5:D5"/>
    <mergeCell ref="B6:D6"/>
    <mergeCell ref="B7:D7"/>
    <mergeCell ref="B11:K11"/>
    <mergeCell ref="C12:K12"/>
    <mergeCell ref="B23:F23"/>
    <mergeCell ref="G23:K23"/>
    <mergeCell ref="C35:K35"/>
    <mergeCell ref="C32:K32"/>
    <mergeCell ref="C34:K34"/>
    <mergeCell ref="C14:J14"/>
    <mergeCell ref="C16:J16"/>
    <mergeCell ref="C17:J17"/>
    <mergeCell ref="C18:J18"/>
    <mergeCell ref="C19:J19"/>
    <mergeCell ref="C20:J20"/>
    <mergeCell ref="C27:H27"/>
    <mergeCell ref="C21:J21"/>
    <mergeCell ref="B13:K13"/>
    <mergeCell ref="B33:K33"/>
    <mergeCell ref="C15:J15"/>
    <mergeCell ref="C29:H29"/>
    <mergeCell ref="J29:K29"/>
    <mergeCell ref="C22:J22"/>
    <mergeCell ref="B26:K26"/>
    <mergeCell ref="C90:K90"/>
    <mergeCell ref="J27:K27"/>
    <mergeCell ref="C28:H28"/>
    <mergeCell ref="J28:K28"/>
    <mergeCell ref="C73:J73"/>
    <mergeCell ref="C74:J74"/>
    <mergeCell ref="C75:J75"/>
    <mergeCell ref="C56:H56"/>
    <mergeCell ref="J56:K56"/>
    <mergeCell ref="C57:H57"/>
    <mergeCell ref="J57:K57"/>
    <mergeCell ref="C58:D58"/>
    <mergeCell ref="G58:H58"/>
    <mergeCell ref="J58:K58"/>
    <mergeCell ref="B31:K31"/>
    <mergeCell ref="C48:J48"/>
    <mergeCell ref="C49:J49"/>
    <mergeCell ref="C50:J50"/>
    <mergeCell ref="B54:K54"/>
    <mergeCell ref="C55:H55"/>
    <mergeCell ref="C46:J46"/>
  </mergeCells>
  <dataValidations count="1">
    <dataValidation type="list" allowBlank="1" showInputMessage="1" showErrorMessage="1" sqref="J30:K30 J58:K58 J86:K86 J111:K111 J137:K137 F30 F58 F86 F111 J164:K164 F137 F164" xr:uid="{00000000-0002-0000-1200-000001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K145"/>
  <sheetViews>
    <sheetView topLeftCell="A127" zoomScaleNormal="100" workbookViewId="0">
      <selection activeCell="B69" sqref="B69"/>
    </sheetView>
  </sheetViews>
  <sheetFormatPr defaultColWidth="9.109375" defaultRowHeight="13.2" x14ac:dyDescent="0.3"/>
  <cols>
    <col min="1" max="1" width="3.88671875" style="290" customWidth="1"/>
    <col min="2" max="2" width="15.6640625" style="290" customWidth="1"/>
    <col min="3" max="3" width="14.6640625" style="290" customWidth="1"/>
    <col min="4" max="4" width="16" style="290" customWidth="1"/>
    <col min="5" max="8" width="14.6640625" style="290" customWidth="1"/>
    <col min="9" max="9" width="18.5546875" style="290" customWidth="1"/>
    <col min="10" max="11" width="14.6640625" style="290" customWidth="1"/>
    <col min="12" max="16384" width="9.109375" style="290"/>
  </cols>
  <sheetData>
    <row r="2" spans="1:11" x14ac:dyDescent="0.3">
      <c r="B2" s="353" t="s">
        <v>1270</v>
      </c>
    </row>
    <row r="3" spans="1:11" x14ac:dyDescent="0.3">
      <c r="B3" s="353" t="s">
        <v>1796</v>
      </c>
    </row>
    <row r="4" spans="1:11" ht="13.8" thickBot="1" x14ac:dyDescent="0.35"/>
    <row r="5" spans="1:11" ht="13.8" thickBot="1" x14ac:dyDescent="0.35">
      <c r="B5" s="837" t="s">
        <v>23</v>
      </c>
      <c r="C5" s="838"/>
      <c r="D5" s="839"/>
      <c r="E5" s="354"/>
      <c r="F5" s="355" t="s">
        <v>63</v>
      </c>
    </row>
    <row r="6" spans="1:11" ht="13.8" thickBot="1" x14ac:dyDescent="0.35">
      <c r="B6" s="840" t="s">
        <v>860</v>
      </c>
      <c r="C6" s="841"/>
      <c r="D6" s="841"/>
      <c r="E6" s="356"/>
      <c r="F6" s="355" t="s">
        <v>615</v>
      </c>
    </row>
    <row r="7" spans="1:11" ht="13.8" thickBot="1" x14ac:dyDescent="0.35">
      <c r="B7" s="842" t="s">
        <v>1075</v>
      </c>
      <c r="C7" s="843"/>
      <c r="D7" s="844"/>
      <c r="E7" s="356"/>
      <c r="F7" s="357">
        <v>5175000</v>
      </c>
    </row>
    <row r="9" spans="1:11" x14ac:dyDescent="0.3">
      <c r="B9" s="353" t="s">
        <v>508</v>
      </c>
    </row>
    <row r="10" spans="1:11" ht="13.8" thickBot="1" x14ac:dyDescent="0.35">
      <c r="A10" s="359" t="s">
        <v>1097</v>
      </c>
      <c r="B10" s="359" t="s">
        <v>515</v>
      </c>
    </row>
    <row r="11" spans="1:11" ht="13.8" thickBot="1" x14ac:dyDescent="0.35">
      <c r="B11" s="807" t="s">
        <v>1060</v>
      </c>
      <c r="C11" s="808"/>
      <c r="D11" s="808"/>
      <c r="E11" s="808"/>
      <c r="F11" s="808"/>
      <c r="G11" s="808"/>
      <c r="H11" s="808"/>
      <c r="I11" s="808"/>
      <c r="J11" s="808"/>
      <c r="K11" s="809"/>
    </row>
    <row r="12" spans="1:11" ht="13.8" thickBot="1" x14ac:dyDescent="0.35">
      <c r="B12" s="360" t="s">
        <v>573</v>
      </c>
      <c r="C12" s="810" t="s">
        <v>586</v>
      </c>
      <c r="D12" s="810"/>
      <c r="E12" s="810"/>
      <c r="F12" s="810"/>
      <c r="G12" s="810"/>
      <c r="H12" s="810"/>
      <c r="I12" s="810"/>
      <c r="J12" s="810"/>
      <c r="K12" s="811"/>
    </row>
    <row r="13" spans="1:11" ht="13.8" thickBot="1" x14ac:dyDescent="0.35">
      <c r="B13" s="807" t="s">
        <v>1109</v>
      </c>
      <c r="C13" s="808"/>
      <c r="D13" s="808"/>
      <c r="E13" s="808"/>
      <c r="F13" s="808"/>
      <c r="G13" s="808"/>
      <c r="H13" s="808"/>
      <c r="I13" s="808"/>
      <c r="J13" s="808"/>
      <c r="K13" s="809"/>
    </row>
    <row r="14" spans="1:11" ht="12.9" customHeight="1" x14ac:dyDescent="0.3">
      <c r="B14" s="361" t="s">
        <v>1110</v>
      </c>
      <c r="C14" s="812" t="s">
        <v>1111</v>
      </c>
      <c r="D14" s="812"/>
      <c r="E14" s="812"/>
      <c r="F14" s="812"/>
      <c r="G14" s="812"/>
      <c r="H14" s="812"/>
      <c r="I14" s="812"/>
      <c r="J14" s="812"/>
      <c r="K14" s="362" t="s">
        <v>35</v>
      </c>
    </row>
    <row r="15" spans="1:11" x14ac:dyDescent="0.3">
      <c r="A15" s="352"/>
      <c r="B15" s="363"/>
      <c r="C15" s="804" t="s">
        <v>1206</v>
      </c>
      <c r="D15" s="805"/>
      <c r="E15" s="805"/>
      <c r="F15" s="805"/>
      <c r="G15" s="805"/>
      <c r="H15" s="805"/>
      <c r="I15" s="805"/>
      <c r="J15" s="806"/>
      <c r="K15" s="364"/>
    </row>
    <row r="16" spans="1:11" ht="12.9" customHeight="1" x14ac:dyDescent="0.3">
      <c r="B16" s="365" t="s">
        <v>1112</v>
      </c>
      <c r="C16" s="813" t="s">
        <v>1118</v>
      </c>
      <c r="D16" s="813"/>
      <c r="E16" s="813"/>
      <c r="F16" s="813"/>
      <c r="G16" s="813"/>
      <c r="H16" s="813"/>
      <c r="I16" s="813"/>
      <c r="J16" s="813"/>
      <c r="K16" s="366" t="s">
        <v>35</v>
      </c>
    </row>
    <row r="17" spans="2:11" ht="12.9" customHeight="1" x14ac:dyDescent="0.3">
      <c r="B17" s="365" t="s">
        <v>1113</v>
      </c>
      <c r="C17" s="813" t="s">
        <v>1119</v>
      </c>
      <c r="D17" s="813"/>
      <c r="E17" s="813"/>
      <c r="F17" s="813"/>
      <c r="G17" s="813"/>
      <c r="H17" s="813"/>
      <c r="I17" s="813"/>
      <c r="J17" s="813"/>
      <c r="K17" s="366" t="s">
        <v>35</v>
      </c>
    </row>
    <row r="18" spans="2:11" ht="12.9" customHeight="1" x14ac:dyDescent="0.3">
      <c r="B18" s="365" t="s">
        <v>1114</v>
      </c>
      <c r="C18" s="813" t="s">
        <v>1120</v>
      </c>
      <c r="D18" s="813"/>
      <c r="E18" s="813"/>
      <c r="F18" s="813"/>
      <c r="G18" s="813"/>
      <c r="H18" s="813"/>
      <c r="I18" s="813"/>
      <c r="J18" s="813"/>
      <c r="K18" s="366" t="s">
        <v>35</v>
      </c>
    </row>
    <row r="19" spans="2:11" ht="27" customHeight="1" x14ac:dyDescent="0.3">
      <c r="B19" s="365" t="s">
        <v>1115</v>
      </c>
      <c r="C19" s="813" t="s">
        <v>1121</v>
      </c>
      <c r="D19" s="813"/>
      <c r="E19" s="813"/>
      <c r="F19" s="813"/>
      <c r="G19" s="813"/>
      <c r="H19" s="813"/>
      <c r="I19" s="813"/>
      <c r="J19" s="813"/>
      <c r="K19" s="366" t="s">
        <v>35</v>
      </c>
    </row>
    <row r="20" spans="2:11" ht="12.9" customHeight="1" x14ac:dyDescent="0.3">
      <c r="B20" s="365" t="s">
        <v>1116</v>
      </c>
      <c r="C20" s="813" t="s">
        <v>1272</v>
      </c>
      <c r="D20" s="813"/>
      <c r="E20" s="813"/>
      <c r="F20" s="813"/>
      <c r="G20" s="813"/>
      <c r="H20" s="813"/>
      <c r="I20" s="813"/>
      <c r="J20" s="813"/>
      <c r="K20" s="366" t="s">
        <v>35</v>
      </c>
    </row>
    <row r="21" spans="2:11" ht="12.9" customHeight="1" thickBot="1" x14ac:dyDescent="0.35">
      <c r="B21" s="367" t="s">
        <v>1117</v>
      </c>
      <c r="C21" s="831" t="s">
        <v>1122</v>
      </c>
      <c r="D21" s="831"/>
      <c r="E21" s="831"/>
      <c r="F21" s="831"/>
      <c r="G21" s="831"/>
      <c r="H21" s="831"/>
      <c r="I21" s="831"/>
      <c r="J21" s="831"/>
      <c r="K21" s="368" t="s">
        <v>35</v>
      </c>
    </row>
    <row r="22" spans="2:11" ht="13.8" thickBot="1" x14ac:dyDescent="0.35">
      <c r="B22" s="369"/>
      <c r="C22" s="833" t="s">
        <v>1123</v>
      </c>
      <c r="D22" s="833"/>
      <c r="E22" s="833"/>
      <c r="F22" s="833"/>
      <c r="G22" s="833"/>
      <c r="H22" s="833"/>
      <c r="I22" s="833"/>
      <c r="J22" s="833"/>
      <c r="K22" s="370" t="str">
        <f>IF(OR(K14="Yes",K16="Yes",K17="Yes",K18="Yes",K19="Yes",K20="Yes",K21="Yes"),"Yes","No")</f>
        <v>No</v>
      </c>
    </row>
    <row r="23" spans="2:11" ht="13.8" thickBot="1" x14ac:dyDescent="0.35">
      <c r="B23" s="834" t="s">
        <v>1061</v>
      </c>
      <c r="C23" s="834"/>
      <c r="D23" s="834"/>
      <c r="E23" s="834"/>
      <c r="F23" s="834"/>
      <c r="G23" s="834" t="s">
        <v>1062</v>
      </c>
      <c r="H23" s="834"/>
      <c r="I23" s="834"/>
      <c r="J23" s="834"/>
      <c r="K23" s="834"/>
    </row>
    <row r="24" spans="2:11"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2:11" ht="13.8" thickBot="1" x14ac:dyDescent="0.35">
      <c r="B25" s="433" t="s">
        <v>621</v>
      </c>
      <c r="C25" s="434" t="s">
        <v>619</v>
      </c>
      <c r="D25" s="434" t="s">
        <v>619</v>
      </c>
      <c r="E25" s="434" t="s">
        <v>619</v>
      </c>
      <c r="F25" s="435" t="s">
        <v>621</v>
      </c>
      <c r="G25" s="436" t="s">
        <v>619</v>
      </c>
      <c r="H25" s="434" t="s">
        <v>621</v>
      </c>
      <c r="I25" s="434" t="s">
        <v>621</v>
      </c>
      <c r="J25" s="434" t="s">
        <v>621</v>
      </c>
      <c r="K25" s="435" t="s">
        <v>621</v>
      </c>
    </row>
    <row r="26" spans="2:11" ht="13.8" thickBot="1" x14ac:dyDescent="0.35">
      <c r="B26" s="807" t="s">
        <v>1068</v>
      </c>
      <c r="C26" s="808"/>
      <c r="D26" s="808"/>
      <c r="E26" s="808"/>
      <c r="F26" s="808"/>
      <c r="G26" s="808"/>
      <c r="H26" s="808"/>
      <c r="I26" s="808"/>
      <c r="J26" s="808"/>
      <c r="K26" s="809"/>
    </row>
    <row r="27" spans="2:11" ht="27" thickBot="1" x14ac:dyDescent="0.35">
      <c r="B27" s="369" t="s">
        <v>1124</v>
      </c>
      <c r="C27" s="827" t="s">
        <v>31</v>
      </c>
      <c r="D27" s="827"/>
      <c r="E27" s="827"/>
      <c r="F27" s="827"/>
      <c r="G27" s="827"/>
      <c r="H27" s="827"/>
      <c r="I27" s="381" t="s">
        <v>1125</v>
      </c>
      <c r="J27" s="828" t="s">
        <v>1074</v>
      </c>
      <c r="K27" s="829"/>
    </row>
    <row r="28" spans="2:11" ht="13.8" thickBot="1" x14ac:dyDescent="0.35">
      <c r="B28" s="382" t="s">
        <v>632</v>
      </c>
      <c r="C28" s="856" t="s">
        <v>667</v>
      </c>
      <c r="D28" s="856"/>
      <c r="E28" s="856"/>
      <c r="F28" s="856"/>
      <c r="G28" s="856"/>
      <c r="H28" s="856"/>
      <c r="I28" s="338" t="s">
        <v>37</v>
      </c>
      <c r="J28" s="892" t="s">
        <v>1797</v>
      </c>
      <c r="K28" s="894"/>
    </row>
    <row r="29" spans="2:11" ht="27" thickBot="1" x14ac:dyDescent="0.35">
      <c r="B29" s="383" t="s">
        <v>1072</v>
      </c>
      <c r="C29" s="814" t="s">
        <v>1105</v>
      </c>
      <c r="D29" s="815"/>
      <c r="E29" s="383" t="s">
        <v>1070</v>
      </c>
      <c r="F29" s="384" t="s">
        <v>1134</v>
      </c>
      <c r="G29" s="816" t="s">
        <v>1827</v>
      </c>
      <c r="H29" s="817"/>
      <c r="I29" s="383" t="s">
        <v>1130</v>
      </c>
      <c r="J29" s="814" t="s">
        <v>1133</v>
      </c>
      <c r="K29" s="815"/>
    </row>
    <row r="30" spans="2:11" ht="13.8" thickBot="1" x14ac:dyDescent="0.35">
      <c r="B30" s="824" t="s">
        <v>1076</v>
      </c>
      <c r="C30" s="825"/>
      <c r="D30" s="825"/>
      <c r="E30" s="825"/>
      <c r="F30" s="825"/>
      <c r="G30" s="825"/>
      <c r="H30" s="825"/>
      <c r="I30" s="825"/>
      <c r="J30" s="825"/>
      <c r="K30" s="826"/>
    </row>
    <row r="31" spans="2:11" ht="13.5" customHeight="1" thickBot="1" x14ac:dyDescent="0.35">
      <c r="B31" s="360" t="s">
        <v>632</v>
      </c>
      <c r="C31" s="830" t="s">
        <v>1831</v>
      </c>
      <c r="D31" s="816"/>
      <c r="E31" s="816"/>
      <c r="F31" s="816"/>
      <c r="G31" s="816"/>
      <c r="H31" s="816"/>
      <c r="I31" s="816"/>
      <c r="J31" s="816"/>
      <c r="K31" s="817"/>
    </row>
    <row r="32" spans="2:11" ht="13.8" thickBot="1" x14ac:dyDescent="0.35">
      <c r="B32" s="824" t="s">
        <v>1077</v>
      </c>
      <c r="C32" s="825"/>
      <c r="D32" s="825"/>
      <c r="E32" s="825"/>
      <c r="F32" s="825"/>
      <c r="G32" s="825"/>
      <c r="H32" s="825"/>
      <c r="I32" s="825"/>
      <c r="J32" s="825"/>
      <c r="K32" s="826"/>
    </row>
    <row r="33" spans="1:11" x14ac:dyDescent="0.3">
      <c r="B33" s="361" t="s">
        <v>687</v>
      </c>
      <c r="C33" s="951" t="s">
        <v>93</v>
      </c>
      <c r="D33" s="951"/>
      <c r="E33" s="951"/>
      <c r="F33" s="951"/>
      <c r="G33" s="951"/>
      <c r="H33" s="951"/>
      <c r="I33" s="951"/>
      <c r="J33" s="951"/>
      <c r="K33" s="952"/>
    </row>
    <row r="34" spans="1:11" ht="27" customHeight="1" thickBot="1" x14ac:dyDescent="0.35">
      <c r="B34" s="367" t="s">
        <v>688</v>
      </c>
      <c r="C34" s="831" t="s">
        <v>1828</v>
      </c>
      <c r="D34" s="831"/>
      <c r="E34" s="831"/>
      <c r="F34" s="831"/>
      <c r="G34" s="831"/>
      <c r="H34" s="831"/>
      <c r="I34" s="831"/>
      <c r="J34" s="831"/>
      <c r="K34" s="832"/>
    </row>
    <row r="35" spans="1:11" ht="13.8" thickBot="1" x14ac:dyDescent="0.35">
      <c r="B35" s="824" t="s">
        <v>1139</v>
      </c>
      <c r="C35" s="825"/>
      <c r="D35" s="825"/>
      <c r="E35" s="825"/>
      <c r="F35" s="825"/>
      <c r="G35" s="825"/>
      <c r="H35" s="825"/>
      <c r="I35" s="825"/>
      <c r="J35" s="825"/>
      <c r="K35" s="826"/>
    </row>
    <row r="36" spans="1:11" ht="13.8" thickBot="1" x14ac:dyDescent="0.35">
      <c r="B36" s="360" t="s">
        <v>863</v>
      </c>
      <c r="C36" s="835" t="s">
        <v>1140</v>
      </c>
      <c r="D36" s="835"/>
      <c r="E36" s="835"/>
      <c r="F36" s="835"/>
      <c r="G36" s="835"/>
      <c r="H36" s="835"/>
      <c r="I36" s="835"/>
      <c r="J36" s="835"/>
      <c r="K36" s="836"/>
    </row>
    <row r="37" spans="1:11" x14ac:dyDescent="0.3">
      <c r="B37" s="427"/>
    </row>
    <row r="38" spans="1:11" ht="13.8" thickBot="1" x14ac:dyDescent="0.35"/>
    <row r="39" spans="1:11" ht="13.8" thickBot="1" x14ac:dyDescent="0.35">
      <c r="B39" s="807" t="s">
        <v>1060</v>
      </c>
      <c r="C39" s="808"/>
      <c r="D39" s="808"/>
      <c r="E39" s="808"/>
      <c r="F39" s="808"/>
      <c r="G39" s="808"/>
      <c r="H39" s="808"/>
      <c r="I39" s="808"/>
      <c r="J39" s="808"/>
      <c r="K39" s="809"/>
    </row>
    <row r="40" spans="1:11" ht="13.8" thickBot="1" x14ac:dyDescent="0.35">
      <c r="B40" s="360" t="s">
        <v>574</v>
      </c>
      <c r="C40" s="810" t="s">
        <v>587</v>
      </c>
      <c r="D40" s="810"/>
      <c r="E40" s="810"/>
      <c r="F40" s="810"/>
      <c r="G40" s="810"/>
      <c r="H40" s="810"/>
      <c r="I40" s="810"/>
      <c r="J40" s="810"/>
      <c r="K40" s="811"/>
    </row>
    <row r="41" spans="1:11" ht="13.8" thickBot="1" x14ac:dyDescent="0.35">
      <c r="B41" s="807" t="s">
        <v>1109</v>
      </c>
      <c r="C41" s="808"/>
      <c r="D41" s="808"/>
      <c r="E41" s="808"/>
      <c r="F41" s="808"/>
      <c r="G41" s="808"/>
      <c r="H41" s="808"/>
      <c r="I41" s="808"/>
      <c r="J41" s="808"/>
      <c r="K41" s="809"/>
    </row>
    <row r="42" spans="1:11" ht="12.9" customHeight="1" x14ac:dyDescent="0.3">
      <c r="B42" s="361" t="s">
        <v>1110</v>
      </c>
      <c r="C42" s="812" t="s">
        <v>1111</v>
      </c>
      <c r="D42" s="812"/>
      <c r="E42" s="812"/>
      <c r="F42" s="812"/>
      <c r="G42" s="812"/>
      <c r="H42" s="812"/>
      <c r="I42" s="812"/>
      <c r="J42" s="812"/>
      <c r="K42" s="362" t="s">
        <v>35</v>
      </c>
    </row>
    <row r="43" spans="1:11" x14ac:dyDescent="0.3">
      <c r="A43" s="352"/>
      <c r="B43" s="363"/>
      <c r="C43" s="804" t="s">
        <v>1206</v>
      </c>
      <c r="D43" s="805"/>
      <c r="E43" s="805"/>
      <c r="F43" s="805"/>
      <c r="G43" s="805"/>
      <c r="H43" s="805"/>
      <c r="I43" s="805"/>
      <c r="J43" s="806"/>
      <c r="K43" s="364"/>
    </row>
    <row r="44" spans="1:11" ht="12.9" customHeight="1" x14ac:dyDescent="0.3">
      <c r="B44" s="365" t="s">
        <v>1112</v>
      </c>
      <c r="C44" s="813" t="s">
        <v>1118</v>
      </c>
      <c r="D44" s="813"/>
      <c r="E44" s="813"/>
      <c r="F44" s="813"/>
      <c r="G44" s="813"/>
      <c r="H44" s="813"/>
      <c r="I44" s="813"/>
      <c r="J44" s="813"/>
      <c r="K44" s="366" t="s">
        <v>35</v>
      </c>
    </row>
    <row r="45" spans="1:11" ht="12.9" customHeight="1" x14ac:dyDescent="0.3">
      <c r="B45" s="365" t="s">
        <v>1113</v>
      </c>
      <c r="C45" s="813" t="s">
        <v>1119</v>
      </c>
      <c r="D45" s="813"/>
      <c r="E45" s="813"/>
      <c r="F45" s="813"/>
      <c r="G45" s="813"/>
      <c r="H45" s="813"/>
      <c r="I45" s="813"/>
      <c r="J45" s="813"/>
      <c r="K45" s="366" t="s">
        <v>35</v>
      </c>
    </row>
    <row r="46" spans="1:11" ht="12.9" customHeight="1" x14ac:dyDescent="0.3">
      <c r="B46" s="365" t="s">
        <v>1114</v>
      </c>
      <c r="C46" s="813" t="s">
        <v>1120</v>
      </c>
      <c r="D46" s="813"/>
      <c r="E46" s="813"/>
      <c r="F46" s="813"/>
      <c r="G46" s="813"/>
      <c r="H46" s="813"/>
      <c r="I46" s="813"/>
      <c r="J46" s="813"/>
      <c r="K46" s="366" t="s">
        <v>35</v>
      </c>
    </row>
    <row r="47" spans="1:11" ht="27" customHeight="1" x14ac:dyDescent="0.3">
      <c r="B47" s="365" t="s">
        <v>1115</v>
      </c>
      <c r="C47" s="813" t="s">
        <v>1121</v>
      </c>
      <c r="D47" s="813"/>
      <c r="E47" s="813"/>
      <c r="F47" s="813"/>
      <c r="G47" s="813"/>
      <c r="H47" s="813"/>
      <c r="I47" s="813"/>
      <c r="J47" s="813"/>
      <c r="K47" s="366" t="s">
        <v>35</v>
      </c>
    </row>
    <row r="48" spans="1:11" ht="12.9" customHeight="1" x14ac:dyDescent="0.3">
      <c r="B48" s="365" t="s">
        <v>1116</v>
      </c>
      <c r="C48" s="813" t="s">
        <v>1272</v>
      </c>
      <c r="D48" s="813"/>
      <c r="E48" s="813"/>
      <c r="F48" s="813"/>
      <c r="G48" s="813"/>
      <c r="H48" s="813"/>
      <c r="I48" s="813"/>
      <c r="J48" s="813"/>
      <c r="K48" s="366" t="s">
        <v>35</v>
      </c>
    </row>
    <row r="49" spans="2:11" ht="12.9" customHeight="1" thickBot="1" x14ac:dyDescent="0.35">
      <c r="B49" s="367" t="s">
        <v>1117</v>
      </c>
      <c r="C49" s="831" t="s">
        <v>1122</v>
      </c>
      <c r="D49" s="831"/>
      <c r="E49" s="831"/>
      <c r="F49" s="831"/>
      <c r="G49" s="831"/>
      <c r="H49" s="831"/>
      <c r="I49" s="831"/>
      <c r="J49" s="831"/>
      <c r="K49" s="368" t="s">
        <v>35</v>
      </c>
    </row>
    <row r="50" spans="2:11" ht="13.8" thickBot="1" x14ac:dyDescent="0.35">
      <c r="B50" s="369"/>
      <c r="C50" s="833" t="s">
        <v>1123</v>
      </c>
      <c r="D50" s="833"/>
      <c r="E50" s="833"/>
      <c r="F50" s="833"/>
      <c r="G50" s="833"/>
      <c r="H50" s="833"/>
      <c r="I50" s="833"/>
      <c r="J50" s="833"/>
      <c r="K50" s="370" t="str">
        <f>IF(OR(K42="Yes",K44="Yes",K45="Yes",K46="Yes",K47="Yes",K48="Yes",K49="Yes"),"Yes","No")</f>
        <v>No</v>
      </c>
    </row>
    <row r="51" spans="2:11" ht="13.8" thickBot="1" x14ac:dyDescent="0.35">
      <c r="B51" s="834" t="s">
        <v>1061</v>
      </c>
      <c r="C51" s="834"/>
      <c r="D51" s="834"/>
      <c r="E51" s="834"/>
      <c r="F51" s="834"/>
      <c r="G51" s="834" t="s">
        <v>1062</v>
      </c>
      <c r="H51" s="834"/>
      <c r="I51" s="834"/>
      <c r="J51" s="834"/>
      <c r="K51" s="834"/>
    </row>
    <row r="52" spans="2:11" ht="27" thickBot="1" x14ac:dyDescent="0.35">
      <c r="B52" s="371" t="s">
        <v>26</v>
      </c>
      <c r="C52" s="372" t="s">
        <v>553</v>
      </c>
      <c r="D52" s="372" t="s">
        <v>19</v>
      </c>
      <c r="E52" s="372" t="s">
        <v>25</v>
      </c>
      <c r="F52" s="373" t="s">
        <v>554</v>
      </c>
      <c r="G52" s="374" t="s">
        <v>1063</v>
      </c>
      <c r="H52" s="372" t="s">
        <v>1064</v>
      </c>
      <c r="I52" s="375" t="s">
        <v>1065</v>
      </c>
      <c r="J52" s="375" t="s">
        <v>1066</v>
      </c>
      <c r="K52" s="376" t="s">
        <v>1067</v>
      </c>
    </row>
    <row r="53" spans="2:11" ht="13.8" thickBot="1" x14ac:dyDescent="0.35">
      <c r="B53" s="433" t="s">
        <v>619</v>
      </c>
      <c r="C53" s="434" t="s">
        <v>619</v>
      </c>
      <c r="D53" s="434" t="s">
        <v>619</v>
      </c>
      <c r="E53" s="434" t="s">
        <v>621</v>
      </c>
      <c r="F53" s="435" t="s">
        <v>621</v>
      </c>
      <c r="G53" s="436" t="s">
        <v>619</v>
      </c>
      <c r="H53" s="434" t="s">
        <v>621</v>
      </c>
      <c r="I53" s="434" t="s">
        <v>621</v>
      </c>
      <c r="J53" s="434" t="s">
        <v>621</v>
      </c>
      <c r="K53" s="435" t="s">
        <v>621</v>
      </c>
    </row>
    <row r="54" spans="2:11" ht="13.8" thickBot="1" x14ac:dyDescent="0.35">
      <c r="B54" s="807" t="s">
        <v>1068</v>
      </c>
      <c r="C54" s="808"/>
      <c r="D54" s="808"/>
      <c r="E54" s="808"/>
      <c r="F54" s="808"/>
      <c r="G54" s="808"/>
      <c r="H54" s="808"/>
      <c r="I54" s="808"/>
      <c r="J54" s="808"/>
      <c r="K54" s="809"/>
    </row>
    <row r="55" spans="2:11" ht="27" thickBot="1" x14ac:dyDescent="0.35">
      <c r="B55" s="369" t="s">
        <v>1124</v>
      </c>
      <c r="C55" s="827" t="s">
        <v>31</v>
      </c>
      <c r="D55" s="827"/>
      <c r="E55" s="827"/>
      <c r="F55" s="827"/>
      <c r="G55" s="827"/>
      <c r="H55" s="827"/>
      <c r="I55" s="381" t="s">
        <v>1125</v>
      </c>
      <c r="J55" s="828" t="s">
        <v>1074</v>
      </c>
      <c r="K55" s="829"/>
    </row>
    <row r="56" spans="2:11" ht="13.8" thickBot="1" x14ac:dyDescent="0.35">
      <c r="B56" s="382" t="s">
        <v>632</v>
      </c>
      <c r="C56" s="856" t="s">
        <v>667</v>
      </c>
      <c r="D56" s="856"/>
      <c r="E56" s="856"/>
      <c r="F56" s="856"/>
      <c r="G56" s="856"/>
      <c r="H56" s="856"/>
      <c r="I56" s="338" t="s">
        <v>37</v>
      </c>
      <c r="J56" s="899" t="s">
        <v>1797</v>
      </c>
      <c r="K56" s="900"/>
    </row>
    <row r="57" spans="2:11" ht="27" thickBot="1" x14ac:dyDescent="0.35">
      <c r="B57" s="383" t="s">
        <v>1072</v>
      </c>
      <c r="C57" s="814" t="s">
        <v>1105</v>
      </c>
      <c r="D57" s="815"/>
      <c r="E57" s="383" t="s">
        <v>1070</v>
      </c>
      <c r="F57" s="384" t="s">
        <v>1134</v>
      </c>
      <c r="G57" s="816" t="s">
        <v>1827</v>
      </c>
      <c r="H57" s="817"/>
      <c r="I57" s="383" t="s">
        <v>1130</v>
      </c>
      <c r="J57" s="814" t="s">
        <v>1133</v>
      </c>
      <c r="K57" s="815"/>
    </row>
    <row r="58" spans="2:11" ht="13.8" thickBot="1" x14ac:dyDescent="0.35">
      <c r="B58" s="824" t="s">
        <v>1076</v>
      </c>
      <c r="C58" s="825"/>
      <c r="D58" s="825"/>
      <c r="E58" s="825"/>
      <c r="F58" s="825"/>
      <c r="G58" s="825"/>
      <c r="H58" s="825"/>
      <c r="I58" s="825"/>
      <c r="J58" s="825"/>
      <c r="K58" s="826"/>
    </row>
    <row r="59" spans="2:11" ht="13.5" customHeight="1" thickBot="1" x14ac:dyDescent="0.35">
      <c r="B59" s="360" t="s">
        <v>632</v>
      </c>
      <c r="C59" s="830" t="s">
        <v>1831</v>
      </c>
      <c r="D59" s="816"/>
      <c r="E59" s="816"/>
      <c r="F59" s="816"/>
      <c r="G59" s="816"/>
      <c r="H59" s="816"/>
      <c r="I59" s="816"/>
      <c r="J59" s="816"/>
      <c r="K59" s="817"/>
    </row>
    <row r="60" spans="2:11" ht="13.8" thickBot="1" x14ac:dyDescent="0.35">
      <c r="B60" s="824" t="s">
        <v>1077</v>
      </c>
      <c r="C60" s="825"/>
      <c r="D60" s="825"/>
      <c r="E60" s="825"/>
      <c r="F60" s="825"/>
      <c r="G60" s="825"/>
      <c r="H60" s="825"/>
      <c r="I60" s="825"/>
      <c r="J60" s="825"/>
      <c r="K60" s="826"/>
    </row>
    <row r="61" spans="2:11" ht="13.8" thickBot="1" x14ac:dyDescent="0.35">
      <c r="B61" s="360" t="s">
        <v>687</v>
      </c>
      <c r="C61" s="835" t="s">
        <v>93</v>
      </c>
      <c r="D61" s="835"/>
      <c r="E61" s="835"/>
      <c r="F61" s="835"/>
      <c r="G61" s="835"/>
      <c r="H61" s="835"/>
      <c r="I61" s="835"/>
      <c r="J61" s="835"/>
      <c r="K61" s="836"/>
    </row>
    <row r="62" spans="2:11" ht="27" customHeight="1" thickBot="1" x14ac:dyDescent="0.35">
      <c r="B62" s="360" t="s">
        <v>688</v>
      </c>
      <c r="C62" s="830" t="s">
        <v>1828</v>
      </c>
      <c r="D62" s="816"/>
      <c r="E62" s="816"/>
      <c r="F62" s="816"/>
      <c r="G62" s="816"/>
      <c r="H62" s="816"/>
      <c r="I62" s="816"/>
      <c r="J62" s="816"/>
      <c r="K62" s="817"/>
    </row>
    <row r="63" spans="2:11" ht="13.8" thickBot="1" x14ac:dyDescent="0.35">
      <c r="B63" s="824" t="s">
        <v>1139</v>
      </c>
      <c r="C63" s="825"/>
      <c r="D63" s="825"/>
      <c r="E63" s="825"/>
      <c r="F63" s="825"/>
      <c r="G63" s="825"/>
      <c r="H63" s="825"/>
      <c r="I63" s="825"/>
      <c r="J63" s="825"/>
      <c r="K63" s="826"/>
    </row>
    <row r="64" spans="2:11" ht="13.8" thickBot="1" x14ac:dyDescent="0.35">
      <c r="B64" s="360" t="s">
        <v>863</v>
      </c>
      <c r="C64" s="835" t="s">
        <v>1140</v>
      </c>
      <c r="D64" s="835"/>
      <c r="E64" s="835"/>
      <c r="F64" s="835"/>
      <c r="G64" s="835"/>
      <c r="H64" s="835"/>
      <c r="I64" s="835"/>
      <c r="J64" s="835"/>
      <c r="K64" s="836"/>
    </row>
    <row r="67" spans="1:11" ht="13.8" thickBot="1" x14ac:dyDescent="0.35">
      <c r="A67" s="359" t="s">
        <v>1095</v>
      </c>
      <c r="B67" s="359" t="s">
        <v>516</v>
      </c>
    </row>
    <row r="68" spans="1:11" ht="13.8" thickBot="1" x14ac:dyDescent="0.35">
      <c r="B68" s="807" t="s">
        <v>1060</v>
      </c>
      <c r="C68" s="808"/>
      <c r="D68" s="808"/>
      <c r="E68" s="808"/>
      <c r="F68" s="808"/>
      <c r="G68" s="808"/>
      <c r="H68" s="808"/>
      <c r="I68" s="808"/>
      <c r="J68" s="808"/>
      <c r="K68" s="809"/>
    </row>
    <row r="69" spans="1:11" ht="13.8" thickBot="1" x14ac:dyDescent="0.35">
      <c r="B69" s="360" t="s">
        <v>575</v>
      </c>
      <c r="C69" s="810" t="s">
        <v>585</v>
      </c>
      <c r="D69" s="810"/>
      <c r="E69" s="810"/>
      <c r="F69" s="810"/>
      <c r="G69" s="810"/>
      <c r="H69" s="810"/>
      <c r="I69" s="810"/>
      <c r="J69" s="810"/>
      <c r="K69" s="811"/>
    </row>
    <row r="70" spans="1:11" ht="13.8" thickBot="1" x14ac:dyDescent="0.35">
      <c r="B70" s="807" t="s">
        <v>1109</v>
      </c>
      <c r="C70" s="808"/>
      <c r="D70" s="808"/>
      <c r="E70" s="808"/>
      <c r="F70" s="808"/>
      <c r="G70" s="808"/>
      <c r="H70" s="808"/>
      <c r="I70" s="808"/>
      <c r="J70" s="808"/>
      <c r="K70" s="809"/>
    </row>
    <row r="71" spans="1:11" ht="12.9" customHeight="1" x14ac:dyDescent="0.3">
      <c r="B71" s="361" t="s">
        <v>1110</v>
      </c>
      <c r="C71" s="812" t="s">
        <v>1111</v>
      </c>
      <c r="D71" s="812"/>
      <c r="E71" s="812"/>
      <c r="F71" s="812"/>
      <c r="G71" s="812"/>
      <c r="H71" s="812"/>
      <c r="I71" s="812"/>
      <c r="J71" s="812"/>
      <c r="K71" s="362" t="s">
        <v>35</v>
      </c>
    </row>
    <row r="72" spans="1:11" x14ac:dyDescent="0.3">
      <c r="A72" s="352"/>
      <c r="B72" s="363"/>
      <c r="C72" s="804" t="s">
        <v>1206</v>
      </c>
      <c r="D72" s="805"/>
      <c r="E72" s="805"/>
      <c r="F72" s="805"/>
      <c r="G72" s="805"/>
      <c r="H72" s="805"/>
      <c r="I72" s="805"/>
      <c r="J72" s="806"/>
      <c r="K72" s="364"/>
    </row>
    <row r="73" spans="1:11" ht="12.9" customHeight="1" x14ac:dyDescent="0.3">
      <c r="B73" s="365" t="s">
        <v>1112</v>
      </c>
      <c r="C73" s="813" t="s">
        <v>1118</v>
      </c>
      <c r="D73" s="813"/>
      <c r="E73" s="813"/>
      <c r="F73" s="813"/>
      <c r="G73" s="813"/>
      <c r="H73" s="813"/>
      <c r="I73" s="813"/>
      <c r="J73" s="813"/>
      <c r="K73" s="366" t="s">
        <v>35</v>
      </c>
    </row>
    <row r="74" spans="1:11" ht="12.9" customHeight="1" x14ac:dyDescent="0.3">
      <c r="B74" s="365" t="s">
        <v>1113</v>
      </c>
      <c r="C74" s="813" t="s">
        <v>1119</v>
      </c>
      <c r="D74" s="813"/>
      <c r="E74" s="813"/>
      <c r="F74" s="813"/>
      <c r="G74" s="813"/>
      <c r="H74" s="813"/>
      <c r="I74" s="813"/>
      <c r="J74" s="813"/>
      <c r="K74" s="366" t="s">
        <v>35</v>
      </c>
    </row>
    <row r="75" spans="1:11" ht="12.9" customHeight="1" x14ac:dyDescent="0.3">
      <c r="B75" s="365" t="s">
        <v>1114</v>
      </c>
      <c r="C75" s="813" t="s">
        <v>1120</v>
      </c>
      <c r="D75" s="813"/>
      <c r="E75" s="813"/>
      <c r="F75" s="813"/>
      <c r="G75" s="813"/>
      <c r="H75" s="813"/>
      <c r="I75" s="813"/>
      <c r="J75" s="813"/>
      <c r="K75" s="366" t="s">
        <v>35</v>
      </c>
    </row>
    <row r="76" spans="1:11" ht="27" customHeight="1" x14ac:dyDescent="0.3">
      <c r="B76" s="365" t="s">
        <v>1115</v>
      </c>
      <c r="C76" s="813" t="s">
        <v>1121</v>
      </c>
      <c r="D76" s="813"/>
      <c r="E76" s="813"/>
      <c r="F76" s="813"/>
      <c r="G76" s="813"/>
      <c r="H76" s="813"/>
      <c r="I76" s="813"/>
      <c r="J76" s="813"/>
      <c r="K76" s="366" t="s">
        <v>35</v>
      </c>
    </row>
    <row r="77" spans="1:11" ht="12.9" customHeight="1" x14ac:dyDescent="0.3">
      <c r="B77" s="365" t="s">
        <v>1116</v>
      </c>
      <c r="C77" s="813" t="s">
        <v>1272</v>
      </c>
      <c r="D77" s="813"/>
      <c r="E77" s="813"/>
      <c r="F77" s="813"/>
      <c r="G77" s="813"/>
      <c r="H77" s="813"/>
      <c r="I77" s="813"/>
      <c r="J77" s="813"/>
      <c r="K77" s="366" t="s">
        <v>35</v>
      </c>
    </row>
    <row r="78" spans="1:11" ht="12.9" customHeight="1" thickBot="1" x14ac:dyDescent="0.35">
      <c r="B78" s="367" t="s">
        <v>1117</v>
      </c>
      <c r="C78" s="831" t="s">
        <v>1122</v>
      </c>
      <c r="D78" s="831"/>
      <c r="E78" s="831"/>
      <c r="F78" s="831"/>
      <c r="G78" s="831"/>
      <c r="H78" s="831"/>
      <c r="I78" s="831"/>
      <c r="J78" s="831"/>
      <c r="K78" s="368" t="s">
        <v>35</v>
      </c>
    </row>
    <row r="79" spans="1:11" ht="13.8" thickBot="1" x14ac:dyDescent="0.35">
      <c r="B79" s="369"/>
      <c r="C79" s="833" t="s">
        <v>1123</v>
      </c>
      <c r="D79" s="833"/>
      <c r="E79" s="833"/>
      <c r="F79" s="833"/>
      <c r="G79" s="833"/>
      <c r="H79" s="833"/>
      <c r="I79" s="833"/>
      <c r="J79" s="833"/>
      <c r="K79" s="370" t="str">
        <f>IF(OR(K71="Yes",K73="Yes",K74="Yes",K75="Yes",K76="Yes",K77="Yes",K78="Yes"),"Yes","No")</f>
        <v>No</v>
      </c>
    </row>
    <row r="80" spans="1:11" ht="13.8" thickBot="1" x14ac:dyDescent="0.35">
      <c r="B80" s="834" t="s">
        <v>1061</v>
      </c>
      <c r="C80" s="834"/>
      <c r="D80" s="834"/>
      <c r="E80" s="834"/>
      <c r="F80" s="834"/>
      <c r="G80" s="834" t="s">
        <v>1062</v>
      </c>
      <c r="H80" s="834"/>
      <c r="I80" s="834"/>
      <c r="J80" s="834"/>
      <c r="K80" s="834"/>
    </row>
    <row r="81" spans="1:11" ht="27" thickBot="1" x14ac:dyDescent="0.35">
      <c r="B81" s="371" t="s">
        <v>26</v>
      </c>
      <c r="C81" s="372" t="s">
        <v>553</v>
      </c>
      <c r="D81" s="372" t="s">
        <v>19</v>
      </c>
      <c r="E81" s="372" t="s">
        <v>25</v>
      </c>
      <c r="F81" s="373" t="s">
        <v>554</v>
      </c>
      <c r="G81" s="374" t="s">
        <v>1063</v>
      </c>
      <c r="H81" s="372" t="s">
        <v>1064</v>
      </c>
      <c r="I81" s="375" t="s">
        <v>1065</v>
      </c>
      <c r="J81" s="375" t="s">
        <v>1066</v>
      </c>
      <c r="K81" s="376" t="s">
        <v>1067</v>
      </c>
    </row>
    <row r="82" spans="1:11" ht="13.8" thickBot="1" x14ac:dyDescent="0.35">
      <c r="B82" s="433" t="s">
        <v>621</v>
      </c>
      <c r="C82" s="434" t="s">
        <v>621</v>
      </c>
      <c r="D82" s="434" t="s">
        <v>621</v>
      </c>
      <c r="E82" s="434" t="s">
        <v>619</v>
      </c>
      <c r="F82" s="435" t="s">
        <v>619</v>
      </c>
      <c r="G82" s="436" t="s">
        <v>619</v>
      </c>
      <c r="H82" s="434" t="s">
        <v>621</v>
      </c>
      <c r="I82" s="434" t="s">
        <v>621</v>
      </c>
      <c r="J82" s="434" t="s">
        <v>621</v>
      </c>
      <c r="K82" s="435" t="s">
        <v>621</v>
      </c>
    </row>
    <row r="83" spans="1:11" ht="13.8" thickBot="1" x14ac:dyDescent="0.35">
      <c r="B83" s="807" t="s">
        <v>1068</v>
      </c>
      <c r="C83" s="808"/>
      <c r="D83" s="808"/>
      <c r="E83" s="808"/>
      <c r="F83" s="808"/>
      <c r="G83" s="808"/>
      <c r="H83" s="808"/>
      <c r="I83" s="808"/>
      <c r="J83" s="808"/>
      <c r="K83" s="809"/>
    </row>
    <row r="84" spans="1:11" ht="27" thickBot="1" x14ac:dyDescent="0.35">
      <c r="B84" s="369" t="s">
        <v>1124</v>
      </c>
      <c r="C84" s="827" t="s">
        <v>31</v>
      </c>
      <c r="D84" s="827"/>
      <c r="E84" s="827"/>
      <c r="F84" s="827"/>
      <c r="G84" s="827"/>
      <c r="H84" s="827"/>
      <c r="I84" s="381" t="s">
        <v>1125</v>
      </c>
      <c r="J84" s="828" t="s">
        <v>1074</v>
      </c>
      <c r="K84" s="829"/>
    </row>
    <row r="85" spans="1:11" ht="39.75" customHeight="1" thickBot="1" x14ac:dyDescent="0.35">
      <c r="B85" s="382" t="s">
        <v>633</v>
      </c>
      <c r="C85" s="856" t="s">
        <v>1194</v>
      </c>
      <c r="D85" s="856"/>
      <c r="E85" s="856"/>
      <c r="F85" s="856"/>
      <c r="G85" s="856"/>
      <c r="H85" s="856"/>
      <c r="I85" s="338" t="s">
        <v>37</v>
      </c>
      <c r="J85" s="892" t="s">
        <v>1797</v>
      </c>
      <c r="K85" s="894"/>
    </row>
    <row r="86" spans="1:11" ht="27" thickBot="1" x14ac:dyDescent="0.35">
      <c r="B86" s="383" t="s">
        <v>1072</v>
      </c>
      <c r="C86" s="814" t="s">
        <v>1260</v>
      </c>
      <c r="D86" s="815"/>
      <c r="E86" s="383" t="s">
        <v>1070</v>
      </c>
      <c r="F86" s="384" t="s">
        <v>1134</v>
      </c>
      <c r="G86" s="816" t="s">
        <v>1193</v>
      </c>
      <c r="H86" s="817"/>
      <c r="I86" s="383" t="s">
        <v>1130</v>
      </c>
      <c r="J86" s="814" t="s">
        <v>1133</v>
      </c>
      <c r="K86" s="815"/>
    </row>
    <row r="87" spans="1:11" ht="13.8" thickBot="1" x14ac:dyDescent="0.35">
      <c r="B87" s="824" t="s">
        <v>1076</v>
      </c>
      <c r="C87" s="825"/>
      <c r="D87" s="825"/>
      <c r="E87" s="825"/>
      <c r="F87" s="825"/>
      <c r="G87" s="825"/>
      <c r="H87" s="825"/>
      <c r="I87" s="825"/>
      <c r="J87" s="825"/>
      <c r="K87" s="826"/>
    </row>
    <row r="88" spans="1:11" ht="13.8" thickBot="1" x14ac:dyDescent="0.35">
      <c r="B88" s="360" t="s">
        <v>633</v>
      </c>
      <c r="C88" s="835" t="s">
        <v>1722</v>
      </c>
      <c r="D88" s="835"/>
      <c r="E88" s="835"/>
      <c r="F88" s="835"/>
      <c r="G88" s="835"/>
      <c r="H88" s="835"/>
      <c r="I88" s="835"/>
      <c r="J88" s="835"/>
      <c r="K88" s="836"/>
    </row>
    <row r="89" spans="1:11" ht="13.8" thickBot="1" x14ac:dyDescent="0.35">
      <c r="B89" s="824" t="s">
        <v>1077</v>
      </c>
      <c r="C89" s="825"/>
      <c r="D89" s="825"/>
      <c r="E89" s="825"/>
      <c r="F89" s="825"/>
      <c r="G89" s="825"/>
      <c r="H89" s="825"/>
      <c r="I89" s="825"/>
      <c r="J89" s="825"/>
      <c r="K89" s="826"/>
    </row>
    <row r="90" spans="1:11" ht="27" customHeight="1" x14ac:dyDescent="0.3">
      <c r="B90" s="361" t="s">
        <v>689</v>
      </c>
      <c r="C90" s="863" t="s">
        <v>1829</v>
      </c>
      <c r="D90" s="864"/>
      <c r="E90" s="864"/>
      <c r="F90" s="864"/>
      <c r="G90" s="864"/>
      <c r="H90" s="864"/>
      <c r="I90" s="864"/>
      <c r="J90" s="864"/>
      <c r="K90" s="865"/>
    </row>
    <row r="91" spans="1:11" ht="27" customHeight="1" thickBot="1" x14ac:dyDescent="0.35">
      <c r="B91" s="367" t="s">
        <v>1195</v>
      </c>
      <c r="C91" s="883" t="s">
        <v>1196</v>
      </c>
      <c r="D91" s="884"/>
      <c r="E91" s="884"/>
      <c r="F91" s="884"/>
      <c r="G91" s="884"/>
      <c r="H91" s="884"/>
      <c r="I91" s="884"/>
      <c r="J91" s="884"/>
      <c r="K91" s="885"/>
    </row>
    <row r="92" spans="1:11" ht="13.8" thickBot="1" x14ac:dyDescent="0.35">
      <c r="B92" s="824" t="s">
        <v>1139</v>
      </c>
      <c r="C92" s="825"/>
      <c r="D92" s="825"/>
      <c r="E92" s="825"/>
      <c r="F92" s="825"/>
      <c r="G92" s="825"/>
      <c r="H92" s="825"/>
      <c r="I92" s="825"/>
      <c r="J92" s="825"/>
      <c r="K92" s="826"/>
    </row>
    <row r="93" spans="1:11" ht="13.8" thickBot="1" x14ac:dyDescent="0.35">
      <c r="B93" s="360" t="s">
        <v>863</v>
      </c>
      <c r="C93" s="835" t="s">
        <v>1140</v>
      </c>
      <c r="D93" s="835"/>
      <c r="E93" s="835"/>
      <c r="F93" s="835"/>
      <c r="G93" s="835"/>
      <c r="H93" s="835"/>
      <c r="I93" s="835"/>
      <c r="J93" s="835"/>
      <c r="K93" s="836"/>
    </row>
    <row r="95" spans="1:11" ht="13.8" thickBot="1" x14ac:dyDescent="0.35">
      <c r="A95" s="359" t="s">
        <v>1098</v>
      </c>
      <c r="B95" s="359" t="s">
        <v>881</v>
      </c>
    </row>
    <row r="96" spans="1:11" ht="13.8" thickBot="1" x14ac:dyDescent="0.35">
      <c r="B96" s="807" t="s">
        <v>1060</v>
      </c>
      <c r="C96" s="808"/>
      <c r="D96" s="808"/>
      <c r="E96" s="808"/>
      <c r="F96" s="808"/>
      <c r="G96" s="808"/>
      <c r="H96" s="808"/>
      <c r="I96" s="808"/>
      <c r="J96" s="808"/>
      <c r="K96" s="809"/>
    </row>
    <row r="97" spans="1:11" ht="13.8" thickBot="1" x14ac:dyDescent="0.35">
      <c r="B97" s="360" t="s">
        <v>576</v>
      </c>
      <c r="C97" s="810" t="s">
        <v>1197</v>
      </c>
      <c r="D97" s="810"/>
      <c r="E97" s="810"/>
      <c r="F97" s="810"/>
      <c r="G97" s="810"/>
      <c r="H97" s="810"/>
      <c r="I97" s="810"/>
      <c r="J97" s="810"/>
      <c r="K97" s="811"/>
    </row>
    <row r="98" spans="1:11" ht="13.8" thickBot="1" x14ac:dyDescent="0.35">
      <c r="B98" s="807" t="s">
        <v>1109</v>
      </c>
      <c r="C98" s="808"/>
      <c r="D98" s="808"/>
      <c r="E98" s="808"/>
      <c r="F98" s="808"/>
      <c r="G98" s="808"/>
      <c r="H98" s="808"/>
      <c r="I98" s="808"/>
      <c r="J98" s="808"/>
      <c r="K98" s="809"/>
    </row>
    <row r="99" spans="1:11" ht="12.9" customHeight="1" x14ac:dyDescent="0.3">
      <c r="B99" s="361" t="s">
        <v>1110</v>
      </c>
      <c r="C99" s="812" t="s">
        <v>1111</v>
      </c>
      <c r="D99" s="812"/>
      <c r="E99" s="812"/>
      <c r="F99" s="812"/>
      <c r="G99" s="812"/>
      <c r="H99" s="812"/>
      <c r="I99" s="812"/>
      <c r="J99" s="812"/>
      <c r="K99" s="362" t="s">
        <v>35</v>
      </c>
    </row>
    <row r="100" spans="1:11" x14ac:dyDescent="0.3">
      <c r="A100" s="352"/>
      <c r="B100" s="363"/>
      <c r="C100" s="804" t="s">
        <v>1206</v>
      </c>
      <c r="D100" s="805"/>
      <c r="E100" s="805"/>
      <c r="F100" s="805"/>
      <c r="G100" s="805"/>
      <c r="H100" s="805"/>
      <c r="I100" s="805"/>
      <c r="J100" s="806"/>
      <c r="K100" s="364"/>
    </row>
    <row r="101" spans="1:11" ht="12.9" customHeight="1" x14ac:dyDescent="0.3">
      <c r="B101" s="365" t="s">
        <v>1112</v>
      </c>
      <c r="C101" s="813" t="s">
        <v>1118</v>
      </c>
      <c r="D101" s="813"/>
      <c r="E101" s="813"/>
      <c r="F101" s="813"/>
      <c r="G101" s="813"/>
      <c r="H101" s="813"/>
      <c r="I101" s="813"/>
      <c r="J101" s="813"/>
      <c r="K101" s="366" t="s">
        <v>35</v>
      </c>
    </row>
    <row r="102" spans="1:11" ht="12.9" customHeight="1" x14ac:dyDescent="0.3">
      <c r="B102" s="365" t="s">
        <v>1113</v>
      </c>
      <c r="C102" s="813" t="s">
        <v>1119</v>
      </c>
      <c r="D102" s="813"/>
      <c r="E102" s="813"/>
      <c r="F102" s="813"/>
      <c r="G102" s="813"/>
      <c r="H102" s="813"/>
      <c r="I102" s="813"/>
      <c r="J102" s="813"/>
      <c r="K102" s="366" t="s">
        <v>35</v>
      </c>
    </row>
    <row r="103" spans="1:11" ht="12.9" customHeight="1" x14ac:dyDescent="0.3">
      <c r="B103" s="365" t="s">
        <v>1114</v>
      </c>
      <c r="C103" s="813" t="s">
        <v>1120</v>
      </c>
      <c r="D103" s="813"/>
      <c r="E103" s="813"/>
      <c r="F103" s="813"/>
      <c r="G103" s="813"/>
      <c r="H103" s="813"/>
      <c r="I103" s="813"/>
      <c r="J103" s="813"/>
      <c r="K103" s="366" t="s">
        <v>35</v>
      </c>
    </row>
    <row r="104" spans="1:11" ht="27" customHeight="1" x14ac:dyDescent="0.3">
      <c r="B104" s="365" t="s">
        <v>1115</v>
      </c>
      <c r="C104" s="813" t="s">
        <v>1121</v>
      </c>
      <c r="D104" s="813"/>
      <c r="E104" s="813"/>
      <c r="F104" s="813"/>
      <c r="G104" s="813"/>
      <c r="H104" s="813"/>
      <c r="I104" s="813"/>
      <c r="J104" s="813"/>
      <c r="K104" s="366" t="s">
        <v>35</v>
      </c>
    </row>
    <row r="105" spans="1:11" ht="12.9" customHeight="1" x14ac:dyDescent="0.3">
      <c r="B105" s="365" t="s">
        <v>1116</v>
      </c>
      <c r="C105" s="813" t="s">
        <v>1272</v>
      </c>
      <c r="D105" s="813"/>
      <c r="E105" s="813"/>
      <c r="F105" s="813"/>
      <c r="G105" s="813"/>
      <c r="H105" s="813"/>
      <c r="I105" s="813"/>
      <c r="J105" s="813"/>
      <c r="K105" s="366" t="s">
        <v>35</v>
      </c>
    </row>
    <row r="106" spans="1:11" ht="12.9" customHeight="1" thickBot="1" x14ac:dyDescent="0.35">
      <c r="B106" s="367" t="s">
        <v>1117</v>
      </c>
      <c r="C106" s="831" t="s">
        <v>1122</v>
      </c>
      <c r="D106" s="831"/>
      <c r="E106" s="831"/>
      <c r="F106" s="831"/>
      <c r="G106" s="831"/>
      <c r="H106" s="831"/>
      <c r="I106" s="831"/>
      <c r="J106" s="831"/>
      <c r="K106" s="368" t="s">
        <v>35</v>
      </c>
    </row>
    <row r="107" spans="1:11" ht="13.8" thickBot="1" x14ac:dyDescent="0.35">
      <c r="B107" s="369"/>
      <c r="C107" s="833" t="s">
        <v>1123</v>
      </c>
      <c r="D107" s="833"/>
      <c r="E107" s="833"/>
      <c r="F107" s="833"/>
      <c r="G107" s="833"/>
      <c r="H107" s="833"/>
      <c r="I107" s="833"/>
      <c r="J107" s="833"/>
      <c r="K107" s="370" t="str">
        <f>IF(OR(K99="Yes",K101="Yes",K102="Yes",K103="Yes",K104="Yes",K105="Yes",K106="Yes"),"Yes","No")</f>
        <v>No</v>
      </c>
    </row>
    <row r="108" spans="1:11" ht="13.8" thickBot="1" x14ac:dyDescent="0.35">
      <c r="B108" s="834" t="s">
        <v>1061</v>
      </c>
      <c r="C108" s="834"/>
      <c r="D108" s="834"/>
      <c r="E108" s="834"/>
      <c r="F108" s="834"/>
      <c r="G108" s="834" t="s">
        <v>1062</v>
      </c>
      <c r="H108" s="834"/>
      <c r="I108" s="834"/>
      <c r="J108" s="834"/>
      <c r="K108" s="834"/>
    </row>
    <row r="109" spans="1:11" ht="27" thickBot="1" x14ac:dyDescent="0.35">
      <c r="B109" s="371" t="s">
        <v>26</v>
      </c>
      <c r="C109" s="372" t="s">
        <v>553</v>
      </c>
      <c r="D109" s="372" t="s">
        <v>19</v>
      </c>
      <c r="E109" s="372" t="s">
        <v>25</v>
      </c>
      <c r="F109" s="373" t="s">
        <v>554</v>
      </c>
      <c r="G109" s="374" t="s">
        <v>1063</v>
      </c>
      <c r="H109" s="372" t="s">
        <v>1064</v>
      </c>
      <c r="I109" s="375" t="s">
        <v>1065</v>
      </c>
      <c r="J109" s="375" t="s">
        <v>1066</v>
      </c>
      <c r="K109" s="376" t="s">
        <v>1067</v>
      </c>
    </row>
    <row r="110" spans="1:11" ht="13.8" thickBot="1" x14ac:dyDescent="0.35">
      <c r="B110" s="433" t="s">
        <v>621</v>
      </c>
      <c r="C110" s="434" t="s">
        <v>621</v>
      </c>
      <c r="D110" s="434" t="s">
        <v>621</v>
      </c>
      <c r="E110" s="434" t="s">
        <v>619</v>
      </c>
      <c r="F110" s="435" t="s">
        <v>619</v>
      </c>
      <c r="G110" s="436" t="s">
        <v>621</v>
      </c>
      <c r="H110" s="434" t="s">
        <v>621</v>
      </c>
      <c r="I110" s="434" t="s">
        <v>621</v>
      </c>
      <c r="J110" s="434" t="s">
        <v>621</v>
      </c>
      <c r="K110" s="435" t="s">
        <v>621</v>
      </c>
    </row>
    <row r="111" spans="1:11" ht="13.8" thickBot="1" x14ac:dyDescent="0.35">
      <c r="B111" s="807" t="s">
        <v>1068</v>
      </c>
      <c r="C111" s="808"/>
      <c r="D111" s="808"/>
      <c r="E111" s="808"/>
      <c r="F111" s="808"/>
      <c r="G111" s="808"/>
      <c r="H111" s="808"/>
      <c r="I111" s="808"/>
      <c r="J111" s="808"/>
      <c r="K111" s="809"/>
    </row>
    <row r="112" spans="1:11" ht="13.8" thickBot="1" x14ac:dyDescent="0.35">
      <c r="B112" s="360" t="s">
        <v>863</v>
      </c>
      <c r="C112" s="835" t="s">
        <v>863</v>
      </c>
      <c r="D112" s="835"/>
      <c r="E112" s="835"/>
      <c r="F112" s="835"/>
      <c r="G112" s="835"/>
      <c r="H112" s="835"/>
      <c r="I112" s="835"/>
      <c r="J112" s="835"/>
      <c r="K112" s="836"/>
    </row>
    <row r="113" spans="2:11" ht="27" customHeight="1" thickBot="1" x14ac:dyDescent="0.35">
      <c r="B113" s="383" t="s">
        <v>1072</v>
      </c>
      <c r="C113" s="814" t="s">
        <v>1260</v>
      </c>
      <c r="D113" s="815"/>
      <c r="E113" s="383" t="s">
        <v>1070</v>
      </c>
      <c r="F113" s="402" t="s">
        <v>1137</v>
      </c>
      <c r="G113" s="816" t="s">
        <v>1267</v>
      </c>
      <c r="H113" s="817"/>
      <c r="I113" s="383" t="s">
        <v>1130</v>
      </c>
      <c r="J113" s="814" t="s">
        <v>1133</v>
      </c>
      <c r="K113" s="815"/>
    </row>
    <row r="114" spans="2:11" ht="13.8" thickBot="1" x14ac:dyDescent="0.35">
      <c r="B114" s="824" t="s">
        <v>1076</v>
      </c>
      <c r="C114" s="825"/>
      <c r="D114" s="825"/>
      <c r="E114" s="825"/>
      <c r="F114" s="825"/>
      <c r="G114" s="825"/>
      <c r="H114" s="825"/>
      <c r="I114" s="825"/>
      <c r="J114" s="825"/>
      <c r="K114" s="826"/>
    </row>
    <row r="115" spans="2:11" ht="13.8" thickBot="1" x14ac:dyDescent="0.35">
      <c r="B115" s="360" t="str">
        <f>B112</f>
        <v>N/A</v>
      </c>
      <c r="C115" s="835" t="s">
        <v>863</v>
      </c>
      <c r="D115" s="835"/>
      <c r="E115" s="835"/>
      <c r="F115" s="835"/>
      <c r="G115" s="835"/>
      <c r="H115" s="835"/>
      <c r="I115" s="835"/>
      <c r="J115" s="835"/>
      <c r="K115" s="836"/>
    </row>
    <row r="116" spans="2:11" ht="13.8" thickBot="1" x14ac:dyDescent="0.35">
      <c r="B116" s="824" t="s">
        <v>1077</v>
      </c>
      <c r="C116" s="825"/>
      <c r="D116" s="825"/>
      <c r="E116" s="825"/>
      <c r="F116" s="825"/>
      <c r="G116" s="825"/>
      <c r="H116" s="825"/>
      <c r="I116" s="825"/>
      <c r="J116" s="825"/>
      <c r="K116" s="826"/>
    </row>
    <row r="117" spans="2:11" ht="39.9" customHeight="1" thickBot="1" x14ac:dyDescent="0.35">
      <c r="B117" s="360" t="s">
        <v>1198</v>
      </c>
      <c r="C117" s="830" t="s">
        <v>1830</v>
      </c>
      <c r="D117" s="816"/>
      <c r="E117" s="816"/>
      <c r="F117" s="816"/>
      <c r="G117" s="816"/>
      <c r="H117" s="816"/>
      <c r="I117" s="816"/>
      <c r="J117" s="816"/>
      <c r="K117" s="817"/>
    </row>
    <row r="118" spans="2:11" ht="13.8" thickBot="1" x14ac:dyDescent="0.35">
      <c r="B118" s="824" t="s">
        <v>1139</v>
      </c>
      <c r="C118" s="825"/>
      <c r="D118" s="825"/>
      <c r="E118" s="825"/>
      <c r="F118" s="825"/>
      <c r="G118" s="825"/>
      <c r="H118" s="825"/>
      <c r="I118" s="825"/>
      <c r="J118" s="825"/>
      <c r="K118" s="826"/>
    </row>
    <row r="119" spans="2:11" ht="13.8" thickBot="1" x14ac:dyDescent="0.35">
      <c r="B119" s="360" t="s">
        <v>863</v>
      </c>
      <c r="C119" s="835" t="s">
        <v>1140</v>
      </c>
      <c r="D119" s="835"/>
      <c r="E119" s="835"/>
      <c r="F119" s="835"/>
      <c r="G119" s="835"/>
      <c r="H119" s="835"/>
      <c r="I119" s="835"/>
      <c r="J119" s="835"/>
      <c r="K119" s="836"/>
    </row>
    <row r="121" spans="2:11" ht="13.8" thickBot="1" x14ac:dyDescent="0.35"/>
    <row r="122" spans="2:11" ht="13.8" thickBot="1" x14ac:dyDescent="0.35">
      <c r="B122" s="807" t="s">
        <v>1060</v>
      </c>
      <c r="C122" s="808"/>
      <c r="D122" s="808"/>
      <c r="E122" s="808"/>
      <c r="F122" s="808"/>
      <c r="G122" s="808"/>
      <c r="H122" s="808"/>
      <c r="I122" s="808"/>
      <c r="J122" s="808"/>
      <c r="K122" s="809"/>
    </row>
    <row r="123" spans="2:11" ht="13.8" thickBot="1" x14ac:dyDescent="0.35">
      <c r="B123" s="360" t="s">
        <v>1452</v>
      </c>
      <c r="C123" s="810" t="s">
        <v>1447</v>
      </c>
      <c r="D123" s="810"/>
      <c r="E123" s="810"/>
      <c r="F123" s="810"/>
      <c r="G123" s="810"/>
      <c r="H123" s="810"/>
      <c r="I123" s="810"/>
      <c r="J123" s="810"/>
      <c r="K123" s="811"/>
    </row>
    <row r="124" spans="2:11" ht="13.8" thickBot="1" x14ac:dyDescent="0.35">
      <c r="B124" s="807" t="s">
        <v>1109</v>
      </c>
      <c r="C124" s="808"/>
      <c r="D124" s="808"/>
      <c r="E124" s="808"/>
      <c r="F124" s="808"/>
      <c r="G124" s="808"/>
      <c r="H124" s="808"/>
      <c r="I124" s="808"/>
      <c r="J124" s="808"/>
      <c r="K124" s="809"/>
    </row>
    <row r="125" spans="2:11" x14ac:dyDescent="0.3">
      <c r="B125" s="361" t="s">
        <v>1110</v>
      </c>
      <c r="C125" s="812" t="s">
        <v>1111</v>
      </c>
      <c r="D125" s="812"/>
      <c r="E125" s="812"/>
      <c r="F125" s="812"/>
      <c r="G125" s="812"/>
      <c r="H125" s="812"/>
      <c r="I125" s="812"/>
      <c r="J125" s="812"/>
      <c r="K125" s="362" t="s">
        <v>37</v>
      </c>
    </row>
    <row r="126" spans="2:11" x14ac:dyDescent="0.3">
      <c r="B126" s="363"/>
      <c r="C126" s="804" t="s">
        <v>1448</v>
      </c>
      <c r="D126" s="805"/>
      <c r="E126" s="805"/>
      <c r="F126" s="805"/>
      <c r="G126" s="805"/>
      <c r="H126" s="805"/>
      <c r="I126" s="805"/>
      <c r="J126" s="806"/>
      <c r="K126" s="364"/>
    </row>
    <row r="127" spans="2:11" x14ac:dyDescent="0.3">
      <c r="B127" s="365" t="s">
        <v>1112</v>
      </c>
      <c r="C127" s="813" t="s">
        <v>1118</v>
      </c>
      <c r="D127" s="813"/>
      <c r="E127" s="813"/>
      <c r="F127" s="813"/>
      <c r="G127" s="813"/>
      <c r="H127" s="813"/>
      <c r="I127" s="813"/>
      <c r="J127" s="813"/>
      <c r="K127" s="366" t="s">
        <v>35</v>
      </c>
    </row>
    <row r="128" spans="2:11" x14ac:dyDescent="0.3">
      <c r="B128" s="365" t="s">
        <v>1113</v>
      </c>
      <c r="C128" s="813" t="s">
        <v>1119</v>
      </c>
      <c r="D128" s="813"/>
      <c r="E128" s="813"/>
      <c r="F128" s="813"/>
      <c r="G128" s="813"/>
      <c r="H128" s="813"/>
      <c r="I128" s="813"/>
      <c r="J128" s="813"/>
      <c r="K128" s="366" t="s">
        <v>35</v>
      </c>
    </row>
    <row r="129" spans="2:11" x14ac:dyDescent="0.3">
      <c r="B129" s="365" t="s">
        <v>1114</v>
      </c>
      <c r="C129" s="813" t="s">
        <v>1120</v>
      </c>
      <c r="D129" s="813"/>
      <c r="E129" s="813"/>
      <c r="F129" s="813"/>
      <c r="G129" s="813"/>
      <c r="H129" s="813"/>
      <c r="I129" s="813"/>
      <c r="J129" s="813"/>
      <c r="K129" s="366" t="s">
        <v>35</v>
      </c>
    </row>
    <row r="130" spans="2:11" x14ac:dyDescent="0.3">
      <c r="B130" s="365" t="s">
        <v>1115</v>
      </c>
      <c r="C130" s="813" t="s">
        <v>1121</v>
      </c>
      <c r="D130" s="813"/>
      <c r="E130" s="813"/>
      <c r="F130" s="813"/>
      <c r="G130" s="813"/>
      <c r="H130" s="813"/>
      <c r="I130" s="813"/>
      <c r="J130" s="813"/>
      <c r="K130" s="366" t="s">
        <v>35</v>
      </c>
    </row>
    <row r="131" spans="2:11" x14ac:dyDescent="0.3">
      <c r="B131" s="365" t="s">
        <v>1116</v>
      </c>
      <c r="C131" s="813" t="s">
        <v>1272</v>
      </c>
      <c r="D131" s="813"/>
      <c r="E131" s="813"/>
      <c r="F131" s="813"/>
      <c r="G131" s="813"/>
      <c r="H131" s="813"/>
      <c r="I131" s="813"/>
      <c r="J131" s="813"/>
      <c r="K131" s="366" t="s">
        <v>35</v>
      </c>
    </row>
    <row r="132" spans="2:11" ht="13.8" thickBot="1" x14ac:dyDescent="0.35">
      <c r="B132" s="367" t="s">
        <v>1117</v>
      </c>
      <c r="C132" s="831" t="s">
        <v>1122</v>
      </c>
      <c r="D132" s="831"/>
      <c r="E132" s="831"/>
      <c r="F132" s="831"/>
      <c r="G132" s="831"/>
      <c r="H132" s="831"/>
      <c r="I132" s="831"/>
      <c r="J132" s="831"/>
      <c r="K132" s="368" t="s">
        <v>35</v>
      </c>
    </row>
    <row r="133" spans="2:11" ht="13.8" thickBot="1" x14ac:dyDescent="0.35">
      <c r="B133" s="369"/>
      <c r="C133" s="833" t="s">
        <v>1123</v>
      </c>
      <c r="D133" s="833"/>
      <c r="E133" s="833"/>
      <c r="F133" s="833"/>
      <c r="G133" s="833"/>
      <c r="H133" s="833"/>
      <c r="I133" s="833"/>
      <c r="J133" s="833"/>
      <c r="K133" s="370" t="str">
        <f>IF(OR(K125="Yes",K127="Yes",K128="Yes",K129="Yes",K130="Yes",K131="Yes",K132="Yes"),"Yes","No")</f>
        <v>Yes</v>
      </c>
    </row>
    <row r="134" spans="2:11" ht="13.8" thickBot="1" x14ac:dyDescent="0.35">
      <c r="B134" s="834" t="s">
        <v>1061</v>
      </c>
      <c r="C134" s="834"/>
      <c r="D134" s="834"/>
      <c r="E134" s="834"/>
      <c r="F134" s="834"/>
      <c r="G134" s="834" t="s">
        <v>1062</v>
      </c>
      <c r="H134" s="834"/>
      <c r="I134" s="834"/>
      <c r="J134" s="834"/>
      <c r="K134" s="834"/>
    </row>
    <row r="135" spans="2:11" ht="27" thickBot="1" x14ac:dyDescent="0.35">
      <c r="B135" s="371" t="s">
        <v>26</v>
      </c>
      <c r="C135" s="372" t="s">
        <v>553</v>
      </c>
      <c r="D135" s="372" t="s">
        <v>1453</v>
      </c>
      <c r="E135" s="372" t="s">
        <v>25</v>
      </c>
      <c r="F135" s="373" t="s">
        <v>554</v>
      </c>
      <c r="G135" s="374" t="s">
        <v>1063</v>
      </c>
      <c r="H135" s="372" t="s">
        <v>1064</v>
      </c>
      <c r="I135" s="375" t="s">
        <v>1065</v>
      </c>
      <c r="J135" s="375" t="s">
        <v>1449</v>
      </c>
      <c r="K135" s="376" t="s">
        <v>1067</v>
      </c>
    </row>
    <row r="136" spans="2:11" ht="13.8" thickBot="1" x14ac:dyDescent="0.35">
      <c r="B136" s="433" t="s">
        <v>621</v>
      </c>
      <c r="C136" s="434" t="s">
        <v>621</v>
      </c>
      <c r="D136" s="434" t="s">
        <v>619</v>
      </c>
      <c r="E136" s="434" t="s">
        <v>619</v>
      </c>
      <c r="F136" s="435" t="s">
        <v>619</v>
      </c>
      <c r="G136" s="436" t="s">
        <v>619</v>
      </c>
      <c r="H136" s="434" t="s">
        <v>621</v>
      </c>
      <c r="I136" s="434" t="s">
        <v>621</v>
      </c>
      <c r="J136" s="434" t="s">
        <v>619</v>
      </c>
      <c r="K136" s="435" t="s">
        <v>621</v>
      </c>
    </row>
    <row r="137" spans="2:11" ht="13.8" thickBot="1" x14ac:dyDescent="0.35">
      <c r="B137" s="807" t="s">
        <v>1068</v>
      </c>
      <c r="C137" s="808"/>
      <c r="D137" s="808"/>
      <c r="E137" s="808"/>
      <c r="F137" s="808"/>
      <c r="G137" s="808"/>
      <c r="H137" s="808"/>
      <c r="I137" s="808"/>
      <c r="J137" s="808"/>
      <c r="K137" s="809"/>
    </row>
    <row r="138" spans="2:11" ht="27" customHeight="1" thickBot="1" x14ac:dyDescent="0.35">
      <c r="B138" s="367" t="s">
        <v>908</v>
      </c>
      <c r="C138" s="831" t="s">
        <v>1127</v>
      </c>
      <c r="D138" s="831"/>
      <c r="E138" s="831"/>
      <c r="F138" s="831"/>
      <c r="G138" s="831"/>
      <c r="H138" s="831"/>
      <c r="I138" s="424" t="s">
        <v>35</v>
      </c>
      <c r="J138" s="949" t="s">
        <v>863</v>
      </c>
      <c r="K138" s="950"/>
    </row>
    <row r="139" spans="2:11" ht="27" thickBot="1" x14ac:dyDescent="0.35">
      <c r="B139" s="383" t="s">
        <v>1072</v>
      </c>
      <c r="C139" s="870" t="s">
        <v>1100</v>
      </c>
      <c r="D139" s="871"/>
      <c r="E139" s="383" t="s">
        <v>1070</v>
      </c>
      <c r="F139" s="402" t="s">
        <v>1137</v>
      </c>
      <c r="G139" s="816" t="s">
        <v>1267</v>
      </c>
      <c r="H139" s="817"/>
      <c r="I139" s="383" t="s">
        <v>1130</v>
      </c>
      <c r="J139" s="814" t="s">
        <v>1133</v>
      </c>
      <c r="K139" s="815"/>
    </row>
    <row r="140" spans="2:11" ht="13.8" thickBot="1" x14ac:dyDescent="0.35">
      <c r="B140" s="824" t="s">
        <v>1076</v>
      </c>
      <c r="C140" s="825"/>
      <c r="D140" s="825"/>
      <c r="E140" s="825"/>
      <c r="F140" s="825"/>
      <c r="G140" s="825"/>
      <c r="H140" s="825"/>
      <c r="I140" s="825"/>
      <c r="J140" s="825"/>
      <c r="K140" s="826"/>
    </row>
    <row r="141" spans="2:11" ht="13.8" thickBot="1" x14ac:dyDescent="0.35">
      <c r="B141" s="360" t="str">
        <f>B138</f>
        <v>CADBT2</v>
      </c>
      <c r="C141" s="835" t="s">
        <v>1439</v>
      </c>
      <c r="D141" s="835"/>
      <c r="E141" s="835"/>
      <c r="F141" s="835"/>
      <c r="G141" s="835"/>
      <c r="H141" s="835"/>
      <c r="I141" s="835"/>
      <c r="J141" s="835"/>
      <c r="K141" s="836"/>
    </row>
    <row r="142" spans="2:11" ht="13.8" thickBot="1" x14ac:dyDescent="0.35">
      <c r="B142" s="824" t="s">
        <v>1077</v>
      </c>
      <c r="C142" s="825"/>
      <c r="D142" s="825"/>
      <c r="E142" s="825"/>
      <c r="F142" s="825"/>
      <c r="G142" s="825"/>
      <c r="H142" s="825"/>
      <c r="I142" s="825"/>
      <c r="J142" s="825"/>
      <c r="K142" s="826"/>
    </row>
    <row r="143" spans="2:11" ht="27" customHeight="1" thickBot="1" x14ac:dyDescent="0.35">
      <c r="B143" s="367" t="s">
        <v>1380</v>
      </c>
      <c r="C143" s="883" t="s">
        <v>1381</v>
      </c>
      <c r="D143" s="884"/>
      <c r="E143" s="884"/>
      <c r="F143" s="884"/>
      <c r="G143" s="884"/>
      <c r="H143" s="884"/>
      <c r="I143" s="884"/>
      <c r="J143" s="884"/>
      <c r="K143" s="885"/>
    </row>
    <row r="144" spans="2:11" ht="13.8" thickBot="1" x14ac:dyDescent="0.35">
      <c r="B144" s="824" t="s">
        <v>1139</v>
      </c>
      <c r="C144" s="825"/>
      <c r="D144" s="825"/>
      <c r="E144" s="825"/>
      <c r="F144" s="825"/>
      <c r="G144" s="825"/>
      <c r="H144" s="825"/>
      <c r="I144" s="825"/>
      <c r="J144" s="825"/>
      <c r="K144" s="826"/>
    </row>
    <row r="145" spans="2:11" ht="28.95" customHeight="1" thickBot="1" x14ac:dyDescent="0.35">
      <c r="B145" s="360" t="s">
        <v>1451</v>
      </c>
      <c r="C145" s="835" t="s">
        <v>1450</v>
      </c>
      <c r="D145" s="835"/>
      <c r="E145" s="835"/>
      <c r="F145" s="835"/>
      <c r="G145" s="835"/>
      <c r="H145" s="835"/>
      <c r="I145" s="835"/>
      <c r="J145" s="835"/>
      <c r="K145" s="836"/>
    </row>
  </sheetData>
  <autoFilter ref="A2:L119" xr:uid="{00000000-0009-0000-0000-000007000000}"/>
  <mergeCells count="141">
    <mergeCell ref="C119:K119"/>
    <mergeCell ref="B114:K114"/>
    <mergeCell ref="C115:K115"/>
    <mergeCell ref="B116:K116"/>
    <mergeCell ref="C117:K117"/>
    <mergeCell ref="C93:K93"/>
    <mergeCell ref="B111:K111"/>
    <mergeCell ref="C112:K112"/>
    <mergeCell ref="B96:K96"/>
    <mergeCell ref="C97:K97"/>
    <mergeCell ref="B108:F108"/>
    <mergeCell ref="G108:K108"/>
    <mergeCell ref="B98:K98"/>
    <mergeCell ref="C99:J99"/>
    <mergeCell ref="C100:J100"/>
    <mergeCell ref="C101:J101"/>
    <mergeCell ref="C102:J102"/>
    <mergeCell ref="C103:J103"/>
    <mergeCell ref="C104:J104"/>
    <mergeCell ref="C107:J107"/>
    <mergeCell ref="B118:K118"/>
    <mergeCell ref="C113:D113"/>
    <mergeCell ref="G113:H113"/>
    <mergeCell ref="J113:K113"/>
    <mergeCell ref="C61:K61"/>
    <mergeCell ref="C62:K62"/>
    <mergeCell ref="C73:J73"/>
    <mergeCell ref="C64:K64"/>
    <mergeCell ref="C69:K69"/>
    <mergeCell ref="B68:K68"/>
    <mergeCell ref="J86:K86"/>
    <mergeCell ref="B87:K87"/>
    <mergeCell ref="B70:K70"/>
    <mergeCell ref="C71:J71"/>
    <mergeCell ref="C72:J72"/>
    <mergeCell ref="C79:J79"/>
    <mergeCell ref="B63:K63"/>
    <mergeCell ref="C88:K88"/>
    <mergeCell ref="B89:K89"/>
    <mergeCell ref="C90:K90"/>
    <mergeCell ref="C106:J106"/>
    <mergeCell ref="C74:J74"/>
    <mergeCell ref="C75:J75"/>
    <mergeCell ref="C76:J76"/>
    <mergeCell ref="C77:J77"/>
    <mergeCell ref="C78:J78"/>
    <mergeCell ref="B83:K83"/>
    <mergeCell ref="C84:H84"/>
    <mergeCell ref="J84:K84"/>
    <mergeCell ref="C91:K91"/>
    <mergeCell ref="B80:F80"/>
    <mergeCell ref="G80:K80"/>
    <mergeCell ref="C85:H85"/>
    <mergeCell ref="J85:K85"/>
    <mergeCell ref="C86:D86"/>
    <mergeCell ref="G86:H86"/>
    <mergeCell ref="C105:J105"/>
    <mergeCell ref="B92:K92"/>
    <mergeCell ref="C59:K59"/>
    <mergeCell ref="B60:K60"/>
    <mergeCell ref="B51:F51"/>
    <mergeCell ref="G51:K51"/>
    <mergeCell ref="C56:H56"/>
    <mergeCell ref="J56:K56"/>
    <mergeCell ref="C57:D57"/>
    <mergeCell ref="G57:H57"/>
    <mergeCell ref="J57:K57"/>
    <mergeCell ref="C47:J47"/>
    <mergeCell ref="C40:K40"/>
    <mergeCell ref="C48:J48"/>
    <mergeCell ref="C49:J49"/>
    <mergeCell ref="C50:J50"/>
    <mergeCell ref="B54:K54"/>
    <mergeCell ref="C55:H55"/>
    <mergeCell ref="J55:K55"/>
    <mergeCell ref="B58:K58"/>
    <mergeCell ref="B5:D5"/>
    <mergeCell ref="B6:D6"/>
    <mergeCell ref="B7:D7"/>
    <mergeCell ref="B11:K11"/>
    <mergeCell ref="C12:K12"/>
    <mergeCell ref="B23:F23"/>
    <mergeCell ref="G23:K23"/>
    <mergeCell ref="B13:K13"/>
    <mergeCell ref="C14:J14"/>
    <mergeCell ref="C16:J16"/>
    <mergeCell ref="C17:J17"/>
    <mergeCell ref="C18:J18"/>
    <mergeCell ref="C19:J19"/>
    <mergeCell ref="C20:J20"/>
    <mergeCell ref="C21:J21"/>
    <mergeCell ref="C22:J22"/>
    <mergeCell ref="C15:J15"/>
    <mergeCell ref="B26:K26"/>
    <mergeCell ref="C27:H27"/>
    <mergeCell ref="J27:K27"/>
    <mergeCell ref="C28:H28"/>
    <mergeCell ref="J28:K28"/>
    <mergeCell ref="C29:D29"/>
    <mergeCell ref="B30:K30"/>
    <mergeCell ref="C31:K31"/>
    <mergeCell ref="G29:H29"/>
    <mergeCell ref="J29:K29"/>
    <mergeCell ref="B39:K39"/>
    <mergeCell ref="B41:K41"/>
    <mergeCell ref="C42:J42"/>
    <mergeCell ref="C44:J44"/>
    <mergeCell ref="C45:J45"/>
    <mergeCell ref="C46:J46"/>
    <mergeCell ref="C43:J43"/>
    <mergeCell ref="B32:K32"/>
    <mergeCell ref="C33:K33"/>
    <mergeCell ref="C36:K36"/>
    <mergeCell ref="C34:K34"/>
    <mergeCell ref="B35:K35"/>
    <mergeCell ref="B122:K122"/>
    <mergeCell ref="C123:K123"/>
    <mergeCell ref="B124:K124"/>
    <mergeCell ref="C125:J125"/>
    <mergeCell ref="C126:J126"/>
    <mergeCell ref="C127:J127"/>
    <mergeCell ref="C128:J128"/>
    <mergeCell ref="C129:J129"/>
    <mergeCell ref="C130:J130"/>
    <mergeCell ref="B140:K140"/>
    <mergeCell ref="C141:K141"/>
    <mergeCell ref="B142:K142"/>
    <mergeCell ref="C143:K143"/>
    <mergeCell ref="B144:K144"/>
    <mergeCell ref="C145:K145"/>
    <mergeCell ref="C138:H138"/>
    <mergeCell ref="J138:K138"/>
    <mergeCell ref="C131:J131"/>
    <mergeCell ref="C132:J132"/>
    <mergeCell ref="C133:J133"/>
    <mergeCell ref="B134:F134"/>
    <mergeCell ref="G134:K134"/>
    <mergeCell ref="B137:K137"/>
    <mergeCell ref="C139:D139"/>
    <mergeCell ref="G139:H139"/>
    <mergeCell ref="J139:K139"/>
  </mergeCells>
  <dataValidations count="1">
    <dataValidation type="list" allowBlank="1" showInputMessage="1" showErrorMessage="1" sqref="J29:K29 J57:K57 J86:K86 F29 F57 F86 J113:K113 J139:K139 F113 F139" xr:uid="{00000000-0002-0000-0700-000001000000}">
      <formula1>#REF!</formula1>
    </dataValidation>
  </dataValidation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K187"/>
  <sheetViews>
    <sheetView topLeftCell="A25" zoomScaleNormal="100" workbookViewId="0">
      <selection activeCell="A45" sqref="A45"/>
    </sheetView>
  </sheetViews>
  <sheetFormatPr defaultColWidth="9.109375" defaultRowHeight="13.2" x14ac:dyDescent="0.3"/>
  <cols>
    <col min="1" max="1" width="3.88671875" style="290" customWidth="1"/>
    <col min="2" max="2" width="15.6640625" style="290" customWidth="1"/>
    <col min="3" max="3" width="14.6640625" style="290" customWidth="1"/>
    <col min="4" max="4" width="16" style="290" customWidth="1"/>
    <col min="5" max="8" width="14.6640625" style="290" customWidth="1"/>
    <col min="9" max="9" width="18.5546875" style="290" customWidth="1"/>
    <col min="10" max="11" width="14.6640625" style="290" customWidth="1"/>
    <col min="12" max="16384" width="9.109375" style="290"/>
  </cols>
  <sheetData>
    <row r="2" spans="1:11" x14ac:dyDescent="0.3">
      <c r="B2" s="353" t="s">
        <v>1270</v>
      </c>
    </row>
    <row r="3" spans="1:11" x14ac:dyDescent="0.3">
      <c r="B3" s="353" t="s">
        <v>1796</v>
      </c>
    </row>
    <row r="4" spans="1:11" ht="13.8" thickBot="1" x14ac:dyDescent="0.35"/>
    <row r="5" spans="1:11" ht="13.8" thickBot="1" x14ac:dyDescent="0.35">
      <c r="B5" s="837" t="s">
        <v>23</v>
      </c>
      <c r="C5" s="838"/>
      <c r="D5" s="839"/>
      <c r="E5" s="354"/>
      <c r="F5" s="355" t="s">
        <v>517</v>
      </c>
    </row>
    <row r="6" spans="1:11" ht="13.8" thickBot="1" x14ac:dyDescent="0.35">
      <c r="B6" s="840" t="s">
        <v>860</v>
      </c>
      <c r="C6" s="841"/>
      <c r="D6" s="841"/>
      <c r="E6" s="356"/>
      <c r="F6" s="355" t="s">
        <v>615</v>
      </c>
    </row>
    <row r="7" spans="1:11" ht="13.8" thickBot="1" x14ac:dyDescent="0.35">
      <c r="B7" s="842" t="s">
        <v>1075</v>
      </c>
      <c r="C7" s="843"/>
      <c r="D7" s="844"/>
      <c r="E7" s="356"/>
      <c r="F7" s="357">
        <v>5175000</v>
      </c>
    </row>
    <row r="9" spans="1:11" x14ac:dyDescent="0.3">
      <c r="B9" s="353" t="s">
        <v>508</v>
      </c>
    </row>
    <row r="10" spans="1:11" ht="13.8" thickBot="1" x14ac:dyDescent="0.35">
      <c r="A10" s="358" t="s">
        <v>1097</v>
      </c>
      <c r="B10" s="359" t="s">
        <v>518</v>
      </c>
    </row>
    <row r="11" spans="1:11" ht="13.8" thickBot="1" x14ac:dyDescent="0.35">
      <c r="B11" s="807" t="s">
        <v>1060</v>
      </c>
      <c r="C11" s="808"/>
      <c r="D11" s="808"/>
      <c r="E11" s="808"/>
      <c r="F11" s="808"/>
      <c r="G11" s="808"/>
      <c r="H11" s="808"/>
      <c r="I11" s="808"/>
      <c r="J11" s="808"/>
      <c r="K11" s="809"/>
    </row>
    <row r="12" spans="1:11" ht="27" customHeight="1" thickBot="1" x14ac:dyDescent="0.35">
      <c r="B12" s="360" t="s">
        <v>1227</v>
      </c>
      <c r="C12" s="810" t="s">
        <v>1082</v>
      </c>
      <c r="D12" s="810"/>
      <c r="E12" s="810"/>
      <c r="F12" s="810"/>
      <c r="G12" s="810"/>
      <c r="H12" s="810"/>
      <c r="I12" s="810"/>
      <c r="J12" s="810"/>
      <c r="K12" s="811"/>
    </row>
    <row r="13" spans="1:11" ht="13.8" thickBot="1" x14ac:dyDescent="0.35">
      <c r="B13" s="807" t="s">
        <v>1109</v>
      </c>
      <c r="C13" s="808"/>
      <c r="D13" s="808"/>
      <c r="E13" s="808"/>
      <c r="F13" s="808"/>
      <c r="G13" s="808"/>
      <c r="H13" s="808"/>
      <c r="I13" s="808"/>
      <c r="J13" s="808"/>
      <c r="K13" s="809"/>
    </row>
    <row r="14" spans="1:11" ht="12.9" customHeight="1" x14ac:dyDescent="0.3">
      <c r="B14" s="361" t="s">
        <v>1110</v>
      </c>
      <c r="C14" s="812" t="s">
        <v>1111</v>
      </c>
      <c r="D14" s="812"/>
      <c r="E14" s="812"/>
      <c r="F14" s="812"/>
      <c r="G14" s="812"/>
      <c r="H14" s="812"/>
      <c r="I14" s="812"/>
      <c r="J14" s="812"/>
      <c r="K14" s="362" t="s">
        <v>35</v>
      </c>
    </row>
    <row r="15" spans="1:11" x14ac:dyDescent="0.3">
      <c r="A15" s="352"/>
      <c r="B15" s="363"/>
      <c r="C15" s="804" t="s">
        <v>1206</v>
      </c>
      <c r="D15" s="805"/>
      <c r="E15" s="805"/>
      <c r="F15" s="805"/>
      <c r="G15" s="805"/>
      <c r="H15" s="805"/>
      <c r="I15" s="805"/>
      <c r="J15" s="806"/>
      <c r="K15" s="364"/>
    </row>
    <row r="16" spans="1:11" ht="12.9" customHeight="1" x14ac:dyDescent="0.3">
      <c r="B16" s="365" t="s">
        <v>1112</v>
      </c>
      <c r="C16" s="813" t="s">
        <v>1118</v>
      </c>
      <c r="D16" s="813"/>
      <c r="E16" s="813"/>
      <c r="F16" s="813"/>
      <c r="G16" s="813"/>
      <c r="H16" s="813"/>
      <c r="I16" s="813"/>
      <c r="J16" s="813"/>
      <c r="K16" s="366" t="s">
        <v>35</v>
      </c>
    </row>
    <row r="17" spans="2:11" ht="12.9" customHeight="1" x14ac:dyDescent="0.3">
      <c r="B17" s="365" t="s">
        <v>1113</v>
      </c>
      <c r="C17" s="813" t="s">
        <v>1119</v>
      </c>
      <c r="D17" s="813"/>
      <c r="E17" s="813"/>
      <c r="F17" s="813"/>
      <c r="G17" s="813"/>
      <c r="H17" s="813"/>
      <c r="I17" s="813"/>
      <c r="J17" s="813"/>
      <c r="K17" s="366" t="s">
        <v>35</v>
      </c>
    </row>
    <row r="18" spans="2:11" ht="12.9" customHeight="1" x14ac:dyDescent="0.3">
      <c r="B18" s="365" t="s">
        <v>1114</v>
      </c>
      <c r="C18" s="813" t="s">
        <v>1120</v>
      </c>
      <c r="D18" s="813"/>
      <c r="E18" s="813"/>
      <c r="F18" s="813"/>
      <c r="G18" s="813"/>
      <c r="H18" s="813"/>
      <c r="I18" s="813"/>
      <c r="J18" s="813"/>
      <c r="K18" s="366" t="s">
        <v>35</v>
      </c>
    </row>
    <row r="19" spans="2:11" ht="27" customHeight="1" x14ac:dyDescent="0.3">
      <c r="B19" s="365" t="s">
        <v>1115</v>
      </c>
      <c r="C19" s="813" t="s">
        <v>1121</v>
      </c>
      <c r="D19" s="813"/>
      <c r="E19" s="813"/>
      <c r="F19" s="813"/>
      <c r="G19" s="813"/>
      <c r="H19" s="813"/>
      <c r="I19" s="813"/>
      <c r="J19" s="813"/>
      <c r="K19" s="366" t="s">
        <v>35</v>
      </c>
    </row>
    <row r="20" spans="2:11" ht="12.9" customHeight="1" x14ac:dyDescent="0.3">
      <c r="B20" s="365" t="s">
        <v>1116</v>
      </c>
      <c r="C20" s="813" t="s">
        <v>1272</v>
      </c>
      <c r="D20" s="813"/>
      <c r="E20" s="813"/>
      <c r="F20" s="813"/>
      <c r="G20" s="813"/>
      <c r="H20" s="813"/>
      <c r="I20" s="813"/>
      <c r="J20" s="813"/>
      <c r="K20" s="366" t="s">
        <v>35</v>
      </c>
    </row>
    <row r="21" spans="2:11" ht="12.9" customHeight="1" thickBot="1" x14ac:dyDescent="0.35">
      <c r="B21" s="367" t="s">
        <v>1117</v>
      </c>
      <c r="C21" s="831" t="s">
        <v>1122</v>
      </c>
      <c r="D21" s="831"/>
      <c r="E21" s="831"/>
      <c r="F21" s="831"/>
      <c r="G21" s="831"/>
      <c r="H21" s="831"/>
      <c r="I21" s="831"/>
      <c r="J21" s="831"/>
      <c r="K21" s="368" t="s">
        <v>35</v>
      </c>
    </row>
    <row r="22" spans="2:11" ht="13.8" thickBot="1" x14ac:dyDescent="0.35">
      <c r="B22" s="369"/>
      <c r="C22" s="833" t="s">
        <v>1123</v>
      </c>
      <c r="D22" s="833"/>
      <c r="E22" s="833"/>
      <c r="F22" s="833"/>
      <c r="G22" s="833"/>
      <c r="H22" s="833"/>
      <c r="I22" s="833"/>
      <c r="J22" s="833"/>
      <c r="K22" s="370" t="str">
        <f>IF(OR(K14="Yes",K16="Yes",K17="Yes",K18="Yes",K19="Yes",K20="Yes",K21="Yes"),"Yes","No")</f>
        <v>No</v>
      </c>
    </row>
    <row r="23" spans="2:11" ht="13.8" thickBot="1" x14ac:dyDescent="0.35">
      <c r="B23" s="834" t="s">
        <v>1061</v>
      </c>
      <c r="C23" s="834"/>
      <c r="D23" s="834"/>
      <c r="E23" s="834"/>
      <c r="F23" s="834"/>
      <c r="G23" s="834" t="s">
        <v>1062</v>
      </c>
      <c r="H23" s="834"/>
      <c r="I23" s="834"/>
      <c r="J23" s="834"/>
      <c r="K23" s="834"/>
    </row>
    <row r="24" spans="2:11"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2:11" ht="13.8" thickBot="1" x14ac:dyDescent="0.35">
      <c r="B25" s="433" t="s">
        <v>619</v>
      </c>
      <c r="C25" s="434" t="s">
        <v>619</v>
      </c>
      <c r="D25" s="434" t="s">
        <v>621</v>
      </c>
      <c r="E25" s="434" t="s">
        <v>621</v>
      </c>
      <c r="F25" s="435" t="s">
        <v>621</v>
      </c>
      <c r="G25" s="436" t="s">
        <v>619</v>
      </c>
      <c r="H25" s="434" t="s">
        <v>621</v>
      </c>
      <c r="I25" s="434" t="s">
        <v>621</v>
      </c>
      <c r="J25" s="434" t="s">
        <v>621</v>
      </c>
      <c r="K25" s="435" t="s">
        <v>619</v>
      </c>
    </row>
    <row r="26" spans="2:11" ht="13.8" thickBot="1" x14ac:dyDescent="0.35">
      <c r="B26" s="807" t="s">
        <v>1068</v>
      </c>
      <c r="C26" s="808"/>
      <c r="D26" s="808"/>
      <c r="E26" s="808"/>
      <c r="F26" s="808"/>
      <c r="G26" s="808"/>
      <c r="H26" s="808"/>
      <c r="I26" s="808"/>
      <c r="J26" s="808"/>
      <c r="K26" s="809"/>
    </row>
    <row r="27" spans="2:11" ht="27" thickBot="1" x14ac:dyDescent="0.35">
      <c r="B27" s="369" t="s">
        <v>1124</v>
      </c>
      <c r="C27" s="827" t="s">
        <v>31</v>
      </c>
      <c r="D27" s="827"/>
      <c r="E27" s="827"/>
      <c r="F27" s="827"/>
      <c r="G27" s="827"/>
      <c r="H27" s="827"/>
      <c r="I27" s="381" t="s">
        <v>1125</v>
      </c>
      <c r="J27" s="828" t="s">
        <v>1074</v>
      </c>
      <c r="K27" s="829"/>
    </row>
    <row r="28" spans="2:11" ht="27" customHeight="1" thickBot="1" x14ac:dyDescent="0.35">
      <c r="B28" s="382" t="s">
        <v>655</v>
      </c>
      <c r="C28" s="856" t="s">
        <v>634</v>
      </c>
      <c r="D28" s="856"/>
      <c r="E28" s="856"/>
      <c r="F28" s="856"/>
      <c r="G28" s="856"/>
      <c r="H28" s="856"/>
      <c r="I28" s="338" t="s">
        <v>37</v>
      </c>
      <c r="J28" s="899" t="s">
        <v>2211</v>
      </c>
      <c r="K28" s="900"/>
    </row>
    <row r="29" spans="2:11" ht="27" thickBot="1" x14ac:dyDescent="0.35">
      <c r="B29" s="383" t="s">
        <v>1072</v>
      </c>
      <c r="C29" s="814" t="s">
        <v>1108</v>
      </c>
      <c r="D29" s="815"/>
      <c r="E29" s="383" t="s">
        <v>1070</v>
      </c>
      <c r="F29" s="384" t="s">
        <v>1135</v>
      </c>
      <c r="G29" s="816" t="s">
        <v>1174</v>
      </c>
      <c r="H29" s="817"/>
      <c r="I29" s="383" t="s">
        <v>1130</v>
      </c>
      <c r="J29" s="814" t="s">
        <v>1133</v>
      </c>
      <c r="K29" s="815"/>
    </row>
    <row r="30" spans="2:11" ht="13.8" thickBot="1" x14ac:dyDescent="0.35">
      <c r="B30" s="824" t="s">
        <v>1076</v>
      </c>
      <c r="C30" s="825"/>
      <c r="D30" s="825"/>
      <c r="E30" s="825"/>
      <c r="F30" s="825"/>
      <c r="G30" s="825"/>
      <c r="H30" s="825"/>
      <c r="I30" s="825"/>
      <c r="J30" s="825"/>
      <c r="K30" s="826"/>
    </row>
    <row r="31" spans="2:11" s="289" customFormat="1" ht="28.2" customHeight="1" thickBot="1" x14ac:dyDescent="0.3">
      <c r="B31" s="363" t="s">
        <v>655</v>
      </c>
      <c r="C31" s="953" t="s">
        <v>1833</v>
      </c>
      <c r="D31" s="953"/>
      <c r="E31" s="953"/>
      <c r="F31" s="953"/>
      <c r="G31" s="953"/>
      <c r="H31" s="953"/>
      <c r="I31" s="953"/>
      <c r="J31" s="953"/>
      <c r="K31" s="954"/>
    </row>
    <row r="32" spans="2:11" ht="13.8" thickBot="1" x14ac:dyDescent="0.35">
      <c r="B32" s="824" t="s">
        <v>1077</v>
      </c>
      <c r="C32" s="825"/>
      <c r="D32" s="825"/>
      <c r="E32" s="825"/>
      <c r="F32" s="825"/>
      <c r="G32" s="825"/>
      <c r="H32" s="825"/>
      <c r="I32" s="825"/>
      <c r="J32" s="825"/>
      <c r="K32" s="826"/>
    </row>
    <row r="33" spans="1:11" ht="26.25" customHeight="1" x14ac:dyDescent="0.3">
      <c r="B33" s="388" t="s">
        <v>705</v>
      </c>
      <c r="C33" s="856" t="s">
        <v>1173</v>
      </c>
      <c r="D33" s="856"/>
      <c r="E33" s="856"/>
      <c r="F33" s="856"/>
      <c r="G33" s="856"/>
      <c r="H33" s="856"/>
      <c r="I33" s="856"/>
      <c r="J33" s="856"/>
      <c r="K33" s="857"/>
    </row>
    <row r="34" spans="1:11" ht="30.75" customHeight="1" thickBot="1" x14ac:dyDescent="0.35">
      <c r="B34" s="367" t="s">
        <v>1184</v>
      </c>
      <c r="C34" s="831" t="s">
        <v>1185</v>
      </c>
      <c r="D34" s="831"/>
      <c r="E34" s="831"/>
      <c r="F34" s="831"/>
      <c r="G34" s="831"/>
      <c r="H34" s="831"/>
      <c r="I34" s="831"/>
      <c r="J34" s="831"/>
      <c r="K34" s="832"/>
    </row>
    <row r="35" spans="1:11" ht="13.8" thickBot="1" x14ac:dyDescent="0.35">
      <c r="B35" s="824" t="s">
        <v>1139</v>
      </c>
      <c r="C35" s="825"/>
      <c r="D35" s="825"/>
      <c r="E35" s="825"/>
      <c r="F35" s="825"/>
      <c r="G35" s="825"/>
      <c r="H35" s="825"/>
      <c r="I35" s="825"/>
      <c r="J35" s="825"/>
      <c r="K35" s="826"/>
    </row>
    <row r="36" spans="1:11" ht="13.8" thickBot="1" x14ac:dyDescent="0.35">
      <c r="B36" s="360" t="s">
        <v>863</v>
      </c>
      <c r="C36" s="835" t="s">
        <v>1140</v>
      </c>
      <c r="D36" s="835"/>
      <c r="E36" s="835"/>
      <c r="F36" s="835"/>
      <c r="G36" s="835"/>
      <c r="H36" s="835"/>
      <c r="I36" s="835"/>
      <c r="J36" s="835"/>
      <c r="K36" s="836"/>
    </row>
    <row r="38" spans="1:11" ht="13.8" thickBot="1" x14ac:dyDescent="0.35"/>
    <row r="39" spans="1:11" ht="13.8" thickBot="1" x14ac:dyDescent="0.35">
      <c r="B39" s="807" t="s">
        <v>1060</v>
      </c>
      <c r="C39" s="808"/>
      <c r="D39" s="808"/>
      <c r="E39" s="808"/>
      <c r="F39" s="808"/>
      <c r="G39" s="808"/>
      <c r="H39" s="808"/>
      <c r="I39" s="808"/>
      <c r="J39" s="808"/>
      <c r="K39" s="809"/>
    </row>
    <row r="40" spans="1:11" ht="13.8" thickBot="1" x14ac:dyDescent="0.35">
      <c r="B40" s="360" t="s">
        <v>1228</v>
      </c>
      <c r="C40" s="810" t="s">
        <v>1083</v>
      </c>
      <c r="D40" s="810"/>
      <c r="E40" s="810"/>
      <c r="F40" s="810"/>
      <c r="G40" s="810"/>
      <c r="H40" s="810"/>
      <c r="I40" s="810"/>
      <c r="J40" s="810"/>
      <c r="K40" s="811"/>
    </row>
    <row r="41" spans="1:11" ht="13.8" thickBot="1" x14ac:dyDescent="0.35">
      <c r="B41" s="807" t="s">
        <v>1109</v>
      </c>
      <c r="C41" s="808"/>
      <c r="D41" s="808"/>
      <c r="E41" s="808"/>
      <c r="F41" s="808"/>
      <c r="G41" s="808"/>
      <c r="H41" s="808"/>
      <c r="I41" s="808"/>
      <c r="J41" s="808"/>
      <c r="K41" s="809"/>
    </row>
    <row r="42" spans="1:11" ht="12.9" customHeight="1" x14ac:dyDescent="0.3">
      <c r="B42" s="361" t="s">
        <v>1110</v>
      </c>
      <c r="C42" s="812" t="s">
        <v>1111</v>
      </c>
      <c r="D42" s="812"/>
      <c r="E42" s="812"/>
      <c r="F42" s="812"/>
      <c r="G42" s="812"/>
      <c r="H42" s="812"/>
      <c r="I42" s="812"/>
      <c r="J42" s="812"/>
      <c r="K42" s="362" t="s">
        <v>35</v>
      </c>
    </row>
    <row r="43" spans="1:11" x14ac:dyDescent="0.3">
      <c r="A43" s="352"/>
      <c r="B43" s="363"/>
      <c r="C43" s="804" t="s">
        <v>1206</v>
      </c>
      <c r="D43" s="805"/>
      <c r="E43" s="805"/>
      <c r="F43" s="805"/>
      <c r="G43" s="805"/>
      <c r="H43" s="805"/>
      <c r="I43" s="805"/>
      <c r="J43" s="806"/>
      <c r="K43" s="364"/>
    </row>
    <row r="44" spans="1:11" ht="12.9" customHeight="1" x14ac:dyDescent="0.3">
      <c r="B44" s="365" t="s">
        <v>1112</v>
      </c>
      <c r="C44" s="813" t="s">
        <v>1118</v>
      </c>
      <c r="D44" s="813"/>
      <c r="E44" s="813"/>
      <c r="F44" s="813"/>
      <c r="G44" s="813"/>
      <c r="H44" s="813"/>
      <c r="I44" s="813"/>
      <c r="J44" s="813"/>
      <c r="K44" s="366" t="s">
        <v>35</v>
      </c>
    </row>
    <row r="45" spans="1:11" ht="12.9" customHeight="1" x14ac:dyDescent="0.3">
      <c r="B45" s="365" t="s">
        <v>1113</v>
      </c>
      <c r="C45" s="813" t="s">
        <v>1119</v>
      </c>
      <c r="D45" s="813"/>
      <c r="E45" s="813"/>
      <c r="F45" s="813"/>
      <c r="G45" s="813"/>
      <c r="H45" s="813"/>
      <c r="I45" s="813"/>
      <c r="J45" s="813"/>
      <c r="K45" s="366" t="s">
        <v>35</v>
      </c>
    </row>
    <row r="46" spans="1:11" ht="12.9" customHeight="1" x14ac:dyDescent="0.3">
      <c r="B46" s="365" t="s">
        <v>1114</v>
      </c>
      <c r="C46" s="813" t="s">
        <v>1120</v>
      </c>
      <c r="D46" s="813"/>
      <c r="E46" s="813"/>
      <c r="F46" s="813"/>
      <c r="G46" s="813"/>
      <c r="H46" s="813"/>
      <c r="I46" s="813"/>
      <c r="J46" s="813"/>
      <c r="K46" s="366" t="s">
        <v>35</v>
      </c>
    </row>
    <row r="47" spans="1:11" ht="27" customHeight="1" x14ac:dyDescent="0.3">
      <c r="B47" s="365" t="s">
        <v>1115</v>
      </c>
      <c r="C47" s="813" t="s">
        <v>1121</v>
      </c>
      <c r="D47" s="813"/>
      <c r="E47" s="813"/>
      <c r="F47" s="813"/>
      <c r="G47" s="813"/>
      <c r="H47" s="813"/>
      <c r="I47" s="813"/>
      <c r="J47" s="813"/>
      <c r="K47" s="366" t="s">
        <v>35</v>
      </c>
    </row>
    <row r="48" spans="1:11" ht="12.9" customHeight="1" x14ac:dyDescent="0.3">
      <c r="B48" s="365" t="s">
        <v>1116</v>
      </c>
      <c r="C48" s="813" t="s">
        <v>1272</v>
      </c>
      <c r="D48" s="813"/>
      <c r="E48" s="813"/>
      <c r="F48" s="813"/>
      <c r="G48" s="813"/>
      <c r="H48" s="813"/>
      <c r="I48" s="813"/>
      <c r="J48" s="813"/>
      <c r="K48" s="366" t="s">
        <v>35</v>
      </c>
    </row>
    <row r="49" spans="2:11" ht="12.9" customHeight="1" thickBot="1" x14ac:dyDescent="0.35">
      <c r="B49" s="367" t="s">
        <v>1117</v>
      </c>
      <c r="C49" s="831" t="s">
        <v>1122</v>
      </c>
      <c r="D49" s="831"/>
      <c r="E49" s="831"/>
      <c r="F49" s="831"/>
      <c r="G49" s="831"/>
      <c r="H49" s="831"/>
      <c r="I49" s="831"/>
      <c r="J49" s="831"/>
      <c r="K49" s="368" t="s">
        <v>35</v>
      </c>
    </row>
    <row r="50" spans="2:11" ht="13.8" thickBot="1" x14ac:dyDescent="0.35">
      <c r="B50" s="369"/>
      <c r="C50" s="833" t="s">
        <v>1123</v>
      </c>
      <c r="D50" s="833"/>
      <c r="E50" s="833"/>
      <c r="F50" s="833"/>
      <c r="G50" s="833"/>
      <c r="H50" s="833"/>
      <c r="I50" s="833"/>
      <c r="J50" s="833"/>
      <c r="K50" s="370" t="str">
        <f>IF(OR(K42="Yes",K44="Yes",K45="Yes",K46="Yes",K47="Yes",K48="Yes",K49="Yes"),"Yes","No")</f>
        <v>No</v>
      </c>
    </row>
    <row r="51" spans="2:11" ht="13.8" thickBot="1" x14ac:dyDescent="0.35">
      <c r="B51" s="834" t="s">
        <v>1061</v>
      </c>
      <c r="C51" s="834"/>
      <c r="D51" s="834"/>
      <c r="E51" s="834"/>
      <c r="F51" s="834"/>
      <c r="G51" s="834" t="s">
        <v>1062</v>
      </c>
      <c r="H51" s="834"/>
      <c r="I51" s="834"/>
      <c r="J51" s="834"/>
      <c r="K51" s="834"/>
    </row>
    <row r="52" spans="2:11" ht="27" thickBot="1" x14ac:dyDescent="0.35">
      <c r="B52" s="371" t="s">
        <v>26</v>
      </c>
      <c r="C52" s="372" t="s">
        <v>553</v>
      </c>
      <c r="D52" s="372" t="s">
        <v>19</v>
      </c>
      <c r="E52" s="372" t="s">
        <v>25</v>
      </c>
      <c r="F52" s="373" t="s">
        <v>554</v>
      </c>
      <c r="G52" s="374" t="s">
        <v>1063</v>
      </c>
      <c r="H52" s="372" t="s">
        <v>1064</v>
      </c>
      <c r="I52" s="375" t="s">
        <v>1065</v>
      </c>
      <c r="J52" s="375" t="s">
        <v>1066</v>
      </c>
      <c r="K52" s="376" t="s">
        <v>1067</v>
      </c>
    </row>
    <row r="53" spans="2:11" ht="13.8" thickBot="1" x14ac:dyDescent="0.35">
      <c r="B53" s="433" t="s">
        <v>621</v>
      </c>
      <c r="C53" s="434" t="s">
        <v>619</v>
      </c>
      <c r="D53" s="434" t="s">
        <v>621</v>
      </c>
      <c r="E53" s="434" t="s">
        <v>619</v>
      </c>
      <c r="F53" s="435" t="s">
        <v>621</v>
      </c>
      <c r="G53" s="436" t="s">
        <v>619</v>
      </c>
      <c r="H53" s="434" t="s">
        <v>621</v>
      </c>
      <c r="I53" s="434" t="s">
        <v>621</v>
      </c>
      <c r="J53" s="434" t="s">
        <v>621</v>
      </c>
      <c r="K53" s="435" t="s">
        <v>619</v>
      </c>
    </row>
    <row r="54" spans="2:11" ht="13.8" thickBot="1" x14ac:dyDescent="0.35">
      <c r="B54" s="807" t="s">
        <v>1068</v>
      </c>
      <c r="C54" s="808"/>
      <c r="D54" s="808"/>
      <c r="E54" s="808"/>
      <c r="F54" s="808"/>
      <c r="G54" s="808"/>
      <c r="H54" s="808"/>
      <c r="I54" s="808"/>
      <c r="J54" s="808"/>
      <c r="K54" s="809"/>
    </row>
    <row r="55" spans="2:11" ht="27" thickBot="1" x14ac:dyDescent="0.35">
      <c r="B55" s="369" t="s">
        <v>1124</v>
      </c>
      <c r="C55" s="827" t="s">
        <v>31</v>
      </c>
      <c r="D55" s="827"/>
      <c r="E55" s="827"/>
      <c r="F55" s="827"/>
      <c r="G55" s="827"/>
      <c r="H55" s="827"/>
      <c r="I55" s="381" t="s">
        <v>1125</v>
      </c>
      <c r="J55" s="828" t="s">
        <v>1074</v>
      </c>
      <c r="K55" s="829"/>
    </row>
    <row r="56" spans="2:11" ht="27" customHeight="1" thickBot="1" x14ac:dyDescent="0.35">
      <c r="B56" s="388" t="s">
        <v>657</v>
      </c>
      <c r="C56" s="856" t="s">
        <v>652</v>
      </c>
      <c r="D56" s="856"/>
      <c r="E56" s="856"/>
      <c r="F56" s="856"/>
      <c r="G56" s="856"/>
      <c r="H56" s="856"/>
      <c r="I56" s="428" t="s">
        <v>37</v>
      </c>
      <c r="J56" s="856" t="s">
        <v>1797</v>
      </c>
      <c r="K56" s="857"/>
    </row>
    <row r="57" spans="2:11" ht="27" customHeight="1" thickBot="1" x14ac:dyDescent="0.35">
      <c r="B57" s="365" t="s">
        <v>658</v>
      </c>
      <c r="C57" s="813" t="s">
        <v>654</v>
      </c>
      <c r="D57" s="813"/>
      <c r="E57" s="813"/>
      <c r="F57" s="813"/>
      <c r="G57" s="813"/>
      <c r="H57" s="813"/>
      <c r="I57" s="422" t="s">
        <v>37</v>
      </c>
      <c r="J57" s="856" t="s">
        <v>1797</v>
      </c>
      <c r="K57" s="857"/>
    </row>
    <row r="58" spans="2:11" ht="13.8" customHeight="1" thickBot="1" x14ac:dyDescent="0.35">
      <c r="B58" s="367" t="s">
        <v>659</v>
      </c>
      <c r="C58" s="831" t="s">
        <v>653</v>
      </c>
      <c r="D58" s="831"/>
      <c r="E58" s="831"/>
      <c r="F58" s="831"/>
      <c r="G58" s="831"/>
      <c r="H58" s="831"/>
      <c r="I58" s="422" t="s">
        <v>37</v>
      </c>
      <c r="J58" s="856" t="s">
        <v>1797</v>
      </c>
      <c r="K58" s="857"/>
    </row>
    <row r="59" spans="2:11" ht="27" thickBot="1" x14ac:dyDescent="0.35">
      <c r="B59" s="383" t="s">
        <v>1072</v>
      </c>
      <c r="C59" s="814" t="s">
        <v>1108</v>
      </c>
      <c r="D59" s="815"/>
      <c r="E59" s="383" t="s">
        <v>1070</v>
      </c>
      <c r="F59" s="384" t="s">
        <v>1134</v>
      </c>
      <c r="G59" s="816" t="s">
        <v>1175</v>
      </c>
      <c r="H59" s="817"/>
      <c r="I59" s="383" t="s">
        <v>1130</v>
      </c>
      <c r="J59" s="814" t="s">
        <v>1132</v>
      </c>
      <c r="K59" s="815"/>
    </row>
    <row r="60" spans="2:11" ht="13.8" thickBot="1" x14ac:dyDescent="0.35">
      <c r="B60" s="824" t="s">
        <v>1076</v>
      </c>
      <c r="C60" s="825"/>
      <c r="D60" s="825"/>
      <c r="E60" s="825"/>
      <c r="F60" s="825"/>
      <c r="G60" s="825"/>
      <c r="H60" s="825"/>
      <c r="I60" s="825"/>
      <c r="J60" s="825"/>
      <c r="K60" s="826"/>
    </row>
    <row r="61" spans="2:11" ht="12.75" customHeight="1" x14ac:dyDescent="0.3">
      <c r="B61" s="361" t="s">
        <v>657</v>
      </c>
      <c r="C61" s="863" t="s">
        <v>989</v>
      </c>
      <c r="D61" s="864"/>
      <c r="E61" s="864"/>
      <c r="F61" s="864"/>
      <c r="G61" s="864"/>
      <c r="H61" s="864"/>
      <c r="I61" s="864"/>
      <c r="J61" s="864"/>
      <c r="K61" s="865"/>
    </row>
    <row r="62" spans="2:11" ht="12.75" customHeight="1" x14ac:dyDescent="0.3">
      <c r="B62" s="365" t="s">
        <v>658</v>
      </c>
      <c r="C62" s="804" t="s">
        <v>1720</v>
      </c>
      <c r="D62" s="805"/>
      <c r="E62" s="805"/>
      <c r="F62" s="805"/>
      <c r="G62" s="805"/>
      <c r="H62" s="805"/>
      <c r="I62" s="805"/>
      <c r="J62" s="805"/>
      <c r="K62" s="886"/>
    </row>
    <row r="63" spans="2:11" ht="13.5" customHeight="1" thickBot="1" x14ac:dyDescent="0.35">
      <c r="B63" s="367" t="s">
        <v>659</v>
      </c>
      <c r="C63" s="883" t="s">
        <v>1721</v>
      </c>
      <c r="D63" s="884"/>
      <c r="E63" s="884"/>
      <c r="F63" s="884"/>
      <c r="G63" s="884"/>
      <c r="H63" s="884"/>
      <c r="I63" s="884"/>
      <c r="J63" s="884"/>
      <c r="K63" s="885"/>
    </row>
    <row r="64" spans="2:11" ht="13.8" thickBot="1" x14ac:dyDescent="0.35">
      <c r="B64" s="872" t="s">
        <v>1077</v>
      </c>
      <c r="C64" s="873"/>
      <c r="D64" s="873"/>
      <c r="E64" s="873"/>
      <c r="F64" s="873"/>
      <c r="G64" s="873"/>
      <c r="H64" s="873"/>
      <c r="I64" s="873"/>
      <c r="J64" s="873"/>
      <c r="K64" s="874"/>
    </row>
    <row r="65" spans="1:11" ht="13.8" thickBot="1" x14ac:dyDescent="0.35">
      <c r="B65" s="360" t="s">
        <v>707</v>
      </c>
      <c r="C65" s="830" t="s">
        <v>333</v>
      </c>
      <c r="D65" s="816"/>
      <c r="E65" s="816"/>
      <c r="F65" s="816"/>
      <c r="G65" s="816"/>
      <c r="H65" s="816"/>
      <c r="I65" s="816"/>
      <c r="J65" s="816"/>
      <c r="K65" s="817"/>
    </row>
    <row r="66" spans="1:11" ht="13.8" thickBot="1" x14ac:dyDescent="0.35">
      <c r="B66" s="824" t="s">
        <v>1139</v>
      </c>
      <c r="C66" s="825"/>
      <c r="D66" s="825"/>
      <c r="E66" s="825"/>
      <c r="F66" s="825"/>
      <c r="G66" s="825"/>
      <c r="H66" s="825"/>
      <c r="I66" s="825"/>
      <c r="J66" s="825"/>
      <c r="K66" s="826"/>
    </row>
    <row r="67" spans="1:11" ht="13.8" thickBot="1" x14ac:dyDescent="0.35">
      <c r="B67" s="360" t="s">
        <v>863</v>
      </c>
      <c r="C67" s="835" t="s">
        <v>1140</v>
      </c>
      <c r="D67" s="835"/>
      <c r="E67" s="835"/>
      <c r="F67" s="835"/>
      <c r="G67" s="835"/>
      <c r="H67" s="835"/>
      <c r="I67" s="835"/>
      <c r="J67" s="835"/>
      <c r="K67" s="836"/>
    </row>
    <row r="69" spans="1:11" ht="13.8" thickBot="1" x14ac:dyDescent="0.35"/>
    <row r="70" spans="1:11" ht="13.8" thickBot="1" x14ac:dyDescent="0.35">
      <c r="B70" s="807" t="s">
        <v>1060</v>
      </c>
      <c r="C70" s="808"/>
      <c r="D70" s="808"/>
      <c r="E70" s="808"/>
      <c r="F70" s="808"/>
      <c r="G70" s="808"/>
      <c r="H70" s="808"/>
      <c r="I70" s="808"/>
      <c r="J70" s="808"/>
      <c r="K70" s="809"/>
    </row>
    <row r="71" spans="1:11" ht="13.8" thickBot="1" x14ac:dyDescent="0.35">
      <c r="B71" s="360" t="s">
        <v>1229</v>
      </c>
      <c r="C71" s="810" t="s">
        <v>1084</v>
      </c>
      <c r="D71" s="810"/>
      <c r="E71" s="810"/>
      <c r="F71" s="810"/>
      <c r="G71" s="810"/>
      <c r="H71" s="810"/>
      <c r="I71" s="810"/>
      <c r="J71" s="810"/>
      <c r="K71" s="811"/>
    </row>
    <row r="72" spans="1:11" ht="13.8" thickBot="1" x14ac:dyDescent="0.35">
      <c r="B72" s="807" t="s">
        <v>1109</v>
      </c>
      <c r="C72" s="808"/>
      <c r="D72" s="808"/>
      <c r="E72" s="808"/>
      <c r="F72" s="808"/>
      <c r="G72" s="808"/>
      <c r="H72" s="808"/>
      <c r="I72" s="808"/>
      <c r="J72" s="808"/>
      <c r="K72" s="809"/>
    </row>
    <row r="73" spans="1:11" ht="12.9" customHeight="1" x14ac:dyDescent="0.3">
      <c r="B73" s="361" t="s">
        <v>1110</v>
      </c>
      <c r="C73" s="812" t="s">
        <v>1111</v>
      </c>
      <c r="D73" s="812"/>
      <c r="E73" s="812"/>
      <c r="F73" s="812"/>
      <c r="G73" s="812"/>
      <c r="H73" s="812"/>
      <c r="I73" s="812"/>
      <c r="J73" s="812"/>
      <c r="K73" s="362" t="s">
        <v>37</v>
      </c>
    </row>
    <row r="74" spans="1:11" x14ac:dyDescent="0.3">
      <c r="A74" s="352"/>
      <c r="B74" s="363"/>
      <c r="C74" s="804" t="s">
        <v>1427</v>
      </c>
      <c r="D74" s="805"/>
      <c r="E74" s="805"/>
      <c r="F74" s="805"/>
      <c r="G74" s="805"/>
      <c r="H74" s="805"/>
      <c r="I74" s="805"/>
      <c r="J74" s="806"/>
      <c r="K74" s="364"/>
    </row>
    <row r="75" spans="1:11" ht="12.9" customHeight="1" x14ac:dyDescent="0.3">
      <c r="B75" s="365" t="s">
        <v>1112</v>
      </c>
      <c r="C75" s="813" t="s">
        <v>1118</v>
      </c>
      <c r="D75" s="813"/>
      <c r="E75" s="813"/>
      <c r="F75" s="813"/>
      <c r="G75" s="813"/>
      <c r="H75" s="813"/>
      <c r="I75" s="813"/>
      <c r="J75" s="813"/>
      <c r="K75" s="366" t="s">
        <v>35</v>
      </c>
    </row>
    <row r="76" spans="1:11" ht="12.9" customHeight="1" x14ac:dyDescent="0.3">
      <c r="B76" s="365" t="s">
        <v>1113</v>
      </c>
      <c r="C76" s="813" t="s">
        <v>1119</v>
      </c>
      <c r="D76" s="813"/>
      <c r="E76" s="813"/>
      <c r="F76" s="813"/>
      <c r="G76" s="813"/>
      <c r="H76" s="813"/>
      <c r="I76" s="813"/>
      <c r="J76" s="813"/>
      <c r="K76" s="366" t="s">
        <v>35</v>
      </c>
    </row>
    <row r="77" spans="1:11" ht="12.9" customHeight="1" x14ac:dyDescent="0.3">
      <c r="B77" s="365" t="s">
        <v>1114</v>
      </c>
      <c r="C77" s="813" t="s">
        <v>1120</v>
      </c>
      <c r="D77" s="813"/>
      <c r="E77" s="813"/>
      <c r="F77" s="813"/>
      <c r="G77" s="813"/>
      <c r="H77" s="813"/>
      <c r="I77" s="813"/>
      <c r="J77" s="813"/>
      <c r="K77" s="366" t="s">
        <v>35</v>
      </c>
    </row>
    <row r="78" spans="1:11" ht="27" customHeight="1" x14ac:dyDescent="0.3">
      <c r="B78" s="365" t="s">
        <v>1115</v>
      </c>
      <c r="C78" s="813" t="s">
        <v>1121</v>
      </c>
      <c r="D78" s="813"/>
      <c r="E78" s="813"/>
      <c r="F78" s="813"/>
      <c r="G78" s="813"/>
      <c r="H78" s="813"/>
      <c r="I78" s="813"/>
      <c r="J78" s="813"/>
      <c r="K78" s="366" t="s">
        <v>35</v>
      </c>
    </row>
    <row r="79" spans="1:11" ht="12.9" customHeight="1" x14ac:dyDescent="0.3">
      <c r="B79" s="365" t="s">
        <v>1116</v>
      </c>
      <c r="C79" s="813" t="s">
        <v>1272</v>
      </c>
      <c r="D79" s="813"/>
      <c r="E79" s="813"/>
      <c r="F79" s="813"/>
      <c r="G79" s="813"/>
      <c r="H79" s="813"/>
      <c r="I79" s="813"/>
      <c r="J79" s="813"/>
      <c r="K79" s="366" t="s">
        <v>35</v>
      </c>
    </row>
    <row r="80" spans="1:11" ht="12.9" customHeight="1" thickBot="1" x14ac:dyDescent="0.35">
      <c r="B80" s="367" t="s">
        <v>1117</v>
      </c>
      <c r="C80" s="831" t="s">
        <v>1122</v>
      </c>
      <c r="D80" s="831"/>
      <c r="E80" s="831"/>
      <c r="F80" s="831"/>
      <c r="G80" s="831"/>
      <c r="H80" s="831"/>
      <c r="I80" s="831"/>
      <c r="J80" s="831"/>
      <c r="K80" s="368" t="s">
        <v>35</v>
      </c>
    </row>
    <row r="81" spans="2:11" ht="13.8" thickBot="1" x14ac:dyDescent="0.35">
      <c r="B81" s="369"/>
      <c r="C81" s="833" t="s">
        <v>1123</v>
      </c>
      <c r="D81" s="833"/>
      <c r="E81" s="833"/>
      <c r="F81" s="833"/>
      <c r="G81" s="833"/>
      <c r="H81" s="833"/>
      <c r="I81" s="833"/>
      <c r="J81" s="833"/>
      <c r="K81" s="370" t="str">
        <f>IF(OR(K73="Yes",K75="Yes",K76="Yes",K77="Yes",K78="Yes",K79="Yes",K80="Yes"),"Yes","No")</f>
        <v>Yes</v>
      </c>
    </row>
    <row r="82" spans="2:11" ht="13.8" thickBot="1" x14ac:dyDescent="0.35">
      <c r="B82" s="834" t="s">
        <v>1061</v>
      </c>
      <c r="C82" s="834"/>
      <c r="D82" s="834"/>
      <c r="E82" s="834"/>
      <c r="F82" s="834"/>
      <c r="G82" s="834" t="s">
        <v>1062</v>
      </c>
      <c r="H82" s="834"/>
      <c r="I82" s="834"/>
      <c r="J82" s="834"/>
      <c r="K82" s="834"/>
    </row>
    <row r="83" spans="2:11" ht="27" thickBot="1" x14ac:dyDescent="0.35">
      <c r="B83" s="371" t="s">
        <v>26</v>
      </c>
      <c r="C83" s="372" t="s">
        <v>553</v>
      </c>
      <c r="D83" s="372" t="s">
        <v>19</v>
      </c>
      <c r="E83" s="372" t="s">
        <v>25</v>
      </c>
      <c r="F83" s="373" t="s">
        <v>554</v>
      </c>
      <c r="G83" s="374" t="s">
        <v>1063</v>
      </c>
      <c r="H83" s="372" t="s">
        <v>1064</v>
      </c>
      <c r="I83" s="375" t="s">
        <v>1065</v>
      </c>
      <c r="J83" s="375" t="s">
        <v>1066</v>
      </c>
      <c r="K83" s="376" t="s">
        <v>1067</v>
      </c>
    </row>
    <row r="84" spans="2:11" ht="13.8" thickBot="1" x14ac:dyDescent="0.35">
      <c r="B84" s="433" t="s">
        <v>619</v>
      </c>
      <c r="C84" s="434" t="s">
        <v>619</v>
      </c>
      <c r="D84" s="434" t="s">
        <v>619</v>
      </c>
      <c r="E84" s="434" t="s">
        <v>619</v>
      </c>
      <c r="F84" s="435" t="s">
        <v>621</v>
      </c>
      <c r="G84" s="436" t="s">
        <v>619</v>
      </c>
      <c r="H84" s="434" t="s">
        <v>621</v>
      </c>
      <c r="I84" s="434" t="s">
        <v>621</v>
      </c>
      <c r="J84" s="434" t="s">
        <v>621</v>
      </c>
      <c r="K84" s="435" t="s">
        <v>619</v>
      </c>
    </row>
    <row r="85" spans="2:11" ht="13.8" thickBot="1" x14ac:dyDescent="0.35">
      <c r="B85" s="807" t="s">
        <v>1068</v>
      </c>
      <c r="C85" s="808"/>
      <c r="D85" s="808"/>
      <c r="E85" s="808"/>
      <c r="F85" s="808"/>
      <c r="G85" s="808"/>
      <c r="H85" s="808"/>
      <c r="I85" s="808"/>
      <c r="J85" s="808"/>
      <c r="K85" s="809"/>
    </row>
    <row r="86" spans="2:11" ht="27" thickBot="1" x14ac:dyDescent="0.35">
      <c r="B86" s="369" t="s">
        <v>1124</v>
      </c>
      <c r="C86" s="827" t="s">
        <v>31</v>
      </c>
      <c r="D86" s="827"/>
      <c r="E86" s="827"/>
      <c r="F86" s="827"/>
      <c r="G86" s="827"/>
      <c r="H86" s="827"/>
      <c r="I86" s="381" t="s">
        <v>1125</v>
      </c>
      <c r="J86" s="828" t="s">
        <v>1074</v>
      </c>
      <c r="K86" s="829"/>
    </row>
    <row r="87" spans="2:11" ht="27" customHeight="1" x14ac:dyDescent="0.3">
      <c r="B87" s="361" t="s">
        <v>1178</v>
      </c>
      <c r="C87" s="812" t="s">
        <v>1221</v>
      </c>
      <c r="D87" s="812"/>
      <c r="E87" s="812"/>
      <c r="F87" s="812"/>
      <c r="G87" s="812"/>
      <c r="H87" s="812"/>
      <c r="I87" s="385" t="s">
        <v>35</v>
      </c>
      <c r="J87" s="812" t="s">
        <v>863</v>
      </c>
      <c r="K87" s="853"/>
    </row>
    <row r="88" spans="2:11" ht="27" customHeight="1" x14ac:dyDescent="0.3">
      <c r="B88" s="363" t="s">
        <v>629</v>
      </c>
      <c r="C88" s="768" t="s">
        <v>665</v>
      </c>
      <c r="D88" s="768"/>
      <c r="E88" s="768"/>
      <c r="F88" s="768"/>
      <c r="G88" s="768"/>
      <c r="H88" s="768"/>
      <c r="I88" s="429" t="s">
        <v>37</v>
      </c>
      <c r="J88" s="848" t="s">
        <v>1797</v>
      </c>
      <c r="K88" s="849"/>
    </row>
    <row r="89" spans="2:11" ht="27" customHeight="1" thickBot="1" x14ac:dyDescent="0.35">
      <c r="B89" s="367" t="s">
        <v>630</v>
      </c>
      <c r="C89" s="831" t="s">
        <v>627</v>
      </c>
      <c r="D89" s="831"/>
      <c r="E89" s="831"/>
      <c r="F89" s="831"/>
      <c r="G89" s="831"/>
      <c r="H89" s="831"/>
      <c r="I89" s="386" t="s">
        <v>37</v>
      </c>
      <c r="J89" s="848" t="s">
        <v>1797</v>
      </c>
      <c r="K89" s="849"/>
    </row>
    <row r="90" spans="2:11" ht="27" thickBot="1" x14ac:dyDescent="0.35">
      <c r="B90" s="383" t="s">
        <v>1072</v>
      </c>
      <c r="C90" s="814" t="s">
        <v>1103</v>
      </c>
      <c r="D90" s="815"/>
      <c r="E90" s="383" t="s">
        <v>1070</v>
      </c>
      <c r="F90" s="384" t="s">
        <v>1136</v>
      </c>
      <c r="G90" s="816" t="s">
        <v>1175</v>
      </c>
      <c r="H90" s="817"/>
      <c r="I90" s="383" t="s">
        <v>1130</v>
      </c>
      <c r="J90" s="814" t="s">
        <v>1133</v>
      </c>
      <c r="K90" s="815"/>
    </row>
    <row r="91" spans="2:11" ht="13.8" thickBot="1" x14ac:dyDescent="0.35">
      <c r="B91" s="824" t="s">
        <v>1076</v>
      </c>
      <c r="C91" s="825"/>
      <c r="D91" s="825"/>
      <c r="E91" s="825"/>
      <c r="F91" s="825"/>
      <c r="G91" s="825"/>
      <c r="H91" s="825"/>
      <c r="I91" s="825"/>
      <c r="J91" s="825"/>
      <c r="K91" s="826"/>
    </row>
    <row r="92" spans="2:11" ht="12.75" customHeight="1" thickBot="1" x14ac:dyDescent="0.35">
      <c r="B92" s="361" t="s">
        <v>629</v>
      </c>
      <c r="C92" s="830" t="s">
        <v>1840</v>
      </c>
      <c r="D92" s="816"/>
      <c r="E92" s="816"/>
      <c r="F92" s="816"/>
      <c r="G92" s="816"/>
      <c r="H92" s="816"/>
      <c r="I92" s="816"/>
      <c r="J92" s="816"/>
      <c r="K92" s="817"/>
    </row>
    <row r="93" spans="2:11" ht="13.5" customHeight="1" thickBot="1" x14ac:dyDescent="0.35">
      <c r="B93" s="367" t="s">
        <v>630</v>
      </c>
      <c r="C93" s="830" t="s">
        <v>1714</v>
      </c>
      <c r="D93" s="816"/>
      <c r="E93" s="816"/>
      <c r="F93" s="816"/>
      <c r="G93" s="816"/>
      <c r="H93" s="816"/>
      <c r="I93" s="816"/>
      <c r="J93" s="816"/>
      <c r="K93" s="817"/>
    </row>
    <row r="94" spans="2:11" ht="13.8" thickBot="1" x14ac:dyDescent="0.35">
      <c r="B94" s="955" t="s">
        <v>1077</v>
      </c>
      <c r="C94" s="956"/>
      <c r="D94" s="956"/>
      <c r="E94" s="956"/>
      <c r="F94" s="956"/>
      <c r="G94" s="956"/>
      <c r="H94" s="956"/>
      <c r="I94" s="956"/>
      <c r="J94" s="956"/>
      <c r="K94" s="957"/>
    </row>
    <row r="95" spans="2:11" x14ac:dyDescent="0.3">
      <c r="B95" s="361" t="s">
        <v>682</v>
      </c>
      <c r="C95" s="863" t="s">
        <v>493</v>
      </c>
      <c r="D95" s="864"/>
      <c r="E95" s="864"/>
      <c r="F95" s="864"/>
      <c r="G95" s="864"/>
      <c r="H95" s="864"/>
      <c r="I95" s="864"/>
      <c r="J95" s="864"/>
      <c r="K95" s="865"/>
    </row>
    <row r="96" spans="2:11" x14ac:dyDescent="0.3">
      <c r="B96" s="365" t="s">
        <v>683</v>
      </c>
      <c r="C96" s="804" t="s">
        <v>494</v>
      </c>
      <c r="D96" s="805"/>
      <c r="E96" s="805"/>
      <c r="F96" s="805"/>
      <c r="G96" s="805"/>
      <c r="H96" s="805"/>
      <c r="I96" s="805"/>
      <c r="J96" s="805"/>
      <c r="K96" s="886"/>
    </row>
    <row r="97" spans="1:11" ht="13.8" thickBot="1" x14ac:dyDescent="0.35">
      <c r="B97" s="365" t="s">
        <v>900</v>
      </c>
      <c r="C97" s="804" t="s">
        <v>1176</v>
      </c>
      <c r="D97" s="805"/>
      <c r="E97" s="805"/>
      <c r="F97" s="805"/>
      <c r="G97" s="805"/>
      <c r="H97" s="805"/>
      <c r="I97" s="805"/>
      <c r="J97" s="805"/>
      <c r="K97" s="886"/>
    </row>
    <row r="98" spans="1:11" ht="13.8" thickBot="1" x14ac:dyDescent="0.35">
      <c r="B98" s="824" t="s">
        <v>1139</v>
      </c>
      <c r="C98" s="825"/>
      <c r="D98" s="825"/>
      <c r="E98" s="825"/>
      <c r="F98" s="825"/>
      <c r="G98" s="825"/>
      <c r="H98" s="825"/>
      <c r="I98" s="825"/>
      <c r="J98" s="825"/>
      <c r="K98" s="826"/>
    </row>
    <row r="99" spans="1:11" x14ac:dyDescent="0.3">
      <c r="B99" s="365" t="s">
        <v>1222</v>
      </c>
      <c r="C99" s="804" t="s">
        <v>1223</v>
      </c>
      <c r="D99" s="805"/>
      <c r="E99" s="805"/>
      <c r="F99" s="805"/>
      <c r="G99" s="805"/>
      <c r="H99" s="805"/>
      <c r="I99" s="805"/>
      <c r="J99" s="805"/>
      <c r="K99" s="886"/>
    </row>
    <row r="100" spans="1:11" x14ac:dyDescent="0.3">
      <c r="B100" s="423" t="s">
        <v>1224</v>
      </c>
      <c r="C100" s="889" t="s">
        <v>1225</v>
      </c>
      <c r="D100" s="890"/>
      <c r="E100" s="890"/>
      <c r="F100" s="890"/>
      <c r="G100" s="890"/>
      <c r="H100" s="890"/>
      <c r="I100" s="890"/>
      <c r="J100" s="890"/>
      <c r="K100" s="891"/>
    </row>
    <row r="101" spans="1:11" ht="13.8" thickBot="1" x14ac:dyDescent="0.35">
      <c r="B101" s="367" t="s">
        <v>1382</v>
      </c>
      <c r="C101" s="883" t="s">
        <v>1391</v>
      </c>
      <c r="D101" s="884"/>
      <c r="E101" s="884"/>
      <c r="F101" s="884"/>
      <c r="G101" s="884"/>
      <c r="H101" s="884"/>
      <c r="I101" s="884"/>
      <c r="J101" s="884"/>
      <c r="K101" s="885"/>
    </row>
    <row r="104" spans="1:11" ht="13.8" thickBot="1" x14ac:dyDescent="0.35">
      <c r="A104" s="358" t="s">
        <v>1095</v>
      </c>
      <c r="B104" s="359" t="s">
        <v>519</v>
      </c>
    </row>
    <row r="105" spans="1:11" ht="13.8" thickBot="1" x14ac:dyDescent="0.35">
      <c r="B105" s="807" t="s">
        <v>1060</v>
      </c>
      <c r="C105" s="808"/>
      <c r="D105" s="808"/>
      <c r="E105" s="808"/>
      <c r="F105" s="808"/>
      <c r="G105" s="808"/>
      <c r="H105" s="808"/>
      <c r="I105" s="808"/>
      <c r="J105" s="808"/>
      <c r="K105" s="809"/>
    </row>
    <row r="106" spans="1:11" ht="13.8" thickBot="1" x14ac:dyDescent="0.35">
      <c r="B106" s="360" t="s">
        <v>1230</v>
      </c>
      <c r="C106" s="810" t="s">
        <v>1085</v>
      </c>
      <c r="D106" s="810"/>
      <c r="E106" s="810"/>
      <c r="F106" s="810"/>
      <c r="G106" s="810"/>
      <c r="H106" s="810"/>
      <c r="I106" s="810"/>
      <c r="J106" s="810"/>
      <c r="K106" s="811"/>
    </row>
    <row r="107" spans="1:11" ht="13.8" thickBot="1" x14ac:dyDescent="0.35">
      <c r="B107" s="807" t="s">
        <v>1109</v>
      </c>
      <c r="C107" s="808"/>
      <c r="D107" s="808"/>
      <c r="E107" s="808"/>
      <c r="F107" s="808"/>
      <c r="G107" s="808"/>
      <c r="H107" s="808"/>
      <c r="I107" s="808"/>
      <c r="J107" s="808"/>
      <c r="K107" s="809"/>
    </row>
    <row r="108" spans="1:11" ht="12.9" customHeight="1" x14ac:dyDescent="0.3">
      <c r="B108" s="361" t="s">
        <v>1110</v>
      </c>
      <c r="C108" s="812" t="s">
        <v>1111</v>
      </c>
      <c r="D108" s="812"/>
      <c r="E108" s="812"/>
      <c r="F108" s="812"/>
      <c r="G108" s="812"/>
      <c r="H108" s="812"/>
      <c r="I108" s="812"/>
      <c r="J108" s="812"/>
      <c r="K108" s="362" t="s">
        <v>35</v>
      </c>
    </row>
    <row r="109" spans="1:11" x14ac:dyDescent="0.3">
      <c r="A109" s="352"/>
      <c r="B109" s="363"/>
      <c r="C109" s="804" t="s">
        <v>1206</v>
      </c>
      <c r="D109" s="805"/>
      <c r="E109" s="805"/>
      <c r="F109" s="805"/>
      <c r="G109" s="805"/>
      <c r="H109" s="805"/>
      <c r="I109" s="805"/>
      <c r="J109" s="806"/>
      <c r="K109" s="364"/>
    </row>
    <row r="110" spans="1:11" ht="12.9" customHeight="1" x14ac:dyDescent="0.3">
      <c r="B110" s="365" t="s">
        <v>1112</v>
      </c>
      <c r="C110" s="813" t="s">
        <v>1118</v>
      </c>
      <c r="D110" s="813"/>
      <c r="E110" s="813"/>
      <c r="F110" s="813"/>
      <c r="G110" s="813"/>
      <c r="H110" s="813"/>
      <c r="I110" s="813"/>
      <c r="J110" s="813"/>
      <c r="K110" s="366" t="s">
        <v>35</v>
      </c>
    </row>
    <row r="111" spans="1:11" ht="12.9" customHeight="1" x14ac:dyDescent="0.3">
      <c r="B111" s="365" t="s">
        <v>1113</v>
      </c>
      <c r="C111" s="813" t="s">
        <v>1119</v>
      </c>
      <c r="D111" s="813"/>
      <c r="E111" s="813"/>
      <c r="F111" s="813"/>
      <c r="G111" s="813"/>
      <c r="H111" s="813"/>
      <c r="I111" s="813"/>
      <c r="J111" s="813"/>
      <c r="K111" s="366" t="s">
        <v>35</v>
      </c>
    </row>
    <row r="112" spans="1:11" ht="12.9" customHeight="1" x14ac:dyDescent="0.3">
      <c r="B112" s="365" t="s">
        <v>1114</v>
      </c>
      <c r="C112" s="813" t="s">
        <v>1120</v>
      </c>
      <c r="D112" s="813"/>
      <c r="E112" s="813"/>
      <c r="F112" s="813"/>
      <c r="G112" s="813"/>
      <c r="H112" s="813"/>
      <c r="I112" s="813"/>
      <c r="J112" s="813"/>
      <c r="K112" s="366" t="s">
        <v>35</v>
      </c>
    </row>
    <row r="113" spans="2:11" ht="27" customHeight="1" x14ac:dyDescent="0.3">
      <c r="B113" s="365" t="s">
        <v>1115</v>
      </c>
      <c r="C113" s="813" t="s">
        <v>1121</v>
      </c>
      <c r="D113" s="813"/>
      <c r="E113" s="813"/>
      <c r="F113" s="813"/>
      <c r="G113" s="813"/>
      <c r="H113" s="813"/>
      <c r="I113" s="813"/>
      <c r="J113" s="813"/>
      <c r="K113" s="366" t="s">
        <v>35</v>
      </c>
    </row>
    <row r="114" spans="2:11" ht="12.9" customHeight="1" x14ac:dyDescent="0.3">
      <c r="B114" s="365" t="s">
        <v>1116</v>
      </c>
      <c r="C114" s="813" t="s">
        <v>1272</v>
      </c>
      <c r="D114" s="813"/>
      <c r="E114" s="813"/>
      <c r="F114" s="813"/>
      <c r="G114" s="813"/>
      <c r="H114" s="813"/>
      <c r="I114" s="813"/>
      <c r="J114" s="813"/>
      <c r="K114" s="366" t="s">
        <v>35</v>
      </c>
    </row>
    <row r="115" spans="2:11" ht="12.9" customHeight="1" thickBot="1" x14ac:dyDescent="0.35">
      <c r="B115" s="367" t="s">
        <v>1117</v>
      </c>
      <c r="C115" s="831" t="s">
        <v>1122</v>
      </c>
      <c r="D115" s="831"/>
      <c r="E115" s="831"/>
      <c r="F115" s="831"/>
      <c r="G115" s="831"/>
      <c r="H115" s="831"/>
      <c r="I115" s="831"/>
      <c r="J115" s="831"/>
      <c r="K115" s="368" t="s">
        <v>35</v>
      </c>
    </row>
    <row r="116" spans="2:11" ht="13.8" thickBot="1" x14ac:dyDescent="0.35">
      <c r="B116" s="369"/>
      <c r="C116" s="833" t="s">
        <v>1123</v>
      </c>
      <c r="D116" s="833"/>
      <c r="E116" s="833"/>
      <c r="F116" s="833"/>
      <c r="G116" s="833"/>
      <c r="H116" s="833"/>
      <c r="I116" s="833"/>
      <c r="J116" s="833"/>
      <c r="K116" s="370" t="str">
        <f>IF(OR(K108="Yes",K110="Yes",K111="Yes",K112="Yes",K113="Yes",K114="Yes",K115="Yes"),"Yes","No")</f>
        <v>No</v>
      </c>
    </row>
    <row r="117" spans="2:11" ht="13.8" thickBot="1" x14ac:dyDescent="0.35">
      <c r="B117" s="834" t="s">
        <v>1061</v>
      </c>
      <c r="C117" s="834"/>
      <c r="D117" s="834"/>
      <c r="E117" s="834"/>
      <c r="F117" s="834"/>
      <c r="G117" s="834" t="s">
        <v>1062</v>
      </c>
      <c r="H117" s="834"/>
      <c r="I117" s="834"/>
      <c r="J117" s="834"/>
      <c r="K117" s="834"/>
    </row>
    <row r="118" spans="2:11" ht="27" thickBot="1" x14ac:dyDescent="0.35">
      <c r="B118" s="371" t="s">
        <v>26</v>
      </c>
      <c r="C118" s="372" t="s">
        <v>553</v>
      </c>
      <c r="D118" s="372" t="s">
        <v>19</v>
      </c>
      <c r="E118" s="372" t="s">
        <v>25</v>
      </c>
      <c r="F118" s="373" t="s">
        <v>554</v>
      </c>
      <c r="G118" s="374" t="s">
        <v>1063</v>
      </c>
      <c r="H118" s="372" t="s">
        <v>1064</v>
      </c>
      <c r="I118" s="375" t="s">
        <v>1065</v>
      </c>
      <c r="J118" s="375" t="s">
        <v>1066</v>
      </c>
      <c r="K118" s="376" t="s">
        <v>1067</v>
      </c>
    </row>
    <row r="119" spans="2:11" ht="13.8" thickBot="1" x14ac:dyDescent="0.35">
      <c r="B119" s="433" t="s">
        <v>621</v>
      </c>
      <c r="C119" s="434" t="s">
        <v>619</v>
      </c>
      <c r="D119" s="434" t="s">
        <v>621</v>
      </c>
      <c r="E119" s="434" t="s">
        <v>619</v>
      </c>
      <c r="F119" s="435" t="s">
        <v>619</v>
      </c>
      <c r="G119" s="436" t="s">
        <v>619</v>
      </c>
      <c r="H119" s="434" t="s">
        <v>621</v>
      </c>
      <c r="I119" s="434" t="s">
        <v>621</v>
      </c>
      <c r="J119" s="434" t="s">
        <v>621</v>
      </c>
      <c r="K119" s="435" t="s">
        <v>619</v>
      </c>
    </row>
    <row r="120" spans="2:11" ht="13.8" thickBot="1" x14ac:dyDescent="0.35">
      <c r="B120" s="807" t="s">
        <v>1068</v>
      </c>
      <c r="C120" s="808"/>
      <c r="D120" s="808"/>
      <c r="E120" s="808"/>
      <c r="F120" s="808"/>
      <c r="G120" s="808"/>
      <c r="H120" s="808"/>
      <c r="I120" s="808"/>
      <c r="J120" s="808"/>
      <c r="K120" s="809"/>
    </row>
    <row r="121" spans="2:11" ht="27" thickBot="1" x14ac:dyDescent="0.35">
      <c r="B121" s="369" t="s">
        <v>1124</v>
      </c>
      <c r="C121" s="827" t="s">
        <v>31</v>
      </c>
      <c r="D121" s="827"/>
      <c r="E121" s="827"/>
      <c r="F121" s="827"/>
      <c r="G121" s="827"/>
      <c r="H121" s="827"/>
      <c r="I121" s="381" t="s">
        <v>1125</v>
      </c>
      <c r="J121" s="828" t="s">
        <v>1074</v>
      </c>
      <c r="K121" s="829"/>
    </row>
    <row r="122" spans="2:11" ht="66" customHeight="1" thickBot="1" x14ac:dyDescent="0.35">
      <c r="B122" s="361" t="s">
        <v>1226</v>
      </c>
      <c r="C122" s="812" t="s">
        <v>1342</v>
      </c>
      <c r="D122" s="812"/>
      <c r="E122" s="812"/>
      <c r="F122" s="812"/>
      <c r="G122" s="812"/>
      <c r="H122" s="812"/>
      <c r="I122" s="385" t="s">
        <v>35</v>
      </c>
      <c r="J122" s="812" t="s">
        <v>863</v>
      </c>
      <c r="K122" s="853"/>
    </row>
    <row r="123" spans="2:11" ht="27" thickBot="1" x14ac:dyDescent="0.35">
      <c r="B123" s="383" t="s">
        <v>1072</v>
      </c>
      <c r="C123" s="814" t="s">
        <v>1177</v>
      </c>
      <c r="D123" s="815"/>
      <c r="E123" s="383" t="s">
        <v>1070</v>
      </c>
      <c r="F123" s="384" t="s">
        <v>1134</v>
      </c>
      <c r="G123" s="816" t="s">
        <v>1131</v>
      </c>
      <c r="H123" s="817"/>
      <c r="I123" s="383" t="s">
        <v>1130</v>
      </c>
      <c r="J123" s="814" t="s">
        <v>1133</v>
      </c>
      <c r="K123" s="815"/>
    </row>
    <row r="124" spans="2:11" ht="13.8" thickBot="1" x14ac:dyDescent="0.35">
      <c r="B124" s="824" t="s">
        <v>1076</v>
      </c>
      <c r="C124" s="825"/>
      <c r="D124" s="825"/>
      <c r="E124" s="825"/>
      <c r="F124" s="825"/>
      <c r="G124" s="825"/>
      <c r="H124" s="825"/>
      <c r="I124" s="825"/>
      <c r="J124" s="825"/>
      <c r="K124" s="826"/>
    </row>
    <row r="125" spans="2:11" ht="13.8" thickBot="1" x14ac:dyDescent="0.35">
      <c r="B125" s="360" t="s">
        <v>863</v>
      </c>
      <c r="C125" s="835" t="s">
        <v>863</v>
      </c>
      <c r="D125" s="835"/>
      <c r="E125" s="835"/>
      <c r="F125" s="835"/>
      <c r="G125" s="835"/>
      <c r="H125" s="835"/>
      <c r="I125" s="835"/>
      <c r="J125" s="835"/>
      <c r="K125" s="836"/>
    </row>
    <row r="126" spans="2:11" ht="13.8" thickBot="1" x14ac:dyDescent="0.35">
      <c r="B126" s="850" t="s">
        <v>1077</v>
      </c>
      <c r="C126" s="851"/>
      <c r="D126" s="851"/>
      <c r="E126" s="851"/>
      <c r="F126" s="851"/>
      <c r="G126" s="851"/>
      <c r="H126" s="851"/>
      <c r="I126" s="851"/>
      <c r="J126" s="851"/>
      <c r="K126" s="852"/>
    </row>
    <row r="127" spans="2:11" x14ac:dyDescent="0.3">
      <c r="B127" s="361" t="s">
        <v>900</v>
      </c>
      <c r="C127" s="812" t="s">
        <v>1176</v>
      </c>
      <c r="D127" s="812"/>
      <c r="E127" s="812"/>
      <c r="F127" s="812"/>
      <c r="G127" s="812"/>
      <c r="H127" s="812"/>
      <c r="I127" s="812"/>
      <c r="J127" s="812"/>
      <c r="K127" s="853"/>
    </row>
    <row r="128" spans="2:11" x14ac:dyDescent="0.3">
      <c r="B128" s="365" t="s">
        <v>901</v>
      </c>
      <c r="C128" s="813" t="s">
        <v>135</v>
      </c>
      <c r="D128" s="813"/>
      <c r="E128" s="813"/>
      <c r="F128" s="813"/>
      <c r="G128" s="813"/>
      <c r="H128" s="813"/>
      <c r="I128" s="813"/>
      <c r="J128" s="813"/>
      <c r="K128" s="845"/>
    </row>
    <row r="129" spans="1:11" ht="13.8" thickBot="1" x14ac:dyDescent="0.35">
      <c r="B129" s="367" t="s">
        <v>905</v>
      </c>
      <c r="C129" s="831" t="s">
        <v>521</v>
      </c>
      <c r="D129" s="831"/>
      <c r="E129" s="831"/>
      <c r="F129" s="831"/>
      <c r="G129" s="831"/>
      <c r="H129" s="831"/>
      <c r="I129" s="831"/>
      <c r="J129" s="831"/>
      <c r="K129" s="832"/>
    </row>
    <row r="130" spans="1:11" ht="13.8" thickBot="1" x14ac:dyDescent="0.35">
      <c r="B130" s="872" t="s">
        <v>1139</v>
      </c>
      <c r="C130" s="873"/>
      <c r="D130" s="873"/>
      <c r="E130" s="873"/>
      <c r="F130" s="873"/>
      <c r="G130" s="873"/>
      <c r="H130" s="873"/>
      <c r="I130" s="873"/>
      <c r="J130" s="873"/>
      <c r="K130" s="874"/>
    </row>
    <row r="131" spans="1:11" ht="13.8" thickBot="1" x14ac:dyDescent="0.35">
      <c r="B131" s="360" t="s">
        <v>863</v>
      </c>
      <c r="C131" s="835" t="s">
        <v>1140</v>
      </c>
      <c r="D131" s="835"/>
      <c r="E131" s="835"/>
      <c r="F131" s="835"/>
      <c r="G131" s="835"/>
      <c r="H131" s="835"/>
      <c r="I131" s="835"/>
      <c r="J131" s="835"/>
      <c r="K131" s="836"/>
    </row>
    <row r="134" spans="1:11" ht="13.8" thickBot="1" x14ac:dyDescent="0.35">
      <c r="A134" s="359" t="s">
        <v>1098</v>
      </c>
      <c r="B134" s="359" t="s">
        <v>520</v>
      </c>
    </row>
    <row r="135" spans="1:11" ht="13.8" thickBot="1" x14ac:dyDescent="0.35">
      <c r="B135" s="807" t="s">
        <v>1060</v>
      </c>
      <c r="C135" s="808"/>
      <c r="D135" s="808"/>
      <c r="E135" s="808"/>
      <c r="F135" s="808"/>
      <c r="G135" s="808"/>
      <c r="H135" s="808"/>
      <c r="I135" s="808"/>
      <c r="J135" s="808"/>
      <c r="K135" s="809"/>
    </row>
    <row r="136" spans="1:11" ht="13.8" thickBot="1" x14ac:dyDescent="0.35">
      <c r="B136" s="360" t="s">
        <v>1231</v>
      </c>
      <c r="C136" s="810" t="s">
        <v>1186</v>
      </c>
      <c r="D136" s="810"/>
      <c r="E136" s="810"/>
      <c r="F136" s="810"/>
      <c r="G136" s="810"/>
      <c r="H136" s="810"/>
      <c r="I136" s="810"/>
      <c r="J136" s="810"/>
      <c r="K136" s="811"/>
    </row>
    <row r="137" spans="1:11" ht="13.8" thickBot="1" x14ac:dyDescent="0.35">
      <c r="B137" s="807" t="s">
        <v>1109</v>
      </c>
      <c r="C137" s="808"/>
      <c r="D137" s="808"/>
      <c r="E137" s="808"/>
      <c r="F137" s="808"/>
      <c r="G137" s="808"/>
      <c r="H137" s="808"/>
      <c r="I137" s="808"/>
      <c r="J137" s="808"/>
      <c r="K137" s="809"/>
    </row>
    <row r="138" spans="1:11" ht="12.9" customHeight="1" x14ac:dyDescent="0.3">
      <c r="B138" s="361" t="s">
        <v>1110</v>
      </c>
      <c r="C138" s="812" t="s">
        <v>1111</v>
      </c>
      <c r="D138" s="812"/>
      <c r="E138" s="812"/>
      <c r="F138" s="812"/>
      <c r="G138" s="812"/>
      <c r="H138" s="812"/>
      <c r="I138" s="812"/>
      <c r="J138" s="812"/>
      <c r="K138" s="362" t="s">
        <v>35</v>
      </c>
    </row>
    <row r="139" spans="1:11" x14ac:dyDescent="0.3">
      <c r="A139" s="352"/>
      <c r="B139" s="363"/>
      <c r="C139" s="804" t="s">
        <v>1206</v>
      </c>
      <c r="D139" s="805"/>
      <c r="E139" s="805"/>
      <c r="F139" s="805"/>
      <c r="G139" s="805"/>
      <c r="H139" s="805"/>
      <c r="I139" s="805"/>
      <c r="J139" s="806"/>
      <c r="K139" s="364"/>
    </row>
    <row r="140" spans="1:11" ht="12.9" customHeight="1" x14ac:dyDescent="0.3">
      <c r="B140" s="365" t="s">
        <v>1112</v>
      </c>
      <c r="C140" s="813" t="s">
        <v>1118</v>
      </c>
      <c r="D140" s="813"/>
      <c r="E140" s="813"/>
      <c r="F140" s="813"/>
      <c r="G140" s="813"/>
      <c r="H140" s="813"/>
      <c r="I140" s="813"/>
      <c r="J140" s="813"/>
      <c r="K140" s="366" t="s">
        <v>35</v>
      </c>
    </row>
    <row r="141" spans="1:11" ht="12.9" customHeight="1" x14ac:dyDescent="0.3">
      <c r="B141" s="365" t="s">
        <v>1113</v>
      </c>
      <c r="C141" s="813" t="s">
        <v>1119</v>
      </c>
      <c r="D141" s="813"/>
      <c r="E141" s="813"/>
      <c r="F141" s="813"/>
      <c r="G141" s="813"/>
      <c r="H141" s="813"/>
      <c r="I141" s="813"/>
      <c r="J141" s="813"/>
      <c r="K141" s="366" t="s">
        <v>35</v>
      </c>
    </row>
    <row r="142" spans="1:11" ht="12.9" customHeight="1" x14ac:dyDescent="0.3">
      <c r="B142" s="365" t="s">
        <v>1114</v>
      </c>
      <c r="C142" s="813" t="s">
        <v>1120</v>
      </c>
      <c r="D142" s="813"/>
      <c r="E142" s="813"/>
      <c r="F142" s="813"/>
      <c r="G142" s="813"/>
      <c r="H142" s="813"/>
      <c r="I142" s="813"/>
      <c r="J142" s="813"/>
      <c r="K142" s="366" t="s">
        <v>35</v>
      </c>
    </row>
    <row r="143" spans="1:11" ht="27" customHeight="1" x14ac:dyDescent="0.3">
      <c r="B143" s="365" t="s">
        <v>1115</v>
      </c>
      <c r="C143" s="813" t="s">
        <v>1121</v>
      </c>
      <c r="D143" s="813"/>
      <c r="E143" s="813"/>
      <c r="F143" s="813"/>
      <c r="G143" s="813"/>
      <c r="H143" s="813"/>
      <c r="I143" s="813"/>
      <c r="J143" s="813"/>
      <c r="K143" s="366" t="s">
        <v>35</v>
      </c>
    </row>
    <row r="144" spans="1:11" ht="12.9" customHeight="1" x14ac:dyDescent="0.3">
      <c r="B144" s="365" t="s">
        <v>1116</v>
      </c>
      <c r="C144" s="813" t="s">
        <v>1272</v>
      </c>
      <c r="D144" s="813"/>
      <c r="E144" s="813"/>
      <c r="F144" s="813"/>
      <c r="G144" s="813"/>
      <c r="H144" s="813"/>
      <c r="I144" s="813"/>
      <c r="J144" s="813"/>
      <c r="K144" s="366" t="s">
        <v>35</v>
      </c>
    </row>
    <row r="145" spans="2:11" ht="12.9" customHeight="1" thickBot="1" x14ac:dyDescent="0.35">
      <c r="B145" s="367" t="s">
        <v>1117</v>
      </c>
      <c r="C145" s="831" t="s">
        <v>1122</v>
      </c>
      <c r="D145" s="831"/>
      <c r="E145" s="831"/>
      <c r="F145" s="831"/>
      <c r="G145" s="831"/>
      <c r="H145" s="831"/>
      <c r="I145" s="831"/>
      <c r="J145" s="831"/>
      <c r="K145" s="368" t="s">
        <v>35</v>
      </c>
    </row>
    <row r="146" spans="2:11" ht="13.8" thickBot="1" x14ac:dyDescent="0.35">
      <c r="B146" s="369"/>
      <c r="C146" s="833" t="s">
        <v>1123</v>
      </c>
      <c r="D146" s="833"/>
      <c r="E146" s="833"/>
      <c r="F146" s="833"/>
      <c r="G146" s="833"/>
      <c r="H146" s="833"/>
      <c r="I146" s="833"/>
      <c r="J146" s="833"/>
      <c r="K146" s="370" t="str">
        <f>IF(OR(K138="Yes",K140="Yes",K141="Yes",K142="Yes",K143="Yes",K144="Yes",K145="Yes"),"Yes","No")</f>
        <v>No</v>
      </c>
    </row>
    <row r="147" spans="2:11" ht="13.8" thickBot="1" x14ac:dyDescent="0.35">
      <c r="B147" s="834" t="s">
        <v>1061</v>
      </c>
      <c r="C147" s="834"/>
      <c r="D147" s="834"/>
      <c r="E147" s="834"/>
      <c r="F147" s="834"/>
      <c r="G147" s="834" t="s">
        <v>1062</v>
      </c>
      <c r="H147" s="834"/>
      <c r="I147" s="834"/>
      <c r="J147" s="834"/>
      <c r="K147" s="834"/>
    </row>
    <row r="148" spans="2:11" ht="27" thickBot="1" x14ac:dyDescent="0.35">
      <c r="B148" s="371" t="s">
        <v>26</v>
      </c>
      <c r="C148" s="372" t="s">
        <v>553</v>
      </c>
      <c r="D148" s="372" t="s">
        <v>19</v>
      </c>
      <c r="E148" s="372" t="s">
        <v>25</v>
      </c>
      <c r="F148" s="373" t="s">
        <v>554</v>
      </c>
      <c r="G148" s="374" t="s">
        <v>1063</v>
      </c>
      <c r="H148" s="372" t="s">
        <v>1064</v>
      </c>
      <c r="I148" s="375" t="s">
        <v>1065</v>
      </c>
      <c r="J148" s="375" t="s">
        <v>1066</v>
      </c>
      <c r="K148" s="376" t="s">
        <v>1067</v>
      </c>
    </row>
    <row r="149" spans="2:11" ht="13.8" thickBot="1" x14ac:dyDescent="0.35">
      <c r="B149" s="433" t="s">
        <v>619</v>
      </c>
      <c r="C149" s="433" t="s">
        <v>619</v>
      </c>
      <c r="D149" s="434" t="s">
        <v>621</v>
      </c>
      <c r="E149" s="434" t="s">
        <v>619</v>
      </c>
      <c r="F149" s="435" t="s">
        <v>621</v>
      </c>
      <c r="G149" s="436" t="s">
        <v>619</v>
      </c>
      <c r="H149" s="434" t="s">
        <v>621</v>
      </c>
      <c r="I149" s="434" t="s">
        <v>621</v>
      </c>
      <c r="J149" s="434" t="s">
        <v>621</v>
      </c>
      <c r="K149" s="435" t="s">
        <v>619</v>
      </c>
    </row>
    <row r="150" spans="2:11" ht="13.8" thickBot="1" x14ac:dyDescent="0.35">
      <c r="B150" s="807" t="s">
        <v>1068</v>
      </c>
      <c r="C150" s="808"/>
      <c r="D150" s="808"/>
      <c r="E150" s="808"/>
      <c r="F150" s="808"/>
      <c r="G150" s="808"/>
      <c r="H150" s="808"/>
      <c r="I150" s="808"/>
      <c r="J150" s="808"/>
      <c r="K150" s="809"/>
    </row>
    <row r="151" spans="2:11" ht="27" thickBot="1" x14ac:dyDescent="0.35">
      <c r="B151" s="369" t="s">
        <v>1124</v>
      </c>
      <c r="C151" s="827" t="s">
        <v>31</v>
      </c>
      <c r="D151" s="827"/>
      <c r="E151" s="827"/>
      <c r="F151" s="827"/>
      <c r="G151" s="827"/>
      <c r="H151" s="827"/>
      <c r="I151" s="381" t="s">
        <v>1125</v>
      </c>
      <c r="J151" s="828" t="s">
        <v>1074</v>
      </c>
      <c r="K151" s="829"/>
    </row>
    <row r="152" spans="2:11" ht="27" customHeight="1" thickBot="1" x14ac:dyDescent="0.35">
      <c r="B152" s="361" t="s">
        <v>1220</v>
      </c>
      <c r="C152" s="812" t="s">
        <v>1179</v>
      </c>
      <c r="D152" s="812"/>
      <c r="E152" s="812"/>
      <c r="F152" s="812"/>
      <c r="G152" s="812"/>
      <c r="H152" s="812"/>
      <c r="I152" s="385" t="s">
        <v>37</v>
      </c>
      <c r="J152" s="812" t="s">
        <v>1797</v>
      </c>
      <c r="K152" s="853"/>
    </row>
    <row r="153" spans="2:11" ht="27" thickBot="1" x14ac:dyDescent="0.35">
      <c r="B153" s="383" t="s">
        <v>1072</v>
      </c>
      <c r="C153" s="814" t="s">
        <v>1103</v>
      </c>
      <c r="D153" s="815"/>
      <c r="E153" s="383" t="s">
        <v>1070</v>
      </c>
      <c r="F153" s="384" t="s">
        <v>1134</v>
      </c>
      <c r="G153" s="816" t="s">
        <v>1131</v>
      </c>
      <c r="H153" s="817"/>
      <c r="I153" s="383" t="s">
        <v>1130</v>
      </c>
      <c r="J153" s="814" t="s">
        <v>1133</v>
      </c>
      <c r="K153" s="815"/>
    </row>
    <row r="154" spans="2:11" ht="13.8" thickBot="1" x14ac:dyDescent="0.35">
      <c r="B154" s="824" t="s">
        <v>1076</v>
      </c>
      <c r="C154" s="825"/>
      <c r="D154" s="825"/>
      <c r="E154" s="825"/>
      <c r="F154" s="825"/>
      <c r="G154" s="825"/>
      <c r="H154" s="825"/>
      <c r="I154" s="825"/>
      <c r="J154" s="825"/>
      <c r="K154" s="826"/>
    </row>
    <row r="155" spans="2:11" ht="13.5" customHeight="1" thickBot="1" x14ac:dyDescent="0.35">
      <c r="B155" s="360" t="s">
        <v>1220</v>
      </c>
      <c r="C155" s="830" t="s">
        <v>1719</v>
      </c>
      <c r="D155" s="816"/>
      <c r="E155" s="816"/>
      <c r="F155" s="816"/>
      <c r="G155" s="816"/>
      <c r="H155" s="816"/>
      <c r="I155" s="816"/>
      <c r="J155" s="816"/>
      <c r="K155" s="817"/>
    </row>
    <row r="156" spans="2:11" ht="13.8" thickBot="1" x14ac:dyDescent="0.35">
      <c r="B156" s="824" t="s">
        <v>1077</v>
      </c>
      <c r="C156" s="825"/>
      <c r="D156" s="825"/>
      <c r="E156" s="825"/>
      <c r="F156" s="825"/>
      <c r="G156" s="825"/>
      <c r="H156" s="825"/>
      <c r="I156" s="825"/>
      <c r="J156" s="825"/>
      <c r="K156" s="826"/>
    </row>
    <row r="157" spans="2:11" ht="13.8" thickBot="1" x14ac:dyDescent="0.35">
      <c r="B157" s="360" t="s">
        <v>903</v>
      </c>
      <c r="C157" s="830" t="s">
        <v>137</v>
      </c>
      <c r="D157" s="816"/>
      <c r="E157" s="816"/>
      <c r="F157" s="816"/>
      <c r="G157" s="816"/>
      <c r="H157" s="816"/>
      <c r="I157" s="816"/>
      <c r="J157" s="816"/>
      <c r="K157" s="817"/>
    </row>
    <row r="158" spans="2:11" ht="13.8" thickBot="1" x14ac:dyDescent="0.35">
      <c r="B158" s="824" t="s">
        <v>1139</v>
      </c>
      <c r="C158" s="825"/>
      <c r="D158" s="825"/>
      <c r="E158" s="825"/>
      <c r="F158" s="825"/>
      <c r="G158" s="825"/>
      <c r="H158" s="825"/>
      <c r="I158" s="825"/>
      <c r="J158" s="825"/>
      <c r="K158" s="826"/>
    </row>
    <row r="159" spans="2:11" ht="13.8" thickBot="1" x14ac:dyDescent="0.35">
      <c r="B159" s="360" t="s">
        <v>863</v>
      </c>
      <c r="C159" s="835" t="s">
        <v>1140</v>
      </c>
      <c r="D159" s="835"/>
      <c r="E159" s="835"/>
      <c r="F159" s="835"/>
      <c r="G159" s="835"/>
      <c r="H159" s="835"/>
      <c r="I159" s="835"/>
      <c r="J159" s="835"/>
      <c r="K159" s="836"/>
    </row>
    <row r="162" spans="1:11" ht="13.8" thickBot="1" x14ac:dyDescent="0.35">
      <c r="A162" s="359" t="s">
        <v>1101</v>
      </c>
      <c r="B162" s="359" t="s">
        <v>1383</v>
      </c>
    </row>
    <row r="163" spans="1:11" ht="13.8" thickBot="1" x14ac:dyDescent="0.35">
      <c r="B163" s="807" t="s">
        <v>1060</v>
      </c>
      <c r="C163" s="808"/>
      <c r="D163" s="808"/>
      <c r="E163" s="808"/>
      <c r="F163" s="808"/>
      <c r="G163" s="808"/>
      <c r="H163" s="808"/>
      <c r="I163" s="808"/>
      <c r="J163" s="808"/>
      <c r="K163" s="809"/>
    </row>
    <row r="164" spans="1:11" ht="13.8" thickBot="1" x14ac:dyDescent="0.35">
      <c r="B164" s="360" t="s">
        <v>1384</v>
      </c>
      <c r="C164" s="810" t="s">
        <v>1385</v>
      </c>
      <c r="D164" s="810"/>
      <c r="E164" s="810"/>
      <c r="F164" s="810"/>
      <c r="G164" s="810"/>
      <c r="H164" s="810"/>
      <c r="I164" s="810"/>
      <c r="J164" s="810"/>
      <c r="K164" s="811"/>
    </row>
    <row r="165" spans="1:11" ht="13.8" thickBot="1" x14ac:dyDescent="0.35">
      <c r="B165" s="807" t="s">
        <v>1109</v>
      </c>
      <c r="C165" s="808"/>
      <c r="D165" s="808"/>
      <c r="E165" s="808"/>
      <c r="F165" s="808"/>
      <c r="G165" s="808"/>
      <c r="H165" s="808"/>
      <c r="I165" s="808"/>
      <c r="J165" s="808"/>
      <c r="K165" s="809"/>
    </row>
    <row r="166" spans="1:11" x14ac:dyDescent="0.3">
      <c r="B166" s="361" t="s">
        <v>1110</v>
      </c>
      <c r="C166" s="812" t="s">
        <v>1111</v>
      </c>
      <c r="D166" s="812"/>
      <c r="E166" s="812"/>
      <c r="F166" s="812"/>
      <c r="G166" s="812"/>
      <c r="H166" s="812"/>
      <c r="I166" s="812"/>
      <c r="J166" s="812"/>
      <c r="K166" s="362" t="s">
        <v>35</v>
      </c>
    </row>
    <row r="167" spans="1:11" x14ac:dyDescent="0.3">
      <c r="B167" s="363"/>
      <c r="C167" s="804" t="s">
        <v>1206</v>
      </c>
      <c r="D167" s="805"/>
      <c r="E167" s="805"/>
      <c r="F167" s="805"/>
      <c r="G167" s="805"/>
      <c r="H167" s="805"/>
      <c r="I167" s="805"/>
      <c r="J167" s="806"/>
      <c r="K167" s="364"/>
    </row>
    <row r="168" spans="1:11" x14ac:dyDescent="0.3">
      <c r="B168" s="365" t="s">
        <v>1112</v>
      </c>
      <c r="C168" s="813" t="s">
        <v>1118</v>
      </c>
      <c r="D168" s="813"/>
      <c r="E168" s="813"/>
      <c r="F168" s="813"/>
      <c r="G168" s="813"/>
      <c r="H168" s="813"/>
      <c r="I168" s="813"/>
      <c r="J168" s="813"/>
      <c r="K168" s="366" t="s">
        <v>35</v>
      </c>
    </row>
    <row r="169" spans="1:11" x14ac:dyDescent="0.3">
      <c r="B169" s="365" t="s">
        <v>1113</v>
      </c>
      <c r="C169" s="813" t="s">
        <v>1119</v>
      </c>
      <c r="D169" s="813"/>
      <c r="E169" s="813"/>
      <c r="F169" s="813"/>
      <c r="G169" s="813"/>
      <c r="H169" s="813"/>
      <c r="I169" s="813"/>
      <c r="J169" s="813"/>
      <c r="K169" s="366" t="s">
        <v>35</v>
      </c>
    </row>
    <row r="170" spans="1:11" x14ac:dyDescent="0.3">
      <c r="B170" s="365" t="s">
        <v>1114</v>
      </c>
      <c r="C170" s="813" t="s">
        <v>1120</v>
      </c>
      <c r="D170" s="813"/>
      <c r="E170" s="813"/>
      <c r="F170" s="813"/>
      <c r="G170" s="813"/>
      <c r="H170" s="813"/>
      <c r="I170" s="813"/>
      <c r="J170" s="813"/>
      <c r="K170" s="366" t="s">
        <v>35</v>
      </c>
    </row>
    <row r="171" spans="1:11" x14ac:dyDescent="0.3">
      <c r="B171" s="365" t="s">
        <v>1115</v>
      </c>
      <c r="C171" s="813" t="s">
        <v>1121</v>
      </c>
      <c r="D171" s="813"/>
      <c r="E171" s="813"/>
      <c r="F171" s="813"/>
      <c r="G171" s="813"/>
      <c r="H171" s="813"/>
      <c r="I171" s="813"/>
      <c r="J171" s="813"/>
      <c r="K171" s="366" t="s">
        <v>35</v>
      </c>
    </row>
    <row r="172" spans="1:11" x14ac:dyDescent="0.3">
      <c r="B172" s="365" t="s">
        <v>1116</v>
      </c>
      <c r="C172" s="813" t="s">
        <v>1272</v>
      </c>
      <c r="D172" s="813"/>
      <c r="E172" s="813"/>
      <c r="F172" s="813"/>
      <c r="G172" s="813"/>
      <c r="H172" s="813"/>
      <c r="I172" s="813"/>
      <c r="J172" s="813"/>
      <c r="K172" s="366" t="s">
        <v>35</v>
      </c>
    </row>
    <row r="173" spans="1:11" ht="13.8" thickBot="1" x14ac:dyDescent="0.35">
      <c r="B173" s="367" t="s">
        <v>1117</v>
      </c>
      <c r="C173" s="831" t="s">
        <v>1122</v>
      </c>
      <c r="D173" s="831"/>
      <c r="E173" s="831"/>
      <c r="F173" s="831"/>
      <c r="G173" s="831"/>
      <c r="H173" s="831"/>
      <c r="I173" s="831"/>
      <c r="J173" s="831"/>
      <c r="K173" s="368" t="s">
        <v>35</v>
      </c>
    </row>
    <row r="174" spans="1:11" ht="13.8" thickBot="1" x14ac:dyDescent="0.35">
      <c r="B174" s="369"/>
      <c r="C174" s="833" t="s">
        <v>1123</v>
      </c>
      <c r="D174" s="833"/>
      <c r="E174" s="833"/>
      <c r="F174" s="833"/>
      <c r="G174" s="833"/>
      <c r="H174" s="833"/>
      <c r="I174" s="833"/>
      <c r="J174" s="833"/>
      <c r="K174" s="370" t="str">
        <f>IF(OR(K166="Yes",K168="Yes",K169="Yes",K170="Yes",K171="Yes",K172="Yes",K173="Yes"),"Yes","No")</f>
        <v>No</v>
      </c>
    </row>
    <row r="175" spans="1:11" ht="13.8" thickBot="1" x14ac:dyDescent="0.35">
      <c r="B175" s="834" t="s">
        <v>1061</v>
      </c>
      <c r="C175" s="834"/>
      <c r="D175" s="834"/>
      <c r="E175" s="834"/>
      <c r="F175" s="834"/>
      <c r="G175" s="834" t="s">
        <v>1062</v>
      </c>
      <c r="H175" s="834"/>
      <c r="I175" s="834"/>
      <c r="J175" s="834"/>
      <c r="K175" s="834"/>
    </row>
    <row r="176" spans="1:11" ht="27" thickBot="1" x14ac:dyDescent="0.35">
      <c r="B176" s="371" t="s">
        <v>26</v>
      </c>
      <c r="C176" s="372" t="s">
        <v>553</v>
      </c>
      <c r="D176" s="372" t="s">
        <v>19</v>
      </c>
      <c r="E176" s="372" t="s">
        <v>25</v>
      </c>
      <c r="F176" s="373" t="s">
        <v>1262</v>
      </c>
      <c r="G176" s="374" t="s">
        <v>1063</v>
      </c>
      <c r="H176" s="372" t="s">
        <v>1064</v>
      </c>
      <c r="I176" s="375" t="s">
        <v>1065</v>
      </c>
      <c r="J176" s="375" t="s">
        <v>1066</v>
      </c>
      <c r="K176" s="376" t="s">
        <v>1067</v>
      </c>
    </row>
    <row r="177" spans="2:11" ht="13.8" thickBot="1" x14ac:dyDescent="0.35">
      <c r="B177" s="433" t="s">
        <v>621</v>
      </c>
      <c r="C177" s="433" t="s">
        <v>621</v>
      </c>
      <c r="D177" s="434" t="s">
        <v>621</v>
      </c>
      <c r="E177" s="434" t="s">
        <v>621</v>
      </c>
      <c r="F177" s="435" t="s">
        <v>619</v>
      </c>
      <c r="G177" s="436" t="s">
        <v>619</v>
      </c>
      <c r="H177" s="434" t="s">
        <v>621</v>
      </c>
      <c r="I177" s="434" t="s">
        <v>621</v>
      </c>
      <c r="J177" s="434" t="s">
        <v>621</v>
      </c>
      <c r="K177" s="435" t="s">
        <v>621</v>
      </c>
    </row>
    <row r="178" spans="2:11" ht="13.8" thickBot="1" x14ac:dyDescent="0.35">
      <c r="B178" s="807" t="s">
        <v>1068</v>
      </c>
      <c r="C178" s="808"/>
      <c r="D178" s="808"/>
      <c r="E178" s="808"/>
      <c r="F178" s="808"/>
      <c r="G178" s="808"/>
      <c r="H178" s="808"/>
      <c r="I178" s="808"/>
      <c r="J178" s="808"/>
      <c r="K178" s="809"/>
    </row>
    <row r="179" spans="2:11" ht="27" thickBot="1" x14ac:dyDescent="0.35">
      <c r="B179" s="369" t="s">
        <v>1124</v>
      </c>
      <c r="C179" s="827" t="s">
        <v>31</v>
      </c>
      <c r="D179" s="827"/>
      <c r="E179" s="827"/>
      <c r="F179" s="827"/>
      <c r="G179" s="827"/>
      <c r="H179" s="827"/>
      <c r="I179" s="381" t="s">
        <v>1125</v>
      </c>
      <c r="J179" s="828" t="s">
        <v>1074</v>
      </c>
      <c r="K179" s="829"/>
    </row>
    <row r="180" spans="2:11" ht="13.8" thickBot="1" x14ac:dyDescent="0.35">
      <c r="B180" s="361" t="s">
        <v>1386</v>
      </c>
      <c r="C180" s="812" t="s">
        <v>1386</v>
      </c>
      <c r="D180" s="812"/>
      <c r="E180" s="812"/>
      <c r="F180" s="812"/>
      <c r="G180" s="812"/>
      <c r="H180" s="812"/>
      <c r="I180" s="385" t="s">
        <v>863</v>
      </c>
      <c r="J180" s="812" t="s">
        <v>863</v>
      </c>
      <c r="K180" s="853"/>
    </row>
    <row r="181" spans="2:11" ht="27" customHeight="1" thickBot="1" x14ac:dyDescent="0.35">
      <c r="B181" s="383" t="s">
        <v>1072</v>
      </c>
      <c r="C181" s="814" t="s">
        <v>1103</v>
      </c>
      <c r="D181" s="815"/>
      <c r="E181" s="383" t="s">
        <v>1070</v>
      </c>
      <c r="F181" s="402" t="s">
        <v>1137</v>
      </c>
      <c r="G181" s="816" t="s">
        <v>1267</v>
      </c>
      <c r="H181" s="817"/>
      <c r="I181" s="383" t="s">
        <v>1130</v>
      </c>
      <c r="J181" s="814" t="s">
        <v>1133</v>
      </c>
      <c r="K181" s="815"/>
    </row>
    <row r="182" spans="2:11" ht="13.8" thickBot="1" x14ac:dyDescent="0.35">
      <c r="B182" s="824" t="s">
        <v>1076</v>
      </c>
      <c r="C182" s="825"/>
      <c r="D182" s="825"/>
      <c r="E182" s="825"/>
      <c r="F182" s="825"/>
      <c r="G182" s="825"/>
      <c r="H182" s="825"/>
      <c r="I182" s="825"/>
      <c r="J182" s="825"/>
      <c r="K182" s="826"/>
    </row>
    <row r="183" spans="2:11" ht="13.8" thickBot="1" x14ac:dyDescent="0.35">
      <c r="B183" s="360" t="s">
        <v>863</v>
      </c>
      <c r="C183" s="830" t="s">
        <v>863</v>
      </c>
      <c r="D183" s="816"/>
      <c r="E183" s="816"/>
      <c r="F183" s="816"/>
      <c r="G183" s="816"/>
      <c r="H183" s="816"/>
      <c r="I183" s="816"/>
      <c r="J183" s="816"/>
      <c r="K183" s="817"/>
    </row>
    <row r="184" spans="2:11" ht="13.8" thickBot="1" x14ac:dyDescent="0.35">
      <c r="B184" s="824" t="s">
        <v>1077</v>
      </c>
      <c r="C184" s="825"/>
      <c r="D184" s="825"/>
      <c r="E184" s="825"/>
      <c r="F184" s="825"/>
      <c r="G184" s="825"/>
      <c r="H184" s="825"/>
      <c r="I184" s="825"/>
      <c r="J184" s="825"/>
      <c r="K184" s="826"/>
    </row>
    <row r="185" spans="2:11" ht="13.8" thickBot="1" x14ac:dyDescent="0.35">
      <c r="B185" s="360" t="s">
        <v>1387</v>
      </c>
      <c r="C185" s="830" t="s">
        <v>1388</v>
      </c>
      <c r="D185" s="816"/>
      <c r="E185" s="816"/>
      <c r="F185" s="816"/>
      <c r="G185" s="816"/>
      <c r="H185" s="816"/>
      <c r="I185" s="816"/>
      <c r="J185" s="816"/>
      <c r="K185" s="817"/>
    </row>
    <row r="186" spans="2:11" ht="13.8" thickBot="1" x14ac:dyDescent="0.35">
      <c r="B186" s="824" t="s">
        <v>1139</v>
      </c>
      <c r="C186" s="825"/>
      <c r="D186" s="825"/>
      <c r="E186" s="825"/>
      <c r="F186" s="825"/>
      <c r="G186" s="825"/>
      <c r="H186" s="825"/>
      <c r="I186" s="825"/>
      <c r="J186" s="825"/>
      <c r="K186" s="826"/>
    </row>
    <row r="187" spans="2:11" ht="13.8" thickBot="1" x14ac:dyDescent="0.35">
      <c r="B187" s="360" t="s">
        <v>863</v>
      </c>
      <c r="C187" s="835" t="s">
        <v>1140</v>
      </c>
      <c r="D187" s="835"/>
      <c r="E187" s="835"/>
      <c r="F187" s="835"/>
      <c r="G187" s="835"/>
      <c r="H187" s="835"/>
      <c r="I187" s="835"/>
      <c r="J187" s="835"/>
      <c r="K187" s="836"/>
    </row>
  </sheetData>
  <autoFilter ref="A2:K159" xr:uid="{00000000-0009-0000-0000-000006000000}"/>
  <mergeCells count="189">
    <mergeCell ref="B182:K182"/>
    <mergeCell ref="C183:K183"/>
    <mergeCell ref="B184:K184"/>
    <mergeCell ref="C185:K185"/>
    <mergeCell ref="B186:K186"/>
    <mergeCell ref="C187:K187"/>
    <mergeCell ref="C174:J174"/>
    <mergeCell ref="B175:F175"/>
    <mergeCell ref="G175:K175"/>
    <mergeCell ref="B178:K178"/>
    <mergeCell ref="C179:H179"/>
    <mergeCell ref="J179:K179"/>
    <mergeCell ref="C180:H180"/>
    <mergeCell ref="J180:K180"/>
    <mergeCell ref="C181:D181"/>
    <mergeCell ref="G181:H181"/>
    <mergeCell ref="J181:K181"/>
    <mergeCell ref="B165:K165"/>
    <mergeCell ref="C166:J166"/>
    <mergeCell ref="C167:J167"/>
    <mergeCell ref="C168:J168"/>
    <mergeCell ref="C169:J169"/>
    <mergeCell ref="C170:J170"/>
    <mergeCell ref="C171:J171"/>
    <mergeCell ref="C172:J172"/>
    <mergeCell ref="C173:J173"/>
    <mergeCell ref="B105:K105"/>
    <mergeCell ref="C106:K106"/>
    <mergeCell ref="B117:F117"/>
    <mergeCell ref="G117:K117"/>
    <mergeCell ref="B126:K126"/>
    <mergeCell ref="C128:K128"/>
    <mergeCell ref="C129:K129"/>
    <mergeCell ref="B163:K163"/>
    <mergeCell ref="C164:K164"/>
    <mergeCell ref="B154:K154"/>
    <mergeCell ref="C155:K155"/>
    <mergeCell ref="B156:K156"/>
    <mergeCell ref="C157:K157"/>
    <mergeCell ref="C136:K136"/>
    <mergeCell ref="B147:F147"/>
    <mergeCell ref="G147:K147"/>
    <mergeCell ref="C140:J140"/>
    <mergeCell ref="C141:J141"/>
    <mergeCell ref="C142:J142"/>
    <mergeCell ref="C143:J143"/>
    <mergeCell ref="B158:K158"/>
    <mergeCell ref="C159:K159"/>
    <mergeCell ref="C153:D153"/>
    <mergeCell ref="G153:H153"/>
    <mergeCell ref="C101:K101"/>
    <mergeCell ref="B137:K137"/>
    <mergeCell ref="C138:J138"/>
    <mergeCell ref="C108:J108"/>
    <mergeCell ref="C110:J110"/>
    <mergeCell ref="C111:J111"/>
    <mergeCell ref="C112:J112"/>
    <mergeCell ref="C113:J113"/>
    <mergeCell ref="C114:J114"/>
    <mergeCell ref="C115:J115"/>
    <mergeCell ref="C116:J116"/>
    <mergeCell ref="B120:K120"/>
    <mergeCell ref="C127:K127"/>
    <mergeCell ref="B135:K135"/>
    <mergeCell ref="B124:K124"/>
    <mergeCell ref="C125:K125"/>
    <mergeCell ref="C121:H121"/>
    <mergeCell ref="J121:K121"/>
    <mergeCell ref="C122:H122"/>
    <mergeCell ref="J122:K122"/>
    <mergeCell ref="C123:D123"/>
    <mergeCell ref="G123:H123"/>
    <mergeCell ref="J123:K123"/>
    <mergeCell ref="C109:J109"/>
    <mergeCell ref="C90:D90"/>
    <mergeCell ref="G90:H90"/>
    <mergeCell ref="J90:K90"/>
    <mergeCell ref="C96:K96"/>
    <mergeCell ref="C97:K97"/>
    <mergeCell ref="B91:K91"/>
    <mergeCell ref="B94:K94"/>
    <mergeCell ref="C95:K95"/>
    <mergeCell ref="C92:K92"/>
    <mergeCell ref="C93:K93"/>
    <mergeCell ref="B26:K26"/>
    <mergeCell ref="C27:H27"/>
    <mergeCell ref="J27:K27"/>
    <mergeCell ref="C28:H28"/>
    <mergeCell ref="J28:K28"/>
    <mergeCell ref="J29:K29"/>
    <mergeCell ref="C40:K40"/>
    <mergeCell ref="B51:F51"/>
    <mergeCell ref="G51:K51"/>
    <mergeCell ref="B32:K32"/>
    <mergeCell ref="C33:K33"/>
    <mergeCell ref="B39:K39"/>
    <mergeCell ref="B41:K41"/>
    <mergeCell ref="C42:J42"/>
    <mergeCell ref="C44:J44"/>
    <mergeCell ref="C45:J45"/>
    <mergeCell ref="C46:J46"/>
    <mergeCell ref="C47:J47"/>
    <mergeCell ref="C48:J48"/>
    <mergeCell ref="C49:J49"/>
    <mergeCell ref="C50:J50"/>
    <mergeCell ref="C34:K34"/>
    <mergeCell ref="C29:D29"/>
    <mergeCell ref="G29:H29"/>
    <mergeCell ref="B5:D5"/>
    <mergeCell ref="B6:D6"/>
    <mergeCell ref="B7:D7"/>
    <mergeCell ref="B11:K11"/>
    <mergeCell ref="C12:K12"/>
    <mergeCell ref="B23:F23"/>
    <mergeCell ref="G23:K23"/>
    <mergeCell ref="B13:K13"/>
    <mergeCell ref="C14:J14"/>
    <mergeCell ref="C16:J16"/>
    <mergeCell ref="C17:J17"/>
    <mergeCell ref="C18:J18"/>
    <mergeCell ref="C19:J19"/>
    <mergeCell ref="C20:J20"/>
    <mergeCell ref="C21:J21"/>
    <mergeCell ref="C22:J22"/>
    <mergeCell ref="C15:J15"/>
    <mergeCell ref="J88:K88"/>
    <mergeCell ref="B30:K30"/>
    <mergeCell ref="C31:K31"/>
    <mergeCell ref="B54:K54"/>
    <mergeCell ref="C55:H55"/>
    <mergeCell ref="J55:K55"/>
    <mergeCell ref="C56:H56"/>
    <mergeCell ref="B60:K60"/>
    <mergeCell ref="B64:K64"/>
    <mergeCell ref="C65:K65"/>
    <mergeCell ref="J58:K58"/>
    <mergeCell ref="C57:H57"/>
    <mergeCell ref="J57:K57"/>
    <mergeCell ref="C61:K61"/>
    <mergeCell ref="C63:K63"/>
    <mergeCell ref="C62:K62"/>
    <mergeCell ref="J153:K153"/>
    <mergeCell ref="B35:K35"/>
    <mergeCell ref="C36:K36"/>
    <mergeCell ref="B66:K66"/>
    <mergeCell ref="C67:K67"/>
    <mergeCell ref="B98:K98"/>
    <mergeCell ref="B130:K130"/>
    <mergeCell ref="C131:K131"/>
    <mergeCell ref="C144:J144"/>
    <mergeCell ref="C145:J145"/>
    <mergeCell ref="C146:J146"/>
    <mergeCell ref="B150:K150"/>
    <mergeCell ref="C151:H151"/>
    <mergeCell ref="J151:K151"/>
    <mergeCell ref="C152:H152"/>
    <mergeCell ref="J152:K152"/>
    <mergeCell ref="C89:H89"/>
    <mergeCell ref="J89:K89"/>
    <mergeCell ref="C58:H58"/>
    <mergeCell ref="C78:J78"/>
    <mergeCell ref="C139:J139"/>
    <mergeCell ref="C43:J43"/>
    <mergeCell ref="C87:H87"/>
    <mergeCell ref="J87:K87"/>
    <mergeCell ref="C99:K99"/>
    <mergeCell ref="C100:K100"/>
    <mergeCell ref="C74:J74"/>
    <mergeCell ref="B107:K107"/>
    <mergeCell ref="J56:K56"/>
    <mergeCell ref="C59:D59"/>
    <mergeCell ref="G59:H59"/>
    <mergeCell ref="J59:K59"/>
    <mergeCell ref="B72:K72"/>
    <mergeCell ref="C73:J73"/>
    <mergeCell ref="C75:J75"/>
    <mergeCell ref="C76:J76"/>
    <mergeCell ref="C77:J77"/>
    <mergeCell ref="B70:K70"/>
    <mergeCell ref="C71:K71"/>
    <mergeCell ref="B82:F82"/>
    <mergeCell ref="G82:K82"/>
    <mergeCell ref="C79:J79"/>
    <mergeCell ref="C80:J80"/>
    <mergeCell ref="C81:J81"/>
    <mergeCell ref="B85:K85"/>
    <mergeCell ref="C86:H86"/>
    <mergeCell ref="J86:K86"/>
    <mergeCell ref="C88:H88"/>
  </mergeCells>
  <dataValidations count="1">
    <dataValidation type="list" allowBlank="1" showInputMessage="1" showErrorMessage="1" sqref="F29 F59 F90 F123 F153 J29:K29 J59:K59 J90:K90 J123:K123 J153:K153 J181:K181 F181" xr:uid="{00000000-0002-0000-0600-000001000000}">
      <formula1>#REF!</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B050"/>
  </sheetPr>
  <dimension ref="B1:I17"/>
  <sheetViews>
    <sheetView topLeftCell="A10" workbookViewId="0">
      <selection activeCell="E18" sqref="E18"/>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6.5546875" style="1" customWidth="1"/>
    <col min="7" max="8" width="15.109375" style="1" customWidth="1"/>
    <col min="9" max="9" width="28.33203125" style="1" customWidth="1"/>
    <col min="10" max="16384" width="9.109375" style="1"/>
  </cols>
  <sheetData>
    <row r="1" spans="2:9" customFormat="1" ht="15" thickBot="1" x14ac:dyDescent="0.35"/>
    <row r="2" spans="2:9" customFormat="1" ht="21" thickBot="1" x14ac:dyDescent="0.4">
      <c r="B2" s="8" t="s">
        <v>23</v>
      </c>
      <c r="C2" s="9"/>
      <c r="D2" s="959" t="s">
        <v>480</v>
      </c>
      <c r="E2" s="960"/>
    </row>
    <row r="3" spans="2:9" customFormat="1" ht="14.4" x14ac:dyDescent="0.3"/>
    <row r="4" spans="2:9" customFormat="1" ht="14.4" x14ac:dyDescent="0.3"/>
    <row r="5" spans="2:9" customFormat="1" ht="16.2" thickBot="1" x14ac:dyDescent="0.35">
      <c r="B5" s="65" t="s">
        <v>27</v>
      </c>
    </row>
    <row r="6" spans="2:9" customFormat="1" ht="42" thickBot="1" x14ac:dyDescent="0.35">
      <c r="B6" s="32" t="s">
        <v>1</v>
      </c>
      <c r="C6" s="32" t="s">
        <v>28</v>
      </c>
      <c r="D6" s="32" t="s">
        <v>29</v>
      </c>
      <c r="E6" s="32" t="s">
        <v>30</v>
      </c>
      <c r="F6" s="32" t="s">
        <v>31</v>
      </c>
      <c r="G6" s="32" t="s">
        <v>32</v>
      </c>
      <c r="H6" s="32" t="s">
        <v>33</v>
      </c>
      <c r="I6" s="32" t="s">
        <v>417</v>
      </c>
    </row>
    <row r="7" spans="2:9" ht="76.5" customHeight="1" x14ac:dyDescent="0.25">
      <c r="B7" s="37">
        <v>1</v>
      </c>
      <c r="C7" s="12" t="s">
        <v>482</v>
      </c>
      <c r="D7" s="12" t="s">
        <v>35</v>
      </c>
      <c r="E7" s="12" t="s">
        <v>361</v>
      </c>
      <c r="F7" s="961" t="s">
        <v>362</v>
      </c>
      <c r="G7" s="14" t="s">
        <v>37</v>
      </c>
      <c r="H7" s="226" t="s">
        <v>363</v>
      </c>
      <c r="I7" s="226" t="s">
        <v>483</v>
      </c>
    </row>
    <row r="8" spans="2:9" ht="25.2" x14ac:dyDescent="0.25">
      <c r="B8" s="43">
        <v>2</v>
      </c>
      <c r="C8" s="15" t="s">
        <v>364</v>
      </c>
      <c r="D8" s="15" t="s">
        <v>35</v>
      </c>
      <c r="E8" s="15" t="s">
        <v>310</v>
      </c>
      <c r="F8" s="962"/>
      <c r="G8" s="17" t="s">
        <v>37</v>
      </c>
      <c r="H8" s="227" t="s">
        <v>363</v>
      </c>
      <c r="I8" s="227" t="s">
        <v>483</v>
      </c>
    </row>
    <row r="9" spans="2:9" ht="40.5" customHeight="1" x14ac:dyDescent="0.25">
      <c r="B9" s="48">
        <v>3</v>
      </c>
      <c r="C9" s="18" t="s">
        <v>365</v>
      </c>
      <c r="D9" s="18" t="s">
        <v>35</v>
      </c>
      <c r="E9" s="18" t="s">
        <v>359</v>
      </c>
      <c r="F9" s="963" t="s">
        <v>293</v>
      </c>
      <c r="G9" s="109" t="s">
        <v>35</v>
      </c>
      <c r="H9" s="228" t="s">
        <v>366</v>
      </c>
      <c r="I9" s="228" t="s">
        <v>484</v>
      </c>
    </row>
    <row r="10" spans="2:9" ht="54.75" customHeight="1" x14ac:dyDescent="0.25">
      <c r="B10" s="43">
        <v>4</v>
      </c>
      <c r="C10" s="15" t="s">
        <v>367</v>
      </c>
      <c r="D10" s="15" t="s">
        <v>35</v>
      </c>
      <c r="E10" s="15" t="s">
        <v>353</v>
      </c>
      <c r="F10" s="964"/>
      <c r="G10" s="110" t="s">
        <v>35</v>
      </c>
      <c r="H10" s="229" t="s">
        <v>366</v>
      </c>
      <c r="I10" s="229" t="s">
        <v>484</v>
      </c>
    </row>
    <row r="11" spans="2:9" ht="63.6" thickBot="1" x14ac:dyDescent="0.3">
      <c r="B11" s="93">
        <v>5</v>
      </c>
      <c r="C11" s="26" t="s">
        <v>368</v>
      </c>
      <c r="D11" s="26" t="s">
        <v>35</v>
      </c>
      <c r="E11" s="26" t="s">
        <v>369</v>
      </c>
      <c r="F11" s="145" t="s">
        <v>370</v>
      </c>
      <c r="G11" s="29" t="s">
        <v>35</v>
      </c>
      <c r="H11" s="230" t="s">
        <v>275</v>
      </c>
      <c r="I11" s="230"/>
    </row>
    <row r="14" spans="2:9" ht="13.2" thickBot="1" x14ac:dyDescent="0.3">
      <c r="B14" s="114" t="s">
        <v>0</v>
      </c>
    </row>
    <row r="15" spans="2:9" ht="25.8" thickBot="1" x14ac:dyDescent="0.3">
      <c r="B15" s="30" t="s">
        <v>1</v>
      </c>
      <c r="C15" s="781" t="s">
        <v>2</v>
      </c>
      <c r="D15" s="782"/>
      <c r="E15" s="31" t="s">
        <v>3</v>
      </c>
      <c r="F15" s="30" t="s">
        <v>62</v>
      </c>
    </row>
    <row r="16" spans="2:9" ht="52.5" customHeight="1" x14ac:dyDescent="0.25">
      <c r="B16" s="123" t="s">
        <v>363</v>
      </c>
      <c r="C16" s="783" t="s">
        <v>481</v>
      </c>
      <c r="D16" s="783"/>
      <c r="E16" s="83" t="s">
        <v>371</v>
      </c>
      <c r="F16" s="232" t="s">
        <v>485</v>
      </c>
    </row>
    <row r="17" spans="2:6" ht="38.25" customHeight="1" thickBot="1" x14ac:dyDescent="0.3">
      <c r="B17" s="125" t="s">
        <v>372</v>
      </c>
      <c r="C17" s="958" t="s">
        <v>373</v>
      </c>
      <c r="D17" s="958"/>
      <c r="E17" s="7" t="s">
        <v>353</v>
      </c>
      <c r="F17" s="231" t="s">
        <v>485</v>
      </c>
    </row>
  </sheetData>
  <mergeCells count="6">
    <mergeCell ref="C17:D17"/>
    <mergeCell ref="D2:E2"/>
    <mergeCell ref="F7:F8"/>
    <mergeCell ref="F9:F10"/>
    <mergeCell ref="C15:D15"/>
    <mergeCell ref="C16:D16"/>
  </mergeCells>
  <hyperlinks>
    <hyperlink ref="G16" r:id="rId1" display="[Wp 5210.02]" xr:uid="{00000000-0004-0000-0800-000000000000}"/>
    <hyperlink ref="G17" r:id="rId2" display="[Wp 5220.01]" xr:uid="{00000000-0004-0000-0800-000001000000}"/>
    <hyperlink ref="F16" r:id="rId3" display="Refer [Depreciation workings as per Income Tax Act]" xr:uid="{00000000-0004-0000-0800-000002000000}"/>
    <hyperlink ref="F17" r:id="rId4" display="Refer [Depreciation workings as per Income Tax Act]" xr:uid="{00000000-0004-0000-0800-000003000000}"/>
  </hyperlinks>
  <pageMargins left="0.7" right="0.7" top="0.75" bottom="0.75" header="0.3" footer="0.3"/>
  <pageSetup orientation="portrait" verticalDpi="0"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rgb="FFFFFF00"/>
  </sheetPr>
  <dimension ref="B1:J32"/>
  <sheetViews>
    <sheetView workbookViewId="0">
      <selection activeCell="E28" sqref="E28"/>
    </sheetView>
  </sheetViews>
  <sheetFormatPr defaultRowHeight="14.4" x14ac:dyDescent="0.3"/>
  <cols>
    <col min="1" max="1" width="5" customWidth="1"/>
    <col min="3" max="3" width="46.5546875" customWidth="1"/>
    <col min="5" max="5" width="15.109375" customWidth="1"/>
    <col min="6" max="6" width="46.5546875" customWidth="1"/>
    <col min="7" max="8" width="15.109375" customWidth="1"/>
    <col min="9" max="9" width="28.33203125" customWidth="1"/>
  </cols>
  <sheetData>
    <row r="1" spans="2:10" ht="15" thickBot="1" x14ac:dyDescent="0.35"/>
    <row r="2" spans="2:10" ht="21" thickBot="1" x14ac:dyDescent="0.4">
      <c r="B2" s="8" t="s">
        <v>23</v>
      </c>
      <c r="C2" s="9"/>
      <c r="D2" s="10" t="s">
        <v>191</v>
      </c>
      <c r="E2" s="36"/>
    </row>
    <row r="5" spans="2:10" ht="16.2" thickBot="1" x14ac:dyDescent="0.35">
      <c r="B5" s="65" t="s">
        <v>27</v>
      </c>
      <c r="C5" s="11"/>
      <c r="D5" s="11"/>
      <c r="E5" s="11"/>
      <c r="F5" s="11"/>
      <c r="G5" s="11"/>
      <c r="H5" s="11"/>
    </row>
    <row r="6" spans="2:10" ht="42" thickBot="1" x14ac:dyDescent="0.35">
      <c r="B6" s="32" t="s">
        <v>1</v>
      </c>
      <c r="C6" s="32" t="s">
        <v>28</v>
      </c>
      <c r="D6" s="32" t="s">
        <v>29</v>
      </c>
      <c r="E6" s="32" t="s">
        <v>30</v>
      </c>
      <c r="F6" s="32" t="s">
        <v>31</v>
      </c>
      <c r="G6" s="32" t="s">
        <v>32</v>
      </c>
      <c r="H6" s="32" t="s">
        <v>33</v>
      </c>
      <c r="I6" s="32" t="s">
        <v>417</v>
      </c>
    </row>
    <row r="7" spans="2:10" ht="25.8" x14ac:dyDescent="0.3">
      <c r="B7" s="256">
        <v>1</v>
      </c>
      <c r="C7" s="257" t="s">
        <v>142</v>
      </c>
      <c r="D7" s="257" t="s">
        <v>35</v>
      </c>
      <c r="E7" s="257" t="s">
        <v>143</v>
      </c>
      <c r="F7" s="258" t="s">
        <v>144</v>
      </c>
      <c r="G7" s="259" t="s">
        <v>37</v>
      </c>
      <c r="H7" s="257" t="s">
        <v>145</v>
      </c>
      <c r="I7" s="257"/>
    </row>
    <row r="8" spans="2:10" ht="25.2" x14ac:dyDescent="0.3">
      <c r="B8" s="260">
        <v>2</v>
      </c>
      <c r="C8" s="247" t="s">
        <v>146</v>
      </c>
      <c r="D8" s="247" t="s">
        <v>35</v>
      </c>
      <c r="E8" s="247" t="s">
        <v>143</v>
      </c>
      <c r="F8" s="965" t="s">
        <v>147</v>
      </c>
      <c r="G8" s="261" t="s">
        <v>37</v>
      </c>
      <c r="H8" s="247" t="s">
        <v>145</v>
      </c>
      <c r="I8" s="247"/>
    </row>
    <row r="9" spans="2:10" ht="37.799999999999997" x14ac:dyDescent="0.3">
      <c r="B9" s="39">
        <v>3</v>
      </c>
      <c r="C9" s="40" t="s">
        <v>148</v>
      </c>
      <c r="D9" s="40" t="s">
        <v>35</v>
      </c>
      <c r="E9" s="40" t="s">
        <v>143</v>
      </c>
      <c r="F9" s="966"/>
      <c r="G9" s="86" t="s">
        <v>37</v>
      </c>
      <c r="H9" s="40" t="s">
        <v>145</v>
      </c>
      <c r="I9" s="40"/>
    </row>
    <row r="10" spans="2:10" ht="25.2" x14ac:dyDescent="0.3">
      <c r="B10" s="262">
        <v>4</v>
      </c>
      <c r="C10" s="249" t="s">
        <v>149</v>
      </c>
      <c r="D10" s="249" t="s">
        <v>35</v>
      </c>
      <c r="E10" s="249" t="s">
        <v>47</v>
      </c>
      <c r="F10" s="967"/>
      <c r="G10" s="263" t="s">
        <v>37</v>
      </c>
      <c r="H10" s="249" t="s">
        <v>145</v>
      </c>
      <c r="I10" s="249"/>
    </row>
    <row r="11" spans="2:10" ht="38.4" x14ac:dyDescent="0.3">
      <c r="B11" s="45">
        <v>5</v>
      </c>
      <c r="C11" s="21" t="s">
        <v>150</v>
      </c>
      <c r="D11" s="21" t="s">
        <v>35</v>
      </c>
      <c r="E11" s="21" t="s">
        <v>53</v>
      </c>
      <c r="F11" s="88" t="s">
        <v>151</v>
      </c>
      <c r="G11" s="47" t="s">
        <v>37</v>
      </c>
      <c r="H11" s="21" t="s">
        <v>152</v>
      </c>
      <c r="I11" s="21"/>
    </row>
    <row r="12" spans="2:10" ht="38.4" x14ac:dyDescent="0.3">
      <c r="B12" s="45">
        <v>6</v>
      </c>
      <c r="C12" s="21" t="s">
        <v>153</v>
      </c>
      <c r="D12" s="21" t="s">
        <v>35</v>
      </c>
      <c r="E12" s="21" t="s">
        <v>154</v>
      </c>
      <c r="F12" s="88" t="s">
        <v>155</v>
      </c>
      <c r="G12" s="47" t="s">
        <v>37</v>
      </c>
      <c r="H12" s="21" t="s">
        <v>136</v>
      </c>
      <c r="I12" s="21"/>
    </row>
    <row r="13" spans="2:10" ht="25.8" x14ac:dyDescent="0.3">
      <c r="B13" s="252">
        <v>7</v>
      </c>
      <c r="C13" s="250" t="s">
        <v>156</v>
      </c>
      <c r="D13" s="250" t="s">
        <v>37</v>
      </c>
      <c r="E13" s="250" t="s">
        <v>19</v>
      </c>
      <c r="F13" s="253" t="s">
        <v>157</v>
      </c>
      <c r="G13" s="254" t="s">
        <v>37</v>
      </c>
      <c r="H13" s="250" t="s">
        <v>158</v>
      </c>
      <c r="I13" s="250"/>
    </row>
    <row r="14" spans="2:10" ht="25.8" x14ac:dyDescent="0.3">
      <c r="B14" s="252">
        <v>8</v>
      </c>
      <c r="C14" s="250" t="s">
        <v>159</v>
      </c>
      <c r="D14" s="250" t="s">
        <v>37</v>
      </c>
      <c r="E14" s="250" t="s">
        <v>47</v>
      </c>
      <c r="F14" s="253" t="s">
        <v>160</v>
      </c>
      <c r="G14" s="254" t="s">
        <v>37</v>
      </c>
      <c r="H14" s="250" t="s">
        <v>161</v>
      </c>
      <c r="I14" s="250"/>
      <c r="J14" s="255"/>
    </row>
    <row r="15" spans="2:10" ht="50.4" x14ac:dyDescent="0.3">
      <c r="B15" s="45">
        <v>9</v>
      </c>
      <c r="C15" s="21" t="s">
        <v>162</v>
      </c>
      <c r="D15" s="21" t="s">
        <v>37</v>
      </c>
      <c r="E15" s="21" t="s">
        <v>163</v>
      </c>
      <c r="F15" s="88" t="s">
        <v>164</v>
      </c>
      <c r="G15" s="47" t="s">
        <v>37</v>
      </c>
      <c r="H15" s="21" t="s">
        <v>165</v>
      </c>
      <c r="I15" s="21"/>
    </row>
    <row r="16" spans="2:10" ht="76.2" x14ac:dyDescent="0.3">
      <c r="B16" s="252">
        <v>10</v>
      </c>
      <c r="C16" s="250" t="s">
        <v>166</v>
      </c>
      <c r="D16" s="250" t="s">
        <v>37</v>
      </c>
      <c r="E16" s="250" t="s">
        <v>163</v>
      </c>
      <c r="F16" s="253" t="s">
        <v>167</v>
      </c>
      <c r="G16" s="254" t="s">
        <v>37</v>
      </c>
      <c r="H16" s="250" t="s">
        <v>165</v>
      </c>
      <c r="I16" s="250"/>
    </row>
    <row r="17" spans="2:9" ht="63" x14ac:dyDescent="0.3">
      <c r="B17" s="45">
        <v>11</v>
      </c>
      <c r="C17" s="21" t="s">
        <v>168</v>
      </c>
      <c r="D17" s="21" t="s">
        <v>37</v>
      </c>
      <c r="E17" s="21" t="s">
        <v>163</v>
      </c>
      <c r="F17" s="5" t="s">
        <v>169</v>
      </c>
      <c r="G17" s="47" t="s">
        <v>37</v>
      </c>
      <c r="H17" s="21" t="s">
        <v>165</v>
      </c>
      <c r="I17" s="21"/>
    </row>
    <row r="18" spans="2:9" ht="50.4" x14ac:dyDescent="0.3">
      <c r="B18" s="252">
        <v>12</v>
      </c>
      <c r="C18" s="250" t="s">
        <v>170</v>
      </c>
      <c r="D18" s="250" t="s">
        <v>37</v>
      </c>
      <c r="E18" s="250" t="s">
        <v>171</v>
      </c>
      <c r="F18" s="250" t="s">
        <v>172</v>
      </c>
      <c r="G18" s="254" t="s">
        <v>37</v>
      </c>
      <c r="H18" s="250" t="s">
        <v>173</v>
      </c>
      <c r="I18" s="250"/>
    </row>
    <row r="19" spans="2:9" ht="38.4" x14ac:dyDescent="0.3">
      <c r="B19" s="252">
        <v>13</v>
      </c>
      <c r="C19" s="250" t="s">
        <v>174</v>
      </c>
      <c r="D19" s="250" t="s">
        <v>37</v>
      </c>
      <c r="E19" s="250" t="s">
        <v>175</v>
      </c>
      <c r="F19" s="253" t="s">
        <v>176</v>
      </c>
      <c r="G19" s="254" t="s">
        <v>37</v>
      </c>
      <c r="H19" s="250" t="s">
        <v>177</v>
      </c>
      <c r="I19" s="250"/>
    </row>
    <row r="20" spans="2:9" ht="25.8" x14ac:dyDescent="0.3">
      <c r="B20" s="252">
        <v>14</v>
      </c>
      <c r="C20" s="250" t="s">
        <v>178</v>
      </c>
      <c r="D20" s="250" t="s">
        <v>37</v>
      </c>
      <c r="E20" s="250" t="s">
        <v>47</v>
      </c>
      <c r="F20" s="253" t="s">
        <v>179</v>
      </c>
      <c r="G20" s="254" t="s">
        <v>37</v>
      </c>
      <c r="H20" s="250" t="s">
        <v>161</v>
      </c>
      <c r="I20" s="250"/>
    </row>
    <row r="21" spans="2:9" ht="50.4" x14ac:dyDescent="0.3">
      <c r="B21" s="252">
        <v>15</v>
      </c>
      <c r="C21" s="250" t="s">
        <v>180</v>
      </c>
      <c r="D21" s="250" t="s">
        <v>37</v>
      </c>
      <c r="E21" s="250" t="s">
        <v>171</v>
      </c>
      <c r="F21" s="250" t="s">
        <v>181</v>
      </c>
      <c r="G21" s="254" t="s">
        <v>37</v>
      </c>
      <c r="H21" s="250" t="s">
        <v>182</v>
      </c>
      <c r="I21" s="250"/>
    </row>
    <row r="22" spans="2:9" ht="38.4" x14ac:dyDescent="0.3">
      <c r="B22" s="89">
        <v>16</v>
      </c>
      <c r="C22" s="90" t="s">
        <v>183</v>
      </c>
      <c r="D22" s="90" t="s">
        <v>37</v>
      </c>
      <c r="E22" s="90" t="s">
        <v>175</v>
      </c>
      <c r="F22" s="91" t="s">
        <v>176</v>
      </c>
      <c r="G22" s="92" t="s">
        <v>37</v>
      </c>
      <c r="H22" s="90" t="s">
        <v>177</v>
      </c>
      <c r="I22" s="90"/>
    </row>
    <row r="23" spans="2:9" ht="37.799999999999997" x14ac:dyDescent="0.3">
      <c r="B23" s="45">
        <v>17</v>
      </c>
      <c r="C23" s="21" t="s">
        <v>184</v>
      </c>
      <c r="D23" s="21" t="s">
        <v>37</v>
      </c>
      <c r="E23" s="21" t="s">
        <v>19</v>
      </c>
      <c r="F23" s="5" t="s">
        <v>185</v>
      </c>
      <c r="G23" s="47" t="s">
        <v>37</v>
      </c>
      <c r="H23" s="21" t="s">
        <v>186</v>
      </c>
      <c r="I23" s="21"/>
    </row>
    <row r="24" spans="2:9" ht="51.6" thickBot="1" x14ac:dyDescent="0.35">
      <c r="B24" s="93">
        <v>18</v>
      </c>
      <c r="C24" s="26" t="s">
        <v>187</v>
      </c>
      <c r="D24" s="26" t="s">
        <v>37</v>
      </c>
      <c r="E24" s="26" t="s">
        <v>171</v>
      </c>
      <c r="F24" s="94" t="s">
        <v>188</v>
      </c>
      <c r="G24" s="95" t="s">
        <v>37</v>
      </c>
      <c r="H24" s="26" t="s">
        <v>189</v>
      </c>
      <c r="I24" s="26"/>
    </row>
    <row r="26" spans="2:9" ht="16.2" thickBot="1" x14ac:dyDescent="0.35">
      <c r="B26" s="66" t="s">
        <v>0</v>
      </c>
      <c r="C26" s="1"/>
      <c r="D26" s="1"/>
      <c r="E26" s="1"/>
    </row>
    <row r="27" spans="2:9" ht="26.4" thickBot="1" x14ac:dyDescent="0.35">
      <c r="B27" s="30" t="s">
        <v>1</v>
      </c>
      <c r="C27" s="781" t="s">
        <v>2</v>
      </c>
      <c r="D27" s="782"/>
      <c r="E27" s="31" t="s">
        <v>3</v>
      </c>
      <c r="F27" s="30"/>
    </row>
    <row r="28" spans="2:9" ht="46.5" customHeight="1" thickBot="1" x14ac:dyDescent="0.35">
      <c r="B28" s="3" t="s">
        <v>129</v>
      </c>
      <c r="C28" s="783" t="s">
        <v>130</v>
      </c>
      <c r="D28" s="783"/>
      <c r="E28" s="3" t="s">
        <v>19</v>
      </c>
      <c r="F28" s="219"/>
    </row>
    <row r="29" spans="2:9" ht="83.25" customHeight="1" thickBot="1" x14ac:dyDescent="0.35">
      <c r="B29" s="5" t="s">
        <v>131</v>
      </c>
      <c r="C29" s="774" t="s">
        <v>132</v>
      </c>
      <c r="D29" s="774"/>
      <c r="E29" s="5" t="s">
        <v>133</v>
      </c>
      <c r="F29" s="219"/>
    </row>
    <row r="30" spans="2:9" ht="57" customHeight="1" x14ac:dyDescent="0.3">
      <c r="B30" s="5" t="s">
        <v>134</v>
      </c>
      <c r="C30" s="774" t="s">
        <v>135</v>
      </c>
      <c r="D30" s="774"/>
      <c r="E30" s="5" t="s">
        <v>53</v>
      </c>
      <c r="F30" s="219"/>
    </row>
    <row r="31" spans="2:9" ht="33" customHeight="1" thickBot="1" x14ac:dyDescent="0.35">
      <c r="B31" s="5" t="s">
        <v>136</v>
      </c>
      <c r="C31" s="774" t="s">
        <v>137</v>
      </c>
      <c r="D31" s="774"/>
      <c r="E31" s="5" t="s">
        <v>138</v>
      </c>
      <c r="F31" s="5"/>
    </row>
    <row r="32" spans="2:9" ht="71.25" customHeight="1" thickBot="1" x14ac:dyDescent="0.35">
      <c r="B32" s="7" t="s">
        <v>139</v>
      </c>
      <c r="C32" s="958" t="s">
        <v>140</v>
      </c>
      <c r="D32" s="958"/>
      <c r="E32" s="7" t="s">
        <v>141</v>
      </c>
      <c r="F32" s="219"/>
    </row>
  </sheetData>
  <mergeCells count="7">
    <mergeCell ref="C31:D31"/>
    <mergeCell ref="C32:D32"/>
    <mergeCell ref="F8:F10"/>
    <mergeCell ref="C27:D27"/>
    <mergeCell ref="C28:D28"/>
    <mergeCell ref="C29:D29"/>
    <mergeCell ref="C30:D3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tabColor rgb="FFFFFF00"/>
  </sheetPr>
  <dimension ref="B1:I33"/>
  <sheetViews>
    <sheetView topLeftCell="A11" workbookViewId="0">
      <selection activeCell="E17" sqref="E17"/>
    </sheetView>
  </sheetViews>
  <sheetFormatPr defaultRowHeight="14.4" x14ac:dyDescent="0.3"/>
  <cols>
    <col min="1" max="1" width="3" customWidth="1"/>
    <col min="3" max="3" width="46.5546875" customWidth="1"/>
    <col min="5" max="5" width="15.109375" customWidth="1"/>
    <col min="6" max="6" width="46.5546875" customWidth="1"/>
    <col min="7" max="8" width="15.109375" customWidth="1"/>
    <col min="9" max="9" width="28.33203125" customWidth="1"/>
  </cols>
  <sheetData>
    <row r="1" spans="2:9" ht="15" thickBot="1" x14ac:dyDescent="0.35"/>
    <row r="2" spans="2:9" ht="21" thickBot="1" x14ac:dyDescent="0.4">
      <c r="B2" s="8" t="s">
        <v>23</v>
      </c>
      <c r="C2" s="9"/>
      <c r="D2" s="10" t="s">
        <v>63</v>
      </c>
      <c r="E2" s="36"/>
    </row>
    <row r="5" spans="2:9" ht="16.2" thickBot="1" x14ac:dyDescent="0.35">
      <c r="B5" s="65" t="s">
        <v>27</v>
      </c>
    </row>
    <row r="6" spans="2:9" ht="42" thickBot="1" x14ac:dyDescent="0.35">
      <c r="B6" s="32" t="s">
        <v>1</v>
      </c>
      <c r="C6" s="32" t="s">
        <v>28</v>
      </c>
      <c r="D6" s="32" t="s">
        <v>29</v>
      </c>
      <c r="E6" s="32" t="s">
        <v>30</v>
      </c>
      <c r="F6" s="32" t="s">
        <v>31</v>
      </c>
      <c r="G6" s="32" t="s">
        <v>32</v>
      </c>
      <c r="H6" s="32" t="s">
        <v>33</v>
      </c>
      <c r="I6" s="32" t="s">
        <v>417</v>
      </c>
    </row>
    <row r="7" spans="2:9" ht="25.2" x14ac:dyDescent="0.3">
      <c r="B7" s="37">
        <v>1</v>
      </c>
      <c r="C7" s="12" t="s">
        <v>64</v>
      </c>
      <c r="D7" s="13" t="s">
        <v>35</v>
      </c>
      <c r="E7" s="13" t="s">
        <v>19</v>
      </c>
      <c r="F7" s="968" t="s">
        <v>65</v>
      </c>
      <c r="G7" s="38" t="s">
        <v>37</v>
      </c>
      <c r="H7" s="12" t="s">
        <v>434</v>
      </c>
      <c r="I7" s="12" t="s">
        <v>436</v>
      </c>
    </row>
    <row r="8" spans="2:9" ht="25.2" x14ac:dyDescent="0.3">
      <c r="B8" s="39">
        <v>2</v>
      </c>
      <c r="C8" s="40" t="s">
        <v>66</v>
      </c>
      <c r="D8" s="41" t="s">
        <v>35</v>
      </c>
      <c r="E8" s="41" t="s">
        <v>19</v>
      </c>
      <c r="F8" s="969"/>
      <c r="G8" s="42" t="s">
        <v>37</v>
      </c>
      <c r="H8" s="39" t="s">
        <v>67</v>
      </c>
      <c r="I8" s="39" t="s">
        <v>435</v>
      </c>
    </row>
    <row r="9" spans="2:9" ht="37.799999999999997" x14ac:dyDescent="0.3">
      <c r="B9" s="39">
        <v>3</v>
      </c>
      <c r="C9" s="40" t="s">
        <v>68</v>
      </c>
      <c r="D9" s="40" t="s">
        <v>35</v>
      </c>
      <c r="E9" s="41" t="s">
        <v>69</v>
      </c>
      <c r="F9" s="969"/>
      <c r="G9" s="42" t="s">
        <v>37</v>
      </c>
      <c r="H9" s="39" t="s">
        <v>67</v>
      </c>
      <c r="I9" s="39" t="s">
        <v>435</v>
      </c>
    </row>
    <row r="10" spans="2:9" ht="88.2" x14ac:dyDescent="0.3">
      <c r="B10" s="43">
        <v>4</v>
      </c>
      <c r="C10" s="15" t="s">
        <v>70</v>
      </c>
      <c r="D10" s="15" t="s">
        <v>35</v>
      </c>
      <c r="E10" s="16" t="s">
        <v>47</v>
      </c>
      <c r="F10" s="970"/>
      <c r="G10" s="44" t="s">
        <v>37</v>
      </c>
      <c r="H10" s="43" t="s">
        <v>67</v>
      </c>
      <c r="I10" s="43" t="s">
        <v>435</v>
      </c>
    </row>
    <row r="11" spans="2:9" ht="50.4" x14ac:dyDescent="0.3">
      <c r="B11" s="45">
        <v>5</v>
      </c>
      <c r="C11" s="21" t="s">
        <v>71</v>
      </c>
      <c r="D11" s="22" t="s">
        <v>35</v>
      </c>
      <c r="E11" s="22" t="s">
        <v>53</v>
      </c>
      <c r="F11" s="46" t="s">
        <v>72</v>
      </c>
      <c r="G11" s="47" t="s">
        <v>37</v>
      </c>
      <c r="H11" s="45" t="s">
        <v>73</v>
      </c>
      <c r="I11" s="45" t="s">
        <v>437</v>
      </c>
    </row>
    <row r="12" spans="2:9" ht="25.2" x14ac:dyDescent="0.3">
      <c r="B12" s="48">
        <v>6</v>
      </c>
      <c r="C12" s="18" t="s">
        <v>74</v>
      </c>
      <c r="D12" s="19" t="s">
        <v>35</v>
      </c>
      <c r="E12" s="19" t="s">
        <v>53</v>
      </c>
      <c r="F12" s="971" t="s">
        <v>75</v>
      </c>
      <c r="G12" s="49" t="s">
        <v>35</v>
      </c>
      <c r="H12" s="48" t="s">
        <v>76</v>
      </c>
      <c r="I12" s="48" t="s">
        <v>438</v>
      </c>
    </row>
    <row r="13" spans="2:9" ht="25.2" x14ac:dyDescent="0.3">
      <c r="B13" s="39">
        <v>7</v>
      </c>
      <c r="C13" s="248" t="s">
        <v>77</v>
      </c>
      <c r="D13" s="40" t="s">
        <v>35</v>
      </c>
      <c r="E13" s="41" t="s">
        <v>78</v>
      </c>
      <c r="F13" s="972"/>
      <c r="G13" s="50" t="s">
        <v>35</v>
      </c>
      <c r="H13" s="39" t="s">
        <v>79</v>
      </c>
      <c r="I13" s="39" t="s">
        <v>439</v>
      </c>
    </row>
    <row r="14" spans="2:9" ht="50.4" x14ac:dyDescent="0.3">
      <c r="B14" s="43">
        <v>8</v>
      </c>
      <c r="C14" s="249" t="s">
        <v>80</v>
      </c>
      <c r="D14" s="15" t="s">
        <v>35</v>
      </c>
      <c r="E14" s="16" t="s">
        <v>81</v>
      </c>
      <c r="F14" s="973"/>
      <c r="G14" s="51" t="s">
        <v>35</v>
      </c>
      <c r="H14" s="43" t="s">
        <v>79</v>
      </c>
      <c r="I14" s="43" t="s">
        <v>439</v>
      </c>
    </row>
    <row r="15" spans="2:9" ht="37.799999999999997" x14ac:dyDescent="0.3">
      <c r="B15" s="45">
        <v>9</v>
      </c>
      <c r="C15" s="250" t="s">
        <v>82</v>
      </c>
      <c r="D15" s="22" t="s">
        <v>35</v>
      </c>
      <c r="E15" s="22" t="s">
        <v>19</v>
      </c>
      <c r="F15" s="46" t="s">
        <v>65</v>
      </c>
      <c r="G15" s="52" t="s">
        <v>37</v>
      </c>
      <c r="H15" s="45" t="s">
        <v>83</v>
      </c>
      <c r="I15" s="45" t="s">
        <v>491</v>
      </c>
    </row>
    <row r="16" spans="2:9" ht="37.799999999999997" x14ac:dyDescent="0.3">
      <c r="B16" s="48">
        <v>10</v>
      </c>
      <c r="C16" s="247" t="s">
        <v>84</v>
      </c>
      <c r="D16" s="19" t="s">
        <v>35</v>
      </c>
      <c r="E16" s="19" t="s">
        <v>53</v>
      </c>
      <c r="F16" s="971" t="s">
        <v>75</v>
      </c>
      <c r="G16" s="49" t="s">
        <v>35</v>
      </c>
      <c r="H16" s="48" t="s">
        <v>76</v>
      </c>
      <c r="I16" s="48" t="s">
        <v>438</v>
      </c>
    </row>
    <row r="17" spans="2:9" ht="37.799999999999997" x14ac:dyDescent="0.3">
      <c r="B17" s="39">
        <v>11</v>
      </c>
      <c r="C17" s="248" t="s">
        <v>85</v>
      </c>
      <c r="D17" s="41" t="s">
        <v>35</v>
      </c>
      <c r="E17" s="41" t="s">
        <v>53</v>
      </c>
      <c r="F17" s="972"/>
      <c r="G17" s="50" t="s">
        <v>35</v>
      </c>
      <c r="H17" s="39" t="s">
        <v>76</v>
      </c>
      <c r="I17" s="39" t="s">
        <v>438</v>
      </c>
    </row>
    <row r="18" spans="2:9" ht="37.799999999999997" x14ac:dyDescent="0.3">
      <c r="B18" s="39">
        <v>12</v>
      </c>
      <c r="C18" s="248" t="s">
        <v>86</v>
      </c>
      <c r="D18" s="41" t="s">
        <v>35</v>
      </c>
      <c r="E18" s="41" t="s">
        <v>53</v>
      </c>
      <c r="F18" s="972"/>
      <c r="G18" s="50" t="s">
        <v>35</v>
      </c>
      <c r="H18" s="39" t="s">
        <v>76</v>
      </c>
      <c r="I18" s="39" t="s">
        <v>438</v>
      </c>
    </row>
    <row r="19" spans="2:9" ht="25.2" x14ac:dyDescent="0.3">
      <c r="B19" s="39">
        <v>13</v>
      </c>
      <c r="C19" s="40" t="s">
        <v>87</v>
      </c>
      <c r="D19" s="41" t="s">
        <v>35</v>
      </c>
      <c r="E19" s="41" t="s">
        <v>53</v>
      </c>
      <c r="F19" s="972"/>
      <c r="G19" s="50" t="s">
        <v>35</v>
      </c>
      <c r="H19" s="39" t="s">
        <v>76</v>
      </c>
      <c r="I19" s="39" t="s">
        <v>438</v>
      </c>
    </row>
    <row r="20" spans="2:9" ht="37.799999999999997" x14ac:dyDescent="0.3">
      <c r="B20" s="39">
        <v>14</v>
      </c>
      <c r="C20" s="40" t="s">
        <v>88</v>
      </c>
      <c r="D20" s="41" t="s">
        <v>35</v>
      </c>
      <c r="E20" s="41" t="s">
        <v>53</v>
      </c>
      <c r="F20" s="972"/>
      <c r="G20" s="50" t="s">
        <v>35</v>
      </c>
      <c r="H20" s="39" t="s">
        <v>76</v>
      </c>
      <c r="I20" s="39" t="s">
        <v>438</v>
      </c>
    </row>
    <row r="21" spans="2:9" ht="25.2" x14ac:dyDescent="0.3">
      <c r="B21" s="39">
        <v>15</v>
      </c>
      <c r="C21" s="248" t="s">
        <v>89</v>
      </c>
      <c r="D21" s="41" t="s">
        <v>35</v>
      </c>
      <c r="E21" s="41" t="s">
        <v>53</v>
      </c>
      <c r="F21" s="972"/>
      <c r="G21" s="50" t="s">
        <v>35</v>
      </c>
      <c r="H21" s="39" t="s">
        <v>76</v>
      </c>
      <c r="I21" s="39" t="s">
        <v>438</v>
      </c>
    </row>
    <row r="22" spans="2:9" ht="25.2" x14ac:dyDescent="0.3">
      <c r="B22" s="39">
        <v>16</v>
      </c>
      <c r="C22" s="248" t="s">
        <v>90</v>
      </c>
      <c r="D22" s="41" t="s">
        <v>35</v>
      </c>
      <c r="E22" s="41" t="s">
        <v>53</v>
      </c>
      <c r="F22" s="972"/>
      <c r="G22" s="50" t="s">
        <v>35</v>
      </c>
      <c r="H22" s="39" t="s">
        <v>76</v>
      </c>
      <c r="I22" s="39" t="s">
        <v>438</v>
      </c>
    </row>
    <row r="23" spans="2:9" ht="37.799999999999997" x14ac:dyDescent="0.3">
      <c r="B23" s="39">
        <v>17</v>
      </c>
      <c r="C23" s="248" t="s">
        <v>91</v>
      </c>
      <c r="D23" s="41" t="s">
        <v>35</v>
      </c>
      <c r="E23" s="41" t="s">
        <v>53</v>
      </c>
      <c r="F23" s="972"/>
      <c r="G23" s="50" t="s">
        <v>35</v>
      </c>
      <c r="H23" s="39" t="s">
        <v>76</v>
      </c>
      <c r="I23" s="39" t="s">
        <v>438</v>
      </c>
    </row>
    <row r="24" spans="2:9" ht="38.4" thickBot="1" x14ac:dyDescent="0.35">
      <c r="B24" s="53">
        <v>18</v>
      </c>
      <c r="C24" s="251" t="s">
        <v>92</v>
      </c>
      <c r="D24" s="55" t="s">
        <v>35</v>
      </c>
      <c r="E24" s="55" t="s">
        <v>53</v>
      </c>
      <c r="F24" s="974"/>
      <c r="G24" s="56" t="s">
        <v>35</v>
      </c>
      <c r="H24" s="53" t="s">
        <v>76</v>
      </c>
      <c r="I24" s="53" t="s">
        <v>438</v>
      </c>
    </row>
    <row r="26" spans="2:9" ht="16.2" thickBot="1" x14ac:dyDescent="0.35">
      <c r="B26" s="66" t="s">
        <v>0</v>
      </c>
      <c r="C26" s="1"/>
      <c r="D26" s="1"/>
      <c r="E26" s="1"/>
      <c r="F26" s="1"/>
    </row>
    <row r="27" spans="2:9" ht="26.4" thickBot="1" x14ac:dyDescent="0.35">
      <c r="B27" s="30" t="s">
        <v>1</v>
      </c>
      <c r="C27" s="781" t="s">
        <v>2</v>
      </c>
      <c r="D27" s="782"/>
      <c r="E27" s="31" t="s">
        <v>3</v>
      </c>
      <c r="F27" s="30" t="s">
        <v>62</v>
      </c>
    </row>
    <row r="28" spans="2:9" ht="30.75" customHeight="1" x14ac:dyDescent="0.3">
      <c r="B28" s="57" t="s">
        <v>67</v>
      </c>
      <c r="C28" s="783" t="s">
        <v>93</v>
      </c>
      <c r="D28" s="783"/>
      <c r="E28" s="58" t="s">
        <v>94</v>
      </c>
      <c r="F28" s="58" t="s">
        <v>488</v>
      </c>
    </row>
    <row r="29" spans="2:9" ht="44.25" customHeight="1" x14ac:dyDescent="0.3">
      <c r="B29" s="59" t="s">
        <v>95</v>
      </c>
      <c r="C29" s="975" t="s">
        <v>96</v>
      </c>
      <c r="D29" s="976"/>
      <c r="E29" s="60" t="s">
        <v>97</v>
      </c>
      <c r="F29" s="60" t="s">
        <v>489</v>
      </c>
    </row>
    <row r="30" spans="2:9" ht="33.75" customHeight="1" x14ac:dyDescent="0.3">
      <c r="B30" s="233" t="s">
        <v>98</v>
      </c>
      <c r="C30" s="977" t="s">
        <v>99</v>
      </c>
      <c r="D30" s="977"/>
      <c r="E30" s="234" t="s">
        <v>94</v>
      </c>
      <c r="F30" s="234"/>
    </row>
    <row r="31" spans="2:9" ht="59.25" customHeight="1" x14ac:dyDescent="0.3">
      <c r="B31" s="59" t="s">
        <v>100</v>
      </c>
      <c r="C31" s="975" t="s">
        <v>101</v>
      </c>
      <c r="D31" s="978"/>
      <c r="E31" s="5" t="s">
        <v>102</v>
      </c>
      <c r="F31" s="5" t="s">
        <v>487</v>
      </c>
    </row>
    <row r="32" spans="2:9" ht="65.25" customHeight="1" x14ac:dyDescent="0.3">
      <c r="B32" s="233" t="s">
        <v>103</v>
      </c>
      <c r="C32" s="979" t="s">
        <v>104</v>
      </c>
      <c r="D32" s="980"/>
      <c r="E32" s="235" t="s">
        <v>102</v>
      </c>
      <c r="F32" s="235"/>
    </row>
    <row r="33" spans="2:6" ht="33" customHeight="1" thickBot="1" x14ac:dyDescent="0.35">
      <c r="B33" s="61" t="s">
        <v>76</v>
      </c>
      <c r="C33" s="958" t="s">
        <v>105</v>
      </c>
      <c r="D33" s="958"/>
      <c r="E33" s="60" t="s">
        <v>25</v>
      </c>
      <c r="F33" s="236" t="s">
        <v>490</v>
      </c>
    </row>
  </sheetData>
  <mergeCells count="10">
    <mergeCell ref="F7:F10"/>
    <mergeCell ref="F12:F14"/>
    <mergeCell ref="F16:F24"/>
    <mergeCell ref="C33:D33"/>
    <mergeCell ref="C27:D27"/>
    <mergeCell ref="C28:D28"/>
    <mergeCell ref="C29:D29"/>
    <mergeCell ref="C30:D30"/>
    <mergeCell ref="C31:D31"/>
    <mergeCell ref="C32:D32"/>
  </mergeCells>
  <hyperlinks>
    <hyperlink ref="F33" r:id="rId1" xr:uid="{00000000-0004-0000-0A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FFFF00"/>
  </sheetPr>
  <dimension ref="B1:I25"/>
  <sheetViews>
    <sheetView topLeftCell="A17" workbookViewId="0">
      <selection activeCell="E23" sqref="E23"/>
    </sheetView>
  </sheetViews>
  <sheetFormatPr defaultRowHeight="14.4" x14ac:dyDescent="0.3"/>
  <cols>
    <col min="1" max="1" width="5" customWidth="1"/>
    <col min="3" max="3" width="46.5546875" customWidth="1"/>
    <col min="5" max="5" width="16" customWidth="1"/>
    <col min="6" max="6" width="46.5546875" customWidth="1"/>
    <col min="7" max="8" width="15.109375" customWidth="1"/>
    <col min="9" max="9" width="28.33203125" customWidth="1"/>
  </cols>
  <sheetData>
    <row r="1" spans="2:9" ht="15" thickBot="1" x14ac:dyDescent="0.35"/>
    <row r="2" spans="2:9" ht="21" thickBot="1" x14ac:dyDescent="0.4">
      <c r="B2" s="8" t="s">
        <v>23</v>
      </c>
      <c r="C2" s="9"/>
      <c r="D2" s="10" t="s">
        <v>190</v>
      </c>
      <c r="E2" s="36"/>
    </row>
    <row r="5" spans="2:9" ht="16.2" thickBot="1" x14ac:dyDescent="0.35">
      <c r="B5" s="65" t="s">
        <v>27</v>
      </c>
    </row>
    <row r="6" spans="2:9" ht="42" thickBot="1" x14ac:dyDescent="0.35">
      <c r="B6" s="32" t="s">
        <v>1</v>
      </c>
      <c r="C6" s="32" t="s">
        <v>28</v>
      </c>
      <c r="D6" s="32" t="s">
        <v>29</v>
      </c>
      <c r="E6" s="32" t="s">
        <v>30</v>
      </c>
      <c r="F6" s="32" t="s">
        <v>31</v>
      </c>
      <c r="G6" s="32" t="s">
        <v>32</v>
      </c>
      <c r="H6" s="32" t="s">
        <v>33</v>
      </c>
      <c r="I6" s="32" t="s">
        <v>417</v>
      </c>
    </row>
    <row r="7" spans="2:9" ht="37.799999999999997" x14ac:dyDescent="0.3">
      <c r="B7" s="12">
        <v>1</v>
      </c>
      <c r="C7" s="12" t="s">
        <v>110</v>
      </c>
      <c r="D7" s="13" t="s">
        <v>35</v>
      </c>
      <c r="E7" s="13" t="s">
        <v>26</v>
      </c>
      <c r="F7" s="961" t="s">
        <v>111</v>
      </c>
      <c r="G7" s="67" t="s">
        <v>37</v>
      </c>
      <c r="H7" s="67" t="s">
        <v>112</v>
      </c>
      <c r="I7" s="238" t="s">
        <v>500</v>
      </c>
    </row>
    <row r="8" spans="2:9" ht="37.799999999999997" x14ac:dyDescent="0.3">
      <c r="B8" s="40">
        <v>2</v>
      </c>
      <c r="C8" s="40" t="s">
        <v>113</v>
      </c>
      <c r="D8" s="41" t="s">
        <v>35</v>
      </c>
      <c r="E8" s="41" t="s">
        <v>26</v>
      </c>
      <c r="F8" s="981"/>
      <c r="G8" s="68" t="s">
        <v>37</v>
      </c>
      <c r="H8" s="68" t="s">
        <v>114</v>
      </c>
      <c r="I8" s="239" t="s">
        <v>500</v>
      </c>
    </row>
    <row r="9" spans="2:9" ht="37.799999999999997" x14ac:dyDescent="0.3">
      <c r="B9" s="15">
        <v>3</v>
      </c>
      <c r="C9" s="15" t="s">
        <v>115</v>
      </c>
      <c r="D9" s="16" t="s">
        <v>35</v>
      </c>
      <c r="E9" s="16" t="s">
        <v>26</v>
      </c>
      <c r="F9" s="962"/>
      <c r="G9" s="69" t="s">
        <v>37</v>
      </c>
      <c r="H9" s="69" t="s">
        <v>112</v>
      </c>
      <c r="I9" s="240" t="s">
        <v>500</v>
      </c>
    </row>
    <row r="10" spans="2:9" ht="25.2" x14ac:dyDescent="0.3">
      <c r="B10" s="21">
        <v>4</v>
      </c>
      <c r="C10" s="21" t="s">
        <v>116</v>
      </c>
      <c r="D10" s="22" t="s">
        <v>35</v>
      </c>
      <c r="E10" s="22" t="s">
        <v>26</v>
      </c>
      <c r="F10" s="5" t="s">
        <v>117</v>
      </c>
      <c r="G10" s="70" t="s">
        <v>37</v>
      </c>
      <c r="H10" s="70" t="s">
        <v>106</v>
      </c>
      <c r="I10" s="241" t="s">
        <v>501</v>
      </c>
    </row>
    <row r="11" spans="2:9" ht="75.599999999999994" x14ac:dyDescent="0.3">
      <c r="B11" s="71">
        <v>5</v>
      </c>
      <c r="C11" s="71" t="s">
        <v>118</v>
      </c>
      <c r="D11" s="72" t="s">
        <v>35</v>
      </c>
      <c r="E11" s="72" t="s">
        <v>26</v>
      </c>
      <c r="F11" s="73" t="s">
        <v>119</v>
      </c>
      <c r="G11" s="74" t="s">
        <v>37</v>
      </c>
      <c r="H11" s="74" t="s">
        <v>120</v>
      </c>
      <c r="I11" s="242" t="s">
        <v>502</v>
      </c>
    </row>
    <row r="12" spans="2:9" ht="114" thickBot="1" x14ac:dyDescent="0.35">
      <c r="B12" s="75">
        <v>6</v>
      </c>
      <c r="C12" s="75" t="s">
        <v>121</v>
      </c>
      <c r="D12" s="76" t="s">
        <v>35</v>
      </c>
      <c r="E12" s="76" t="s">
        <v>19</v>
      </c>
      <c r="F12" s="73" t="s">
        <v>122</v>
      </c>
      <c r="G12" s="77" t="s">
        <v>37</v>
      </c>
      <c r="H12" s="77" t="s">
        <v>120</v>
      </c>
      <c r="I12" s="243" t="s">
        <v>502</v>
      </c>
    </row>
    <row r="13" spans="2:9" ht="76.2" thickBot="1" x14ac:dyDescent="0.35">
      <c r="B13" s="75">
        <v>7</v>
      </c>
      <c r="C13" s="75" t="s">
        <v>123</v>
      </c>
      <c r="D13" s="76" t="s">
        <v>35</v>
      </c>
      <c r="E13" s="76" t="s">
        <v>19</v>
      </c>
      <c r="F13" s="73" t="s">
        <v>119</v>
      </c>
      <c r="G13" s="77" t="s">
        <v>37</v>
      </c>
      <c r="H13" s="77" t="s">
        <v>120</v>
      </c>
      <c r="I13" s="243" t="s">
        <v>502</v>
      </c>
    </row>
    <row r="14" spans="2:9" ht="25.2" x14ac:dyDescent="0.3">
      <c r="B14" s="78">
        <v>8</v>
      </c>
      <c r="C14" s="78" t="s">
        <v>124</v>
      </c>
      <c r="D14" s="79" t="s">
        <v>35</v>
      </c>
      <c r="E14" s="79" t="s">
        <v>26</v>
      </c>
      <c r="F14" s="965" t="s">
        <v>125</v>
      </c>
      <c r="G14" s="80" t="s">
        <v>37</v>
      </c>
      <c r="H14" s="80" t="s">
        <v>499</v>
      </c>
      <c r="I14" s="244" t="s">
        <v>503</v>
      </c>
    </row>
    <row r="15" spans="2:9" ht="25.2" x14ac:dyDescent="0.3">
      <c r="B15" s="40">
        <v>9</v>
      </c>
      <c r="C15" s="40" t="s">
        <v>126</v>
      </c>
      <c r="D15" s="41" t="s">
        <v>35</v>
      </c>
      <c r="E15" s="41" t="s">
        <v>26</v>
      </c>
      <c r="F15" s="966"/>
      <c r="G15" s="68" t="s">
        <v>37</v>
      </c>
      <c r="H15" s="68" t="s">
        <v>499</v>
      </c>
      <c r="I15" s="239" t="s">
        <v>503</v>
      </c>
    </row>
    <row r="16" spans="2:9" ht="25.2" x14ac:dyDescent="0.3">
      <c r="B16" s="40">
        <v>10</v>
      </c>
      <c r="C16" s="40" t="s">
        <v>127</v>
      </c>
      <c r="D16" s="41" t="s">
        <v>35</v>
      </c>
      <c r="E16" s="41" t="s">
        <v>19</v>
      </c>
      <c r="F16" s="966"/>
      <c r="G16" s="68" t="s">
        <v>37</v>
      </c>
      <c r="H16" s="68" t="s">
        <v>499</v>
      </c>
      <c r="I16" s="239" t="s">
        <v>503</v>
      </c>
    </row>
    <row r="17" spans="2:9" ht="51" thickBot="1" x14ac:dyDescent="0.35">
      <c r="B17" s="54">
        <v>11</v>
      </c>
      <c r="C17" s="54" t="s">
        <v>128</v>
      </c>
      <c r="D17" s="55" t="s">
        <v>35</v>
      </c>
      <c r="E17" s="55" t="s">
        <v>19</v>
      </c>
      <c r="F17" s="982"/>
      <c r="G17" s="81" t="s">
        <v>37</v>
      </c>
      <c r="H17" s="81" t="s">
        <v>499</v>
      </c>
      <c r="I17" s="245" t="s">
        <v>503</v>
      </c>
    </row>
    <row r="20" spans="2:9" ht="16.2" thickBot="1" x14ac:dyDescent="0.35">
      <c r="B20" s="66" t="s">
        <v>0</v>
      </c>
      <c r="C20" s="1"/>
      <c r="D20" s="1"/>
      <c r="E20" s="1"/>
    </row>
    <row r="21" spans="2:9" ht="26.4" thickBot="1" x14ac:dyDescent="0.35">
      <c r="B21" s="30" t="s">
        <v>1</v>
      </c>
      <c r="C21" s="781" t="s">
        <v>2</v>
      </c>
      <c r="D21" s="782"/>
      <c r="E21" s="31" t="s">
        <v>3</v>
      </c>
      <c r="F21" s="30" t="s">
        <v>62</v>
      </c>
    </row>
    <row r="22" spans="2:9" ht="30" customHeight="1" x14ac:dyDescent="0.3">
      <c r="B22" s="237" t="s">
        <v>106</v>
      </c>
      <c r="C22" s="983" t="s">
        <v>492</v>
      </c>
      <c r="D22" s="983"/>
      <c r="E22" s="237" t="s">
        <v>26</v>
      </c>
      <c r="F22" s="237"/>
    </row>
    <row r="23" spans="2:9" ht="72" customHeight="1" x14ac:dyDescent="0.3">
      <c r="B23" s="5" t="s">
        <v>107</v>
      </c>
      <c r="C23" s="774" t="s">
        <v>493</v>
      </c>
      <c r="D23" s="774"/>
      <c r="E23" s="5" t="s">
        <v>108</v>
      </c>
      <c r="F23" s="222" t="s">
        <v>496</v>
      </c>
    </row>
    <row r="24" spans="2:9" ht="33.75" customHeight="1" x14ac:dyDescent="0.3">
      <c r="B24" s="5" t="s">
        <v>109</v>
      </c>
      <c r="C24" s="774" t="s">
        <v>494</v>
      </c>
      <c r="D24" s="774"/>
      <c r="E24" s="5" t="s">
        <v>108</v>
      </c>
      <c r="F24" s="222" t="s">
        <v>497</v>
      </c>
    </row>
    <row r="25" spans="2:9" ht="47.25" customHeight="1" thickBot="1" x14ac:dyDescent="0.35">
      <c r="B25" s="7" t="s">
        <v>498</v>
      </c>
      <c r="C25" s="958" t="s">
        <v>495</v>
      </c>
      <c r="D25" s="958"/>
      <c r="E25" s="7" t="s">
        <v>108</v>
      </c>
      <c r="F25" s="246" t="s">
        <v>504</v>
      </c>
    </row>
  </sheetData>
  <mergeCells count="7">
    <mergeCell ref="C25:D25"/>
    <mergeCell ref="F7:F9"/>
    <mergeCell ref="F14:F17"/>
    <mergeCell ref="C21:D21"/>
    <mergeCell ref="C22:D22"/>
    <mergeCell ref="C23:D23"/>
    <mergeCell ref="C24:D24"/>
  </mergeCells>
  <hyperlinks>
    <hyperlink ref="F23" r:id="rId1" display="..\..\Category 2 DAK\Assets\Current Assets\Bank\DAK BRS 17-18.xlsx" xr:uid="{00000000-0004-0000-0B00-000000000000}"/>
    <hyperlink ref="F24" r:id="rId2" display="..\..\Category 2 DAK\Assets\Current Assets\Bank\Bank Confirmation" xr:uid="{00000000-0004-0000-0B00-000001000000}"/>
    <hyperlink ref="F25" r:id="rId3" display="Refer [Confirmation folder]" xr:uid="{00000000-0004-0000-0B00-000002000000}"/>
  </hyperlinks>
  <pageMargins left="0.7" right="0.7" top="0.75" bottom="0.75" header="0.3" footer="0.3"/>
  <pageSetup paperSize="9" orientation="portrait" verticalDpi="0"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EC2D1-A470-40F5-A8A4-5FC085547988}">
  <dimension ref="A2:K93"/>
  <sheetViews>
    <sheetView topLeftCell="A78" workbookViewId="0">
      <selection activeCell="B100" sqref="B100"/>
    </sheetView>
  </sheetViews>
  <sheetFormatPr defaultColWidth="9.109375" defaultRowHeight="13.2" x14ac:dyDescent="0.3"/>
  <cols>
    <col min="1" max="1" width="4.6640625" style="352" customWidth="1"/>
    <col min="2" max="2" width="15.6640625" style="290" customWidth="1"/>
    <col min="3" max="3" width="14.6640625" style="290" customWidth="1"/>
    <col min="4" max="4" width="16" style="290" customWidth="1"/>
    <col min="5" max="8" width="14.6640625" style="290" customWidth="1"/>
    <col min="9" max="9" width="18.5546875" style="290" customWidth="1"/>
    <col min="10" max="11" width="14.6640625" style="290" customWidth="1"/>
    <col min="12" max="16384" width="9.109375" style="290"/>
  </cols>
  <sheetData>
    <row r="2" spans="1:11" x14ac:dyDescent="0.3">
      <c r="B2" s="353" t="s">
        <v>1270</v>
      </c>
    </row>
    <row r="3" spans="1:11" x14ac:dyDescent="0.3">
      <c r="B3" s="353" t="s">
        <v>1796</v>
      </c>
    </row>
    <row r="4" spans="1:11" ht="13.8" thickBot="1" x14ac:dyDescent="0.35"/>
    <row r="5" spans="1:11" ht="13.8" thickBot="1" x14ac:dyDescent="0.35">
      <c r="B5" s="837" t="s">
        <v>23</v>
      </c>
      <c r="C5" s="838"/>
      <c r="D5" s="839"/>
      <c r="E5" s="354"/>
      <c r="F5" s="355" t="s">
        <v>1398</v>
      </c>
    </row>
    <row r="6" spans="1:11" ht="13.8" thickBot="1" x14ac:dyDescent="0.35">
      <c r="B6" s="840" t="s">
        <v>860</v>
      </c>
      <c r="C6" s="841"/>
      <c r="D6" s="841"/>
      <c r="E6" s="356"/>
      <c r="F6" s="355" t="s">
        <v>615</v>
      </c>
    </row>
    <row r="7" spans="1:11" ht="13.8" thickBot="1" x14ac:dyDescent="0.35">
      <c r="B7" s="842" t="s">
        <v>1075</v>
      </c>
      <c r="C7" s="843"/>
      <c r="D7" s="844"/>
      <c r="E7" s="356"/>
      <c r="F7" s="357">
        <v>5175000</v>
      </c>
    </row>
    <row r="9" spans="1:11" x14ac:dyDescent="0.3">
      <c r="B9" s="353" t="s">
        <v>508</v>
      </c>
    </row>
    <row r="10" spans="1:11" ht="13.8" thickBot="1" x14ac:dyDescent="0.35">
      <c r="A10" s="358" t="s">
        <v>1097</v>
      </c>
      <c r="B10" s="359" t="s">
        <v>1400</v>
      </c>
    </row>
    <row r="11" spans="1:11" ht="13.8" thickBot="1" x14ac:dyDescent="0.35">
      <c r="B11" s="807" t="s">
        <v>1060</v>
      </c>
      <c r="C11" s="808"/>
      <c r="D11" s="808"/>
      <c r="E11" s="808"/>
      <c r="F11" s="808"/>
      <c r="G11" s="808"/>
      <c r="H11" s="808"/>
      <c r="I11" s="808"/>
      <c r="J11" s="808"/>
      <c r="K11" s="809"/>
    </row>
    <row r="12" spans="1:11" ht="13.8" thickBot="1" x14ac:dyDescent="0.35">
      <c r="B12" s="360" t="s">
        <v>1413</v>
      </c>
      <c r="C12" s="810" t="s">
        <v>1399</v>
      </c>
      <c r="D12" s="810"/>
      <c r="E12" s="810"/>
      <c r="F12" s="810"/>
      <c r="G12" s="810"/>
      <c r="H12" s="810"/>
      <c r="I12" s="810"/>
      <c r="J12" s="810"/>
      <c r="K12" s="811"/>
    </row>
    <row r="13" spans="1:11" ht="13.8" thickBot="1" x14ac:dyDescent="0.35">
      <c r="A13" s="290"/>
      <c r="B13" s="807" t="s">
        <v>1109</v>
      </c>
      <c r="C13" s="808"/>
      <c r="D13" s="808"/>
      <c r="E13" s="808"/>
      <c r="F13" s="808"/>
      <c r="G13" s="808"/>
      <c r="H13" s="808"/>
      <c r="I13" s="808"/>
      <c r="J13" s="808"/>
      <c r="K13" s="809"/>
    </row>
    <row r="14" spans="1:11" x14ac:dyDescent="0.3">
      <c r="A14" s="290"/>
      <c r="B14" s="361" t="s">
        <v>1110</v>
      </c>
      <c r="C14" s="812" t="s">
        <v>1111</v>
      </c>
      <c r="D14" s="812"/>
      <c r="E14" s="812"/>
      <c r="F14" s="812"/>
      <c r="G14" s="812"/>
      <c r="H14" s="812"/>
      <c r="I14" s="812"/>
      <c r="J14" s="812"/>
      <c r="K14" s="362" t="s">
        <v>35</v>
      </c>
    </row>
    <row r="15" spans="1:11" x14ac:dyDescent="0.3">
      <c r="A15" s="290"/>
      <c r="B15" s="363"/>
      <c r="C15" s="804" t="s">
        <v>1206</v>
      </c>
      <c r="D15" s="805"/>
      <c r="E15" s="805"/>
      <c r="F15" s="805"/>
      <c r="G15" s="805"/>
      <c r="H15" s="805"/>
      <c r="I15" s="805"/>
      <c r="J15" s="806"/>
      <c r="K15" s="364"/>
    </row>
    <row r="16" spans="1:11" x14ac:dyDescent="0.3">
      <c r="A16" s="290"/>
      <c r="B16" s="365" t="s">
        <v>1112</v>
      </c>
      <c r="C16" s="813" t="s">
        <v>1118</v>
      </c>
      <c r="D16" s="813"/>
      <c r="E16" s="813"/>
      <c r="F16" s="813"/>
      <c r="G16" s="813"/>
      <c r="H16" s="813"/>
      <c r="I16" s="813"/>
      <c r="J16" s="813"/>
      <c r="K16" s="366" t="s">
        <v>35</v>
      </c>
    </row>
    <row r="17" spans="1:11" x14ac:dyDescent="0.3">
      <c r="A17" s="290"/>
      <c r="B17" s="365" t="s">
        <v>1113</v>
      </c>
      <c r="C17" s="813" t="s">
        <v>1119</v>
      </c>
      <c r="D17" s="813"/>
      <c r="E17" s="813"/>
      <c r="F17" s="813"/>
      <c r="G17" s="813"/>
      <c r="H17" s="813"/>
      <c r="I17" s="813"/>
      <c r="J17" s="813"/>
      <c r="K17" s="366" t="s">
        <v>35</v>
      </c>
    </row>
    <row r="18" spans="1:11" x14ac:dyDescent="0.3">
      <c r="A18" s="290"/>
      <c r="B18" s="365" t="s">
        <v>1114</v>
      </c>
      <c r="C18" s="813" t="s">
        <v>1120</v>
      </c>
      <c r="D18" s="813"/>
      <c r="E18" s="813"/>
      <c r="F18" s="813"/>
      <c r="G18" s="813"/>
      <c r="H18" s="813"/>
      <c r="I18" s="813"/>
      <c r="J18" s="813"/>
      <c r="K18" s="366" t="s">
        <v>35</v>
      </c>
    </row>
    <row r="19" spans="1:11" ht="31.5" customHeight="1" x14ac:dyDescent="0.3">
      <c r="A19" s="290"/>
      <c r="B19" s="365" t="s">
        <v>1115</v>
      </c>
      <c r="C19" s="813" t="s">
        <v>1121</v>
      </c>
      <c r="D19" s="813"/>
      <c r="E19" s="813"/>
      <c r="F19" s="813"/>
      <c r="G19" s="813"/>
      <c r="H19" s="813"/>
      <c r="I19" s="813"/>
      <c r="J19" s="813"/>
      <c r="K19" s="366" t="s">
        <v>35</v>
      </c>
    </row>
    <row r="20" spans="1:11" x14ac:dyDescent="0.3">
      <c r="A20" s="290"/>
      <c r="B20" s="365" t="s">
        <v>1116</v>
      </c>
      <c r="C20" s="813" t="s">
        <v>1272</v>
      </c>
      <c r="D20" s="813"/>
      <c r="E20" s="813"/>
      <c r="F20" s="813"/>
      <c r="G20" s="813"/>
      <c r="H20" s="813"/>
      <c r="I20" s="813"/>
      <c r="J20" s="813"/>
      <c r="K20" s="366" t="s">
        <v>35</v>
      </c>
    </row>
    <row r="21" spans="1:11" ht="13.8" thickBot="1" x14ac:dyDescent="0.35">
      <c r="A21" s="290"/>
      <c r="B21" s="367" t="s">
        <v>1117</v>
      </c>
      <c r="C21" s="831" t="s">
        <v>1122</v>
      </c>
      <c r="D21" s="831"/>
      <c r="E21" s="831"/>
      <c r="F21" s="831"/>
      <c r="G21" s="831"/>
      <c r="H21" s="831"/>
      <c r="I21" s="831"/>
      <c r="J21" s="831"/>
      <c r="K21" s="368" t="s">
        <v>35</v>
      </c>
    </row>
    <row r="22" spans="1:11" ht="31.5" customHeight="1" thickBot="1" x14ac:dyDescent="0.35">
      <c r="A22" s="290"/>
      <c r="B22" s="369"/>
      <c r="C22" s="866" t="s">
        <v>1123</v>
      </c>
      <c r="D22" s="866"/>
      <c r="E22" s="866"/>
      <c r="F22" s="866"/>
      <c r="G22" s="866"/>
      <c r="H22" s="866"/>
      <c r="I22" s="866"/>
      <c r="J22" s="866"/>
      <c r="K22" s="387" t="str">
        <f>IF(OR(K14="Yes",K16="Yes",K17="Yes",K18="Yes",K19="Yes",K20="Yes",K21="Yes"),"Yes","No")</f>
        <v>No</v>
      </c>
    </row>
    <row r="23" spans="1:11" ht="13.8" thickBot="1" x14ac:dyDescent="0.35">
      <c r="B23" s="834" t="s">
        <v>1061</v>
      </c>
      <c r="C23" s="834"/>
      <c r="D23" s="834"/>
      <c r="E23" s="834"/>
      <c r="F23" s="834"/>
      <c r="G23" s="834" t="s">
        <v>1062</v>
      </c>
      <c r="H23" s="834"/>
      <c r="I23" s="834"/>
      <c r="J23" s="834"/>
      <c r="K23" s="834"/>
    </row>
    <row r="24" spans="1:11"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1:11" ht="15" thickBot="1" x14ac:dyDescent="0.35">
      <c r="B25" s="514" t="s">
        <v>619</v>
      </c>
      <c r="C25" s="515" t="s">
        <v>619</v>
      </c>
      <c r="D25" s="515" t="s">
        <v>619</v>
      </c>
      <c r="E25" s="515" t="s">
        <v>619</v>
      </c>
      <c r="F25" s="516" t="s">
        <v>621</v>
      </c>
      <c r="G25" s="517" t="s">
        <v>619</v>
      </c>
      <c r="H25" s="515" t="s">
        <v>621</v>
      </c>
      <c r="I25" s="515" t="s">
        <v>621</v>
      </c>
      <c r="J25" s="515" t="s">
        <v>621</v>
      </c>
      <c r="K25" s="516" t="s">
        <v>621</v>
      </c>
    </row>
    <row r="26" spans="1:11" ht="13.8" thickBot="1" x14ac:dyDescent="0.35">
      <c r="B26" s="807" t="s">
        <v>1068</v>
      </c>
      <c r="C26" s="808"/>
      <c r="D26" s="808"/>
      <c r="E26" s="808"/>
      <c r="F26" s="808"/>
      <c r="G26" s="808"/>
      <c r="H26" s="808"/>
      <c r="I26" s="808"/>
      <c r="J26" s="808"/>
      <c r="K26" s="809"/>
    </row>
    <row r="27" spans="1:11" ht="27" thickBot="1" x14ac:dyDescent="0.35">
      <c r="B27" s="369" t="s">
        <v>1124</v>
      </c>
      <c r="C27" s="827" t="s">
        <v>31</v>
      </c>
      <c r="D27" s="827"/>
      <c r="E27" s="827"/>
      <c r="F27" s="827"/>
      <c r="G27" s="827"/>
      <c r="H27" s="827"/>
      <c r="I27" s="381" t="s">
        <v>1125</v>
      </c>
      <c r="J27" s="828" t="s">
        <v>1074</v>
      </c>
      <c r="K27" s="829"/>
    </row>
    <row r="28" spans="1:11" ht="30.75" customHeight="1" thickBot="1" x14ac:dyDescent="0.35">
      <c r="B28" s="361" t="s">
        <v>1414</v>
      </c>
      <c r="C28" s="812" t="s">
        <v>1401</v>
      </c>
      <c r="D28" s="812"/>
      <c r="E28" s="812"/>
      <c r="F28" s="812"/>
      <c r="G28" s="812"/>
      <c r="H28" s="812"/>
      <c r="I28" s="385" t="s">
        <v>35</v>
      </c>
      <c r="J28" s="856" t="s">
        <v>863</v>
      </c>
      <c r="K28" s="857"/>
    </row>
    <row r="29" spans="1:11" ht="27" thickBot="1" x14ac:dyDescent="0.35">
      <c r="B29" s="383" t="s">
        <v>1072</v>
      </c>
      <c r="C29" s="814" t="s">
        <v>1274</v>
      </c>
      <c r="D29" s="815"/>
      <c r="E29" s="383" t="s">
        <v>1070</v>
      </c>
      <c r="F29" s="384" t="s">
        <v>1134</v>
      </c>
      <c r="G29" s="816" t="s">
        <v>1175</v>
      </c>
      <c r="H29" s="817"/>
      <c r="I29" s="383" t="s">
        <v>1130</v>
      </c>
      <c r="J29" s="814" t="s">
        <v>1133</v>
      </c>
      <c r="K29" s="815"/>
    </row>
    <row r="30" spans="1:11" ht="13.8" thickBot="1" x14ac:dyDescent="0.35">
      <c r="B30" s="824" t="s">
        <v>1076</v>
      </c>
      <c r="C30" s="825"/>
      <c r="D30" s="825"/>
      <c r="E30" s="825"/>
      <c r="F30" s="825"/>
      <c r="G30" s="825"/>
      <c r="H30" s="825"/>
      <c r="I30" s="825"/>
      <c r="J30" s="825"/>
      <c r="K30" s="826"/>
    </row>
    <row r="31" spans="1:11" ht="13.8" thickBot="1" x14ac:dyDescent="0.3">
      <c r="B31" s="361" t="s">
        <v>1414</v>
      </c>
      <c r="C31" s="984" t="s">
        <v>1402</v>
      </c>
      <c r="D31" s="985"/>
      <c r="E31" s="985"/>
      <c r="F31" s="985"/>
      <c r="G31" s="985"/>
      <c r="H31" s="985"/>
      <c r="I31" s="985"/>
      <c r="J31" s="985"/>
      <c r="K31" s="986"/>
    </row>
    <row r="32" spans="1:11" ht="13.8" thickBot="1" x14ac:dyDescent="0.35">
      <c r="B32" s="824" t="s">
        <v>1077</v>
      </c>
      <c r="C32" s="825"/>
      <c r="D32" s="825"/>
      <c r="E32" s="825"/>
      <c r="F32" s="825"/>
      <c r="G32" s="825"/>
      <c r="H32" s="825"/>
      <c r="I32" s="825"/>
      <c r="J32" s="825"/>
      <c r="K32" s="826"/>
    </row>
    <row r="33" spans="1:11" ht="28.2" customHeight="1" thickBot="1" x14ac:dyDescent="0.35">
      <c r="B33" s="360" t="s">
        <v>1415</v>
      </c>
      <c r="C33" s="830" t="s">
        <v>1404</v>
      </c>
      <c r="D33" s="816"/>
      <c r="E33" s="816"/>
      <c r="F33" s="816"/>
      <c r="G33" s="816"/>
      <c r="H33" s="816"/>
      <c r="I33" s="816"/>
      <c r="J33" s="816"/>
      <c r="K33" s="817"/>
    </row>
    <row r="34" spans="1:11" ht="28.2" customHeight="1" thickBot="1" x14ac:dyDescent="0.35">
      <c r="B34" s="360" t="s">
        <v>1416</v>
      </c>
      <c r="C34" s="830" t="s">
        <v>1403</v>
      </c>
      <c r="D34" s="816"/>
      <c r="E34" s="816"/>
      <c r="F34" s="816"/>
      <c r="G34" s="816"/>
      <c r="H34" s="816"/>
      <c r="I34" s="816"/>
      <c r="J34" s="816"/>
      <c r="K34" s="817"/>
    </row>
    <row r="35" spans="1:11" ht="13.8" thickBot="1" x14ac:dyDescent="0.35">
      <c r="B35" s="824" t="s">
        <v>1139</v>
      </c>
      <c r="C35" s="825"/>
      <c r="D35" s="825"/>
      <c r="E35" s="825"/>
      <c r="F35" s="825"/>
      <c r="G35" s="825"/>
      <c r="H35" s="825"/>
      <c r="I35" s="825"/>
      <c r="J35" s="825"/>
      <c r="K35" s="826"/>
    </row>
    <row r="36" spans="1:11" ht="13.8" thickBot="1" x14ac:dyDescent="0.35">
      <c r="B36" s="360" t="s">
        <v>863</v>
      </c>
      <c r="C36" s="835" t="s">
        <v>1140</v>
      </c>
      <c r="D36" s="835"/>
      <c r="E36" s="835"/>
      <c r="F36" s="835"/>
      <c r="G36" s="835"/>
      <c r="H36" s="835"/>
      <c r="I36" s="835"/>
      <c r="J36" s="835"/>
      <c r="K36" s="836"/>
    </row>
    <row r="39" spans="1:11" ht="13.8" thickBot="1" x14ac:dyDescent="0.3">
      <c r="A39" s="390" t="s">
        <v>1095</v>
      </c>
      <c r="B39" s="390" t="s">
        <v>1405</v>
      </c>
      <c r="C39" s="289"/>
      <c r="D39" s="289"/>
      <c r="E39" s="289"/>
      <c r="F39" s="289"/>
      <c r="G39" s="289"/>
      <c r="H39" s="289"/>
      <c r="I39" s="289"/>
      <c r="J39" s="289"/>
      <c r="K39" s="289"/>
    </row>
    <row r="40" spans="1:11" ht="13.8" thickBot="1" x14ac:dyDescent="0.3">
      <c r="A40" s="289"/>
      <c r="B40" s="921" t="s">
        <v>1060</v>
      </c>
      <c r="C40" s="922"/>
      <c r="D40" s="922"/>
      <c r="E40" s="922"/>
      <c r="F40" s="922"/>
      <c r="G40" s="922"/>
      <c r="H40" s="922"/>
      <c r="I40" s="922"/>
      <c r="J40" s="922"/>
      <c r="K40" s="923"/>
    </row>
    <row r="41" spans="1:11" ht="27" customHeight="1" thickBot="1" x14ac:dyDescent="0.3">
      <c r="A41" s="289"/>
      <c r="B41" s="360" t="s">
        <v>1417</v>
      </c>
      <c r="C41" s="810" t="s">
        <v>1406</v>
      </c>
      <c r="D41" s="810"/>
      <c r="E41" s="810"/>
      <c r="F41" s="810"/>
      <c r="G41" s="810"/>
      <c r="H41" s="810"/>
      <c r="I41" s="810"/>
      <c r="J41" s="810"/>
      <c r="K41" s="811"/>
    </row>
    <row r="42" spans="1:11" ht="13.8" thickBot="1" x14ac:dyDescent="0.35">
      <c r="B42" s="929" t="s">
        <v>1109</v>
      </c>
      <c r="C42" s="930"/>
      <c r="D42" s="930"/>
      <c r="E42" s="930"/>
      <c r="F42" s="930"/>
      <c r="G42" s="930"/>
      <c r="H42" s="930"/>
      <c r="I42" s="930"/>
      <c r="J42" s="930"/>
      <c r="K42" s="931"/>
    </row>
    <row r="43" spans="1:11" x14ac:dyDescent="0.3">
      <c r="B43" s="361" t="s">
        <v>1110</v>
      </c>
      <c r="C43" s="812" t="s">
        <v>1111</v>
      </c>
      <c r="D43" s="812"/>
      <c r="E43" s="812"/>
      <c r="F43" s="812"/>
      <c r="G43" s="812"/>
      <c r="H43" s="812"/>
      <c r="I43" s="812"/>
      <c r="J43" s="812"/>
      <c r="K43" s="362" t="s">
        <v>35</v>
      </c>
    </row>
    <row r="44" spans="1:11" x14ac:dyDescent="0.3">
      <c r="B44" s="363"/>
      <c r="C44" s="804" t="s">
        <v>1206</v>
      </c>
      <c r="D44" s="805"/>
      <c r="E44" s="805"/>
      <c r="F44" s="805"/>
      <c r="G44" s="805"/>
      <c r="H44" s="805"/>
      <c r="I44" s="805"/>
      <c r="J44" s="806"/>
      <c r="K44" s="364"/>
    </row>
    <row r="45" spans="1:11" x14ac:dyDescent="0.3">
      <c r="B45" s="365" t="s">
        <v>1112</v>
      </c>
      <c r="C45" s="813" t="s">
        <v>1118</v>
      </c>
      <c r="D45" s="813"/>
      <c r="E45" s="813"/>
      <c r="F45" s="813"/>
      <c r="G45" s="813"/>
      <c r="H45" s="813"/>
      <c r="I45" s="813"/>
      <c r="J45" s="813"/>
      <c r="K45" s="366" t="s">
        <v>35</v>
      </c>
    </row>
    <row r="46" spans="1:11" x14ac:dyDescent="0.3">
      <c r="A46" s="290"/>
      <c r="B46" s="365" t="s">
        <v>1113</v>
      </c>
      <c r="C46" s="813" t="s">
        <v>1119</v>
      </c>
      <c r="D46" s="813"/>
      <c r="E46" s="813"/>
      <c r="F46" s="813"/>
      <c r="G46" s="813"/>
      <c r="H46" s="813"/>
      <c r="I46" s="813"/>
      <c r="J46" s="813"/>
      <c r="K46" s="366" t="s">
        <v>35</v>
      </c>
    </row>
    <row r="47" spans="1:11" x14ac:dyDescent="0.3">
      <c r="A47" s="290"/>
      <c r="B47" s="365" t="s">
        <v>1114</v>
      </c>
      <c r="C47" s="813" t="s">
        <v>1120</v>
      </c>
      <c r="D47" s="813"/>
      <c r="E47" s="813"/>
      <c r="F47" s="813"/>
      <c r="G47" s="813"/>
      <c r="H47" s="813"/>
      <c r="I47" s="813"/>
      <c r="J47" s="813"/>
      <c r="K47" s="366" t="s">
        <v>35</v>
      </c>
    </row>
    <row r="48" spans="1:11" x14ac:dyDescent="0.3">
      <c r="A48" s="290"/>
      <c r="B48" s="365" t="s">
        <v>1115</v>
      </c>
      <c r="C48" s="813" t="s">
        <v>1121</v>
      </c>
      <c r="D48" s="813"/>
      <c r="E48" s="813"/>
      <c r="F48" s="813"/>
      <c r="G48" s="813"/>
      <c r="H48" s="813"/>
      <c r="I48" s="813"/>
      <c r="J48" s="813"/>
      <c r="K48" s="366" t="s">
        <v>35</v>
      </c>
    </row>
    <row r="49" spans="1:11" x14ac:dyDescent="0.3">
      <c r="A49" s="290"/>
      <c r="B49" s="365" t="s">
        <v>1116</v>
      </c>
      <c r="C49" s="813" t="s">
        <v>1272</v>
      </c>
      <c r="D49" s="813"/>
      <c r="E49" s="813"/>
      <c r="F49" s="813"/>
      <c r="G49" s="813"/>
      <c r="H49" s="813"/>
      <c r="I49" s="813"/>
      <c r="J49" s="813"/>
      <c r="K49" s="366" t="s">
        <v>35</v>
      </c>
    </row>
    <row r="50" spans="1:11" ht="13.8" thickBot="1" x14ac:dyDescent="0.35">
      <c r="A50" s="290"/>
      <c r="B50" s="367" t="s">
        <v>1117</v>
      </c>
      <c r="C50" s="831" t="s">
        <v>1122</v>
      </c>
      <c r="D50" s="831"/>
      <c r="E50" s="831"/>
      <c r="F50" s="831"/>
      <c r="G50" s="831"/>
      <c r="H50" s="831"/>
      <c r="I50" s="831"/>
      <c r="J50" s="831"/>
      <c r="K50" s="368" t="s">
        <v>35</v>
      </c>
    </row>
    <row r="51" spans="1:11" ht="13.8" thickBot="1" x14ac:dyDescent="0.35">
      <c r="A51" s="290"/>
      <c r="B51" s="391"/>
      <c r="C51" s="915" t="s">
        <v>1123</v>
      </c>
      <c r="D51" s="916"/>
      <c r="E51" s="916"/>
      <c r="F51" s="916"/>
      <c r="G51" s="916"/>
      <c r="H51" s="916"/>
      <c r="I51" s="916"/>
      <c r="J51" s="917"/>
      <c r="K51" s="392" t="str">
        <f>IF(OR(K43="Yes",K45="Yes",K46="Yes",K47="Yes",K48="Yes",K49="Yes",K50="Yes"),"Yes","No")</f>
        <v>No</v>
      </c>
    </row>
    <row r="52" spans="1:11" ht="13.8" thickBot="1" x14ac:dyDescent="0.3">
      <c r="A52" s="290"/>
      <c r="B52" s="924" t="s">
        <v>1061</v>
      </c>
      <c r="C52" s="924"/>
      <c r="D52" s="924"/>
      <c r="E52" s="924"/>
      <c r="F52" s="924"/>
      <c r="G52" s="924" t="s">
        <v>1062</v>
      </c>
      <c r="H52" s="924"/>
      <c r="I52" s="924"/>
      <c r="J52" s="924"/>
      <c r="K52" s="924"/>
    </row>
    <row r="53" spans="1:11" ht="27" thickBot="1" x14ac:dyDescent="0.35">
      <c r="A53" s="290"/>
      <c r="B53" s="371" t="s">
        <v>26</v>
      </c>
      <c r="C53" s="372" t="s">
        <v>553</v>
      </c>
      <c r="D53" s="372" t="s">
        <v>19</v>
      </c>
      <c r="E53" s="372" t="s">
        <v>25</v>
      </c>
      <c r="F53" s="373" t="s">
        <v>554</v>
      </c>
      <c r="G53" s="393" t="s">
        <v>1063</v>
      </c>
      <c r="H53" s="394" t="s">
        <v>1064</v>
      </c>
      <c r="I53" s="395" t="s">
        <v>1065</v>
      </c>
      <c r="J53" s="395" t="s">
        <v>1066</v>
      </c>
      <c r="K53" s="396" t="s">
        <v>1067</v>
      </c>
    </row>
    <row r="54" spans="1:11" ht="15" thickBot="1" x14ac:dyDescent="0.4">
      <c r="A54" s="290"/>
      <c r="B54" s="518" t="s">
        <v>619</v>
      </c>
      <c r="C54" s="519" t="s">
        <v>619</v>
      </c>
      <c r="D54" s="519" t="s">
        <v>621</v>
      </c>
      <c r="E54" s="519" t="s">
        <v>619</v>
      </c>
      <c r="F54" s="520" t="s">
        <v>619</v>
      </c>
      <c r="G54" s="521" t="s">
        <v>619</v>
      </c>
      <c r="H54" s="519" t="s">
        <v>621</v>
      </c>
      <c r="I54" s="519" t="s">
        <v>621</v>
      </c>
      <c r="J54" s="519" t="s">
        <v>621</v>
      </c>
      <c r="K54" s="520" t="s">
        <v>621</v>
      </c>
    </row>
    <row r="55" spans="1:11" ht="13.8" thickBot="1" x14ac:dyDescent="0.35">
      <c r="A55" s="290"/>
      <c r="B55" s="807" t="s">
        <v>1068</v>
      </c>
      <c r="C55" s="808"/>
      <c r="D55" s="808"/>
      <c r="E55" s="808"/>
      <c r="F55" s="808"/>
      <c r="G55" s="808"/>
      <c r="H55" s="808"/>
      <c r="I55" s="808"/>
      <c r="J55" s="808"/>
      <c r="K55" s="809"/>
    </row>
    <row r="56" spans="1:11" ht="27" thickBot="1" x14ac:dyDescent="0.35">
      <c r="A56" s="290"/>
      <c r="B56" s="369" t="s">
        <v>1124</v>
      </c>
      <c r="C56" s="918" t="s">
        <v>31</v>
      </c>
      <c r="D56" s="918"/>
      <c r="E56" s="918"/>
      <c r="F56" s="918"/>
      <c r="G56" s="918"/>
      <c r="H56" s="918"/>
      <c r="I56" s="401" t="s">
        <v>1125</v>
      </c>
      <c r="J56" s="906" t="s">
        <v>1074</v>
      </c>
      <c r="K56" s="907"/>
    </row>
    <row r="57" spans="1:11" ht="28.95" customHeight="1" thickBot="1" x14ac:dyDescent="0.35">
      <c r="A57" s="290"/>
      <c r="B57" s="361" t="s">
        <v>1418</v>
      </c>
      <c r="C57" s="812" t="s">
        <v>1407</v>
      </c>
      <c r="D57" s="812"/>
      <c r="E57" s="812"/>
      <c r="F57" s="812"/>
      <c r="G57" s="812"/>
      <c r="H57" s="812"/>
      <c r="I57" s="385" t="s">
        <v>35</v>
      </c>
      <c r="J57" s="856" t="s">
        <v>863</v>
      </c>
      <c r="K57" s="857"/>
    </row>
    <row r="58" spans="1:11" ht="27" thickBot="1" x14ac:dyDescent="0.35">
      <c r="A58" s="290"/>
      <c r="B58" s="383" t="s">
        <v>1072</v>
      </c>
      <c r="C58" s="814" t="s">
        <v>1274</v>
      </c>
      <c r="D58" s="815"/>
      <c r="E58" s="383" t="s">
        <v>1070</v>
      </c>
      <c r="F58" s="402" t="s">
        <v>1134</v>
      </c>
      <c r="G58" s="816" t="s">
        <v>1131</v>
      </c>
      <c r="H58" s="817"/>
      <c r="I58" s="383" t="s">
        <v>1130</v>
      </c>
      <c r="J58" s="814" t="s">
        <v>1133</v>
      </c>
      <c r="K58" s="815"/>
    </row>
    <row r="59" spans="1:11" ht="13.8" thickBot="1" x14ac:dyDescent="0.3">
      <c r="A59" s="290"/>
      <c r="B59" s="938" t="s">
        <v>1076</v>
      </c>
      <c r="C59" s="939"/>
      <c r="D59" s="939"/>
      <c r="E59" s="939"/>
      <c r="F59" s="939"/>
      <c r="G59" s="939"/>
      <c r="H59" s="939"/>
      <c r="I59" s="939"/>
      <c r="J59" s="939"/>
      <c r="K59" s="940"/>
    </row>
    <row r="60" spans="1:11" ht="13.8" thickBot="1" x14ac:dyDescent="0.3">
      <c r="A60" s="290"/>
      <c r="B60" s="361" t="s">
        <v>1418</v>
      </c>
      <c r="C60" s="984" t="s">
        <v>1402</v>
      </c>
      <c r="D60" s="985"/>
      <c r="E60" s="985"/>
      <c r="F60" s="985"/>
      <c r="G60" s="985"/>
      <c r="H60" s="985"/>
      <c r="I60" s="985"/>
      <c r="J60" s="985"/>
      <c r="K60" s="986"/>
    </row>
    <row r="61" spans="1:11" ht="13.8" thickBot="1" x14ac:dyDescent="0.3">
      <c r="A61" s="290"/>
      <c r="B61" s="938" t="s">
        <v>1077</v>
      </c>
      <c r="C61" s="939"/>
      <c r="D61" s="939"/>
      <c r="E61" s="939"/>
      <c r="F61" s="939"/>
      <c r="G61" s="939"/>
      <c r="H61" s="939"/>
      <c r="I61" s="939"/>
      <c r="J61" s="939"/>
      <c r="K61" s="940"/>
    </row>
    <row r="62" spans="1:11" ht="42" customHeight="1" thickBot="1" x14ac:dyDescent="0.35">
      <c r="A62" s="290"/>
      <c r="B62" s="360" t="s">
        <v>1419</v>
      </c>
      <c r="C62" s="830" t="s">
        <v>1408</v>
      </c>
      <c r="D62" s="816"/>
      <c r="E62" s="816"/>
      <c r="F62" s="816"/>
      <c r="G62" s="816"/>
      <c r="H62" s="816"/>
      <c r="I62" s="816"/>
      <c r="J62" s="816"/>
      <c r="K62" s="817"/>
    </row>
    <row r="63" spans="1:11" ht="13.8" thickBot="1" x14ac:dyDescent="0.35">
      <c r="A63" s="290"/>
      <c r="B63" s="824" t="s">
        <v>1139</v>
      </c>
      <c r="C63" s="825"/>
      <c r="D63" s="825"/>
      <c r="E63" s="825"/>
      <c r="F63" s="825"/>
      <c r="G63" s="825"/>
      <c r="H63" s="825"/>
      <c r="I63" s="825"/>
      <c r="J63" s="825"/>
      <c r="K63" s="826"/>
    </row>
    <row r="64" spans="1:11" ht="13.8" thickBot="1" x14ac:dyDescent="0.35">
      <c r="A64" s="290"/>
      <c r="B64" s="360" t="s">
        <v>863</v>
      </c>
      <c r="C64" s="835" t="s">
        <v>1140</v>
      </c>
      <c r="D64" s="835"/>
      <c r="E64" s="835"/>
      <c r="F64" s="835"/>
      <c r="G64" s="835"/>
      <c r="H64" s="835"/>
      <c r="I64" s="835"/>
      <c r="J64" s="835"/>
      <c r="K64" s="836"/>
    </row>
    <row r="67" spans="1:11" ht="13.8" thickBot="1" x14ac:dyDescent="0.3">
      <c r="A67" s="390" t="s">
        <v>1098</v>
      </c>
      <c r="B67" s="390" t="s">
        <v>1409</v>
      </c>
    </row>
    <row r="68" spans="1:11" ht="13.8" thickBot="1" x14ac:dyDescent="0.3">
      <c r="A68" s="290"/>
      <c r="B68" s="921" t="s">
        <v>1060</v>
      </c>
      <c r="C68" s="922"/>
      <c r="D68" s="922"/>
      <c r="E68" s="922"/>
      <c r="F68" s="922"/>
      <c r="G68" s="922"/>
      <c r="H68" s="922"/>
      <c r="I68" s="922"/>
      <c r="J68" s="922"/>
      <c r="K68" s="923"/>
    </row>
    <row r="69" spans="1:11" ht="13.8" thickBot="1" x14ac:dyDescent="0.35">
      <c r="A69" s="290"/>
      <c r="B69" s="360" t="s">
        <v>1420</v>
      </c>
      <c r="C69" s="810" t="s">
        <v>1410</v>
      </c>
      <c r="D69" s="810"/>
      <c r="E69" s="810"/>
      <c r="F69" s="810"/>
      <c r="G69" s="810"/>
      <c r="H69" s="810"/>
      <c r="I69" s="810"/>
      <c r="J69" s="810"/>
      <c r="K69" s="811"/>
    </row>
    <row r="70" spans="1:11" ht="13.8" thickBot="1" x14ac:dyDescent="0.35">
      <c r="A70" s="290"/>
      <c r="B70" s="929" t="s">
        <v>1109</v>
      </c>
      <c r="C70" s="930"/>
      <c r="D70" s="930"/>
      <c r="E70" s="930"/>
      <c r="F70" s="930"/>
      <c r="G70" s="930"/>
      <c r="H70" s="930"/>
      <c r="I70" s="930"/>
      <c r="J70" s="930"/>
      <c r="K70" s="931"/>
    </row>
    <row r="71" spans="1:11" x14ac:dyDescent="0.3">
      <c r="A71" s="290"/>
      <c r="B71" s="361" t="s">
        <v>1110</v>
      </c>
      <c r="C71" s="812" t="s">
        <v>1111</v>
      </c>
      <c r="D71" s="812"/>
      <c r="E71" s="812"/>
      <c r="F71" s="812"/>
      <c r="G71" s="812"/>
      <c r="H71" s="812"/>
      <c r="I71" s="812"/>
      <c r="J71" s="812"/>
      <c r="K71" s="362" t="s">
        <v>35</v>
      </c>
    </row>
    <row r="72" spans="1:11" x14ac:dyDescent="0.3">
      <c r="A72" s="290"/>
      <c r="B72" s="363"/>
      <c r="C72" s="804" t="s">
        <v>1206</v>
      </c>
      <c r="D72" s="805"/>
      <c r="E72" s="805"/>
      <c r="F72" s="805"/>
      <c r="G72" s="805"/>
      <c r="H72" s="805"/>
      <c r="I72" s="805"/>
      <c r="J72" s="806"/>
      <c r="K72" s="364"/>
    </row>
    <row r="73" spans="1:11" x14ac:dyDescent="0.3">
      <c r="A73" s="290"/>
      <c r="B73" s="365" t="s">
        <v>1112</v>
      </c>
      <c r="C73" s="813" t="s">
        <v>1118</v>
      </c>
      <c r="D73" s="813"/>
      <c r="E73" s="813"/>
      <c r="F73" s="813"/>
      <c r="G73" s="813"/>
      <c r="H73" s="813"/>
      <c r="I73" s="813"/>
      <c r="J73" s="813"/>
      <c r="K73" s="366" t="s">
        <v>35</v>
      </c>
    </row>
    <row r="74" spans="1:11" x14ac:dyDescent="0.3">
      <c r="A74" s="290"/>
      <c r="B74" s="365" t="s">
        <v>1113</v>
      </c>
      <c r="C74" s="813" t="s">
        <v>1119</v>
      </c>
      <c r="D74" s="813"/>
      <c r="E74" s="813"/>
      <c r="F74" s="813"/>
      <c r="G74" s="813"/>
      <c r="H74" s="813"/>
      <c r="I74" s="813"/>
      <c r="J74" s="813"/>
      <c r="K74" s="366" t="s">
        <v>35</v>
      </c>
    </row>
    <row r="75" spans="1:11" x14ac:dyDescent="0.3">
      <c r="A75" s="290"/>
      <c r="B75" s="365" t="s">
        <v>1114</v>
      </c>
      <c r="C75" s="813" t="s">
        <v>1120</v>
      </c>
      <c r="D75" s="813"/>
      <c r="E75" s="813"/>
      <c r="F75" s="813"/>
      <c r="G75" s="813"/>
      <c r="H75" s="813"/>
      <c r="I75" s="813"/>
      <c r="J75" s="813"/>
      <c r="K75" s="366" t="s">
        <v>35</v>
      </c>
    </row>
    <row r="76" spans="1:11" x14ac:dyDescent="0.3">
      <c r="A76" s="290"/>
      <c r="B76" s="365" t="s">
        <v>1115</v>
      </c>
      <c r="C76" s="813" t="s">
        <v>1121</v>
      </c>
      <c r="D76" s="813"/>
      <c r="E76" s="813"/>
      <c r="F76" s="813"/>
      <c r="G76" s="813"/>
      <c r="H76" s="813"/>
      <c r="I76" s="813"/>
      <c r="J76" s="813"/>
      <c r="K76" s="366" t="s">
        <v>35</v>
      </c>
    </row>
    <row r="77" spans="1:11" x14ac:dyDescent="0.3">
      <c r="A77" s="290"/>
      <c r="B77" s="365" t="s">
        <v>1116</v>
      </c>
      <c r="C77" s="813" t="s">
        <v>1272</v>
      </c>
      <c r="D77" s="813"/>
      <c r="E77" s="813"/>
      <c r="F77" s="813"/>
      <c r="G77" s="813"/>
      <c r="H77" s="813"/>
      <c r="I77" s="813"/>
      <c r="J77" s="813"/>
      <c r="K77" s="366" t="s">
        <v>35</v>
      </c>
    </row>
    <row r="78" spans="1:11" ht="13.8" thickBot="1" x14ac:dyDescent="0.35">
      <c r="A78" s="290"/>
      <c r="B78" s="367" t="s">
        <v>1117</v>
      </c>
      <c r="C78" s="831" t="s">
        <v>1122</v>
      </c>
      <c r="D78" s="831"/>
      <c r="E78" s="831"/>
      <c r="F78" s="831"/>
      <c r="G78" s="831"/>
      <c r="H78" s="831"/>
      <c r="I78" s="831"/>
      <c r="J78" s="831"/>
      <c r="K78" s="368" t="s">
        <v>35</v>
      </c>
    </row>
    <row r="79" spans="1:11" ht="13.8" thickBot="1" x14ac:dyDescent="0.35">
      <c r="A79" s="290"/>
      <c r="B79" s="391"/>
      <c r="C79" s="915" t="s">
        <v>1123</v>
      </c>
      <c r="D79" s="916"/>
      <c r="E79" s="916"/>
      <c r="F79" s="916"/>
      <c r="G79" s="916"/>
      <c r="H79" s="916"/>
      <c r="I79" s="916"/>
      <c r="J79" s="917"/>
      <c r="K79" s="392" t="str">
        <f>IF(OR(K71="Yes",K73="Yes",K74="Yes",K75="Yes",K76="Yes",K77="Yes",K78="Yes"),"Yes","No")</f>
        <v>No</v>
      </c>
    </row>
    <row r="80" spans="1:11" ht="13.8" thickBot="1" x14ac:dyDescent="0.3">
      <c r="A80" s="290"/>
      <c r="B80" s="924" t="s">
        <v>1061</v>
      </c>
      <c r="C80" s="924"/>
      <c r="D80" s="924"/>
      <c r="E80" s="924"/>
      <c r="F80" s="924"/>
      <c r="G80" s="924" t="s">
        <v>1062</v>
      </c>
      <c r="H80" s="924"/>
      <c r="I80" s="924"/>
      <c r="J80" s="924"/>
      <c r="K80" s="924"/>
    </row>
    <row r="81" spans="1:11" ht="27" thickBot="1" x14ac:dyDescent="0.35">
      <c r="A81" s="290"/>
      <c r="B81" s="371" t="s">
        <v>26</v>
      </c>
      <c r="C81" s="372" t="s">
        <v>553</v>
      </c>
      <c r="D81" s="372" t="s">
        <v>19</v>
      </c>
      <c r="E81" s="372" t="s">
        <v>25</v>
      </c>
      <c r="F81" s="373" t="s">
        <v>1812</v>
      </c>
      <c r="G81" s="393" t="s">
        <v>1063</v>
      </c>
      <c r="H81" s="394" t="s">
        <v>1064</v>
      </c>
      <c r="I81" s="395" t="s">
        <v>1065</v>
      </c>
      <c r="J81" s="395" t="s">
        <v>1066</v>
      </c>
      <c r="K81" s="396" t="s">
        <v>1067</v>
      </c>
    </row>
    <row r="82" spans="1:11" ht="15" thickBot="1" x14ac:dyDescent="0.4">
      <c r="A82" s="290"/>
      <c r="B82" s="518" t="s">
        <v>621</v>
      </c>
      <c r="C82" s="519" t="s">
        <v>621</v>
      </c>
      <c r="D82" s="519" t="s">
        <v>621</v>
      </c>
      <c r="E82" s="519" t="s">
        <v>619</v>
      </c>
      <c r="F82" s="520" t="s">
        <v>619</v>
      </c>
      <c r="G82" s="521" t="s">
        <v>619</v>
      </c>
      <c r="H82" s="519" t="s">
        <v>621</v>
      </c>
      <c r="I82" s="519" t="s">
        <v>621</v>
      </c>
      <c r="J82" s="519" t="s">
        <v>621</v>
      </c>
      <c r="K82" s="520" t="s">
        <v>621</v>
      </c>
    </row>
    <row r="83" spans="1:11" ht="13.8" thickBot="1" x14ac:dyDescent="0.35">
      <c r="A83" s="290"/>
      <c r="B83" s="807" t="s">
        <v>1068</v>
      </c>
      <c r="C83" s="808"/>
      <c r="D83" s="808"/>
      <c r="E83" s="808"/>
      <c r="F83" s="808"/>
      <c r="G83" s="808"/>
      <c r="H83" s="808"/>
      <c r="I83" s="808"/>
      <c r="J83" s="808"/>
      <c r="K83" s="809"/>
    </row>
    <row r="84" spans="1:11" ht="27" thickBot="1" x14ac:dyDescent="0.35">
      <c r="A84" s="290"/>
      <c r="B84" s="369" t="s">
        <v>1124</v>
      </c>
      <c r="C84" s="918" t="s">
        <v>31</v>
      </c>
      <c r="D84" s="918"/>
      <c r="E84" s="918"/>
      <c r="F84" s="918"/>
      <c r="G84" s="918"/>
      <c r="H84" s="918"/>
      <c r="I84" s="401" t="s">
        <v>1125</v>
      </c>
      <c r="J84" s="906" t="s">
        <v>1074</v>
      </c>
      <c r="K84" s="907"/>
    </row>
    <row r="85" spans="1:11" ht="13.8" thickBot="1" x14ac:dyDescent="0.35">
      <c r="A85" s="290"/>
      <c r="B85" s="361" t="s">
        <v>863</v>
      </c>
      <c r="C85" s="812" t="s">
        <v>863</v>
      </c>
      <c r="D85" s="812"/>
      <c r="E85" s="812"/>
      <c r="F85" s="812"/>
      <c r="G85" s="812"/>
      <c r="H85" s="812"/>
      <c r="I85" s="385" t="s">
        <v>863</v>
      </c>
      <c r="J85" s="863" t="s">
        <v>863</v>
      </c>
      <c r="K85" s="865"/>
    </row>
    <row r="86" spans="1:11" ht="27" customHeight="1" thickBot="1" x14ac:dyDescent="0.35">
      <c r="A86" s="290"/>
      <c r="B86" s="383" t="s">
        <v>1072</v>
      </c>
      <c r="C86" s="814" t="s">
        <v>1274</v>
      </c>
      <c r="D86" s="815"/>
      <c r="E86" s="383" t="s">
        <v>1070</v>
      </c>
      <c r="F86" s="402" t="s">
        <v>1137</v>
      </c>
      <c r="G86" s="816" t="s">
        <v>1267</v>
      </c>
      <c r="H86" s="817"/>
      <c r="I86" s="383" t="s">
        <v>1130</v>
      </c>
      <c r="J86" s="814" t="s">
        <v>1133</v>
      </c>
      <c r="K86" s="815"/>
    </row>
    <row r="87" spans="1:11" ht="13.8" thickBot="1" x14ac:dyDescent="0.3">
      <c r="A87" s="290"/>
      <c r="B87" s="938" t="s">
        <v>1076</v>
      </c>
      <c r="C87" s="939"/>
      <c r="D87" s="939"/>
      <c r="E87" s="939"/>
      <c r="F87" s="939"/>
      <c r="G87" s="939"/>
      <c r="H87" s="939"/>
      <c r="I87" s="939"/>
      <c r="J87" s="939"/>
      <c r="K87" s="940"/>
    </row>
    <row r="88" spans="1:11" ht="13.8" thickBot="1" x14ac:dyDescent="0.35">
      <c r="A88" s="290"/>
      <c r="B88" s="360" t="s">
        <v>863</v>
      </c>
      <c r="C88" s="830" t="s">
        <v>863</v>
      </c>
      <c r="D88" s="816"/>
      <c r="E88" s="816"/>
      <c r="F88" s="816"/>
      <c r="G88" s="816"/>
      <c r="H88" s="816"/>
      <c r="I88" s="816"/>
      <c r="J88" s="816"/>
      <c r="K88" s="817"/>
    </row>
    <row r="89" spans="1:11" ht="13.8" thickBot="1" x14ac:dyDescent="0.3">
      <c r="A89" s="290"/>
      <c r="B89" s="938" t="s">
        <v>1077</v>
      </c>
      <c r="C89" s="939"/>
      <c r="D89" s="939"/>
      <c r="E89" s="939"/>
      <c r="F89" s="939"/>
      <c r="G89" s="939"/>
      <c r="H89" s="939"/>
      <c r="I89" s="939"/>
      <c r="J89" s="939"/>
      <c r="K89" s="940"/>
    </row>
    <row r="90" spans="1:11" ht="32.25" customHeight="1" thickBot="1" x14ac:dyDescent="0.35">
      <c r="A90" s="290"/>
      <c r="B90" s="360" t="s">
        <v>1421</v>
      </c>
      <c r="C90" s="830" t="s">
        <v>1411</v>
      </c>
      <c r="D90" s="816"/>
      <c r="E90" s="816"/>
      <c r="F90" s="816"/>
      <c r="G90" s="816"/>
      <c r="H90" s="816"/>
      <c r="I90" s="816"/>
      <c r="J90" s="816"/>
      <c r="K90" s="817"/>
    </row>
    <row r="91" spans="1:11" ht="32.25" customHeight="1" thickBot="1" x14ac:dyDescent="0.35">
      <c r="A91" s="290"/>
      <c r="B91" s="360" t="s">
        <v>1422</v>
      </c>
      <c r="C91" s="830" t="s">
        <v>1412</v>
      </c>
      <c r="D91" s="816"/>
      <c r="E91" s="816"/>
      <c r="F91" s="816"/>
      <c r="G91" s="816"/>
      <c r="H91" s="816"/>
      <c r="I91" s="816"/>
      <c r="J91" s="816"/>
      <c r="K91" s="817"/>
    </row>
    <row r="92" spans="1:11" ht="13.8" thickBot="1" x14ac:dyDescent="0.35">
      <c r="A92" s="290"/>
      <c r="B92" s="824" t="s">
        <v>1139</v>
      </c>
      <c r="C92" s="825"/>
      <c r="D92" s="825"/>
      <c r="E92" s="825"/>
      <c r="F92" s="825"/>
      <c r="G92" s="825"/>
      <c r="H92" s="825"/>
      <c r="I92" s="825"/>
      <c r="J92" s="825"/>
      <c r="K92" s="826"/>
    </row>
    <row r="93" spans="1:11" ht="13.8" thickBot="1" x14ac:dyDescent="0.35">
      <c r="A93" s="290"/>
      <c r="B93" s="360" t="s">
        <v>863</v>
      </c>
      <c r="C93" s="835" t="s">
        <v>1140</v>
      </c>
      <c r="D93" s="835"/>
      <c r="E93" s="835"/>
      <c r="F93" s="835"/>
      <c r="G93" s="835"/>
      <c r="H93" s="835"/>
      <c r="I93" s="835"/>
      <c r="J93" s="835"/>
      <c r="K93" s="836"/>
    </row>
  </sheetData>
  <autoFilter ref="A4:K93" xr:uid="{DF0EC2D1-A470-40F5-A8A4-5FC085547988}"/>
  <mergeCells count="89">
    <mergeCell ref="B13:K13"/>
    <mergeCell ref="B5:D5"/>
    <mergeCell ref="B6:D6"/>
    <mergeCell ref="B7:D7"/>
    <mergeCell ref="B11:K11"/>
    <mergeCell ref="C12:K12"/>
    <mergeCell ref="B26:K26"/>
    <mergeCell ref="C14:J14"/>
    <mergeCell ref="C15:J15"/>
    <mergeCell ref="C16:J16"/>
    <mergeCell ref="C17:J17"/>
    <mergeCell ref="C18:J18"/>
    <mergeCell ref="C19:J19"/>
    <mergeCell ref="C20:J20"/>
    <mergeCell ref="C21:J21"/>
    <mergeCell ref="C22:J22"/>
    <mergeCell ref="B23:F23"/>
    <mergeCell ref="G23:K23"/>
    <mergeCell ref="C36:K36"/>
    <mergeCell ref="C27:H27"/>
    <mergeCell ref="J27:K27"/>
    <mergeCell ref="C28:H28"/>
    <mergeCell ref="J28:K28"/>
    <mergeCell ref="C29:D29"/>
    <mergeCell ref="G29:H29"/>
    <mergeCell ref="J29:K29"/>
    <mergeCell ref="B30:K30"/>
    <mergeCell ref="C31:K31"/>
    <mergeCell ref="B32:K32"/>
    <mergeCell ref="C33:K33"/>
    <mergeCell ref="B35:K35"/>
    <mergeCell ref="C49:J49"/>
    <mergeCell ref="B40:K40"/>
    <mergeCell ref="C41:K41"/>
    <mergeCell ref="B42:K42"/>
    <mergeCell ref="C43:J43"/>
    <mergeCell ref="C44:J44"/>
    <mergeCell ref="C45:J45"/>
    <mergeCell ref="C46:J46"/>
    <mergeCell ref="C47:J47"/>
    <mergeCell ref="C48:J48"/>
    <mergeCell ref="B59:K59"/>
    <mergeCell ref="C50:J50"/>
    <mergeCell ref="C51:J51"/>
    <mergeCell ref="B52:F52"/>
    <mergeCell ref="G52:K52"/>
    <mergeCell ref="B55:K55"/>
    <mergeCell ref="C56:H56"/>
    <mergeCell ref="J56:K56"/>
    <mergeCell ref="C57:H57"/>
    <mergeCell ref="J57:K57"/>
    <mergeCell ref="C58:D58"/>
    <mergeCell ref="G58:H58"/>
    <mergeCell ref="J58:K58"/>
    <mergeCell ref="C74:J74"/>
    <mergeCell ref="C60:K60"/>
    <mergeCell ref="B61:K61"/>
    <mergeCell ref="C62:K62"/>
    <mergeCell ref="C64:K64"/>
    <mergeCell ref="B68:K68"/>
    <mergeCell ref="C69:K69"/>
    <mergeCell ref="B70:K70"/>
    <mergeCell ref="C71:J71"/>
    <mergeCell ref="C72:J72"/>
    <mergeCell ref="C73:J73"/>
    <mergeCell ref="J85:K85"/>
    <mergeCell ref="C75:J75"/>
    <mergeCell ref="C76:J76"/>
    <mergeCell ref="C77:J77"/>
    <mergeCell ref="C78:J78"/>
    <mergeCell ref="C79:J79"/>
    <mergeCell ref="B80:F80"/>
    <mergeCell ref="G80:K80"/>
    <mergeCell ref="C90:K90"/>
    <mergeCell ref="C91:K91"/>
    <mergeCell ref="C93:K93"/>
    <mergeCell ref="C34:K34"/>
    <mergeCell ref="B63:K63"/>
    <mergeCell ref="B92:K92"/>
    <mergeCell ref="C86:D86"/>
    <mergeCell ref="G86:H86"/>
    <mergeCell ref="J86:K86"/>
    <mergeCell ref="B87:K87"/>
    <mergeCell ref="C88:K88"/>
    <mergeCell ref="B89:K89"/>
    <mergeCell ref="B83:K83"/>
    <mergeCell ref="C84:H84"/>
    <mergeCell ref="J84:K84"/>
    <mergeCell ref="C85:H85"/>
  </mergeCells>
  <dataValidations count="1">
    <dataValidation type="list" allowBlank="1" showInputMessage="1" showErrorMessage="1" sqref="F29 F58 J58:K58 J86:K86 J29:K29 F86" xr:uid="{8C7FE86C-90C8-4E3A-A62F-721BE3471D29}">
      <formula1>#REF!</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2B22F-96EB-438A-BCB5-B61448308359}">
  <dimension ref="A2:S188"/>
  <sheetViews>
    <sheetView topLeftCell="A34" zoomScaleNormal="100" workbookViewId="0">
      <selection activeCell="B36" sqref="B36:K36"/>
    </sheetView>
  </sheetViews>
  <sheetFormatPr defaultColWidth="15.6640625" defaultRowHeight="13.2" x14ac:dyDescent="0.3"/>
  <cols>
    <col min="1" max="1" width="4.6640625" style="290" customWidth="1"/>
    <col min="2" max="8" width="15.6640625" style="290"/>
    <col min="9" max="9" width="16.88671875" style="290" customWidth="1"/>
    <col min="10" max="16384" width="15.6640625" style="290"/>
  </cols>
  <sheetData>
    <row r="2" spans="1:12" x14ac:dyDescent="0.3">
      <c r="B2" s="353" t="s">
        <v>1270</v>
      </c>
      <c r="L2" s="416"/>
    </row>
    <row r="3" spans="1:12" x14ac:dyDescent="0.3">
      <c r="B3" s="353" t="s">
        <v>1796</v>
      </c>
    </row>
    <row r="4" spans="1:12" ht="13.8" thickBot="1" x14ac:dyDescent="0.35"/>
    <row r="5" spans="1:12" ht="13.8" thickBot="1" x14ac:dyDescent="0.35">
      <c r="B5" s="837" t="s">
        <v>23</v>
      </c>
      <c r="C5" s="838"/>
      <c r="D5" s="839"/>
      <c r="E5" s="354"/>
      <c r="F5" s="355" t="s">
        <v>527</v>
      </c>
    </row>
    <row r="6" spans="1:12" ht="13.8" thickBot="1" x14ac:dyDescent="0.35">
      <c r="B6" s="840" t="s">
        <v>860</v>
      </c>
      <c r="C6" s="841"/>
      <c r="D6" s="841"/>
      <c r="E6" s="356"/>
      <c r="F6" s="355" t="s">
        <v>615</v>
      </c>
    </row>
    <row r="7" spans="1:12" ht="13.8" thickBot="1" x14ac:dyDescent="0.35">
      <c r="B7" s="1009" t="s">
        <v>1075</v>
      </c>
      <c r="C7" s="1010"/>
      <c r="D7" s="1010"/>
      <c r="E7" s="356"/>
      <c r="F7" s="357">
        <v>5175000</v>
      </c>
    </row>
    <row r="9" spans="1:12" x14ac:dyDescent="0.3">
      <c r="B9" s="353" t="s">
        <v>508</v>
      </c>
    </row>
    <row r="10" spans="1:12" ht="13.8" thickBot="1" x14ac:dyDescent="0.35">
      <c r="A10" s="358" t="s">
        <v>1088</v>
      </c>
      <c r="B10" s="359" t="s">
        <v>523</v>
      </c>
    </row>
    <row r="11" spans="1:12" ht="13.8" thickBot="1" x14ac:dyDescent="0.35">
      <c r="B11" s="807" t="s">
        <v>1060</v>
      </c>
      <c r="C11" s="808"/>
      <c r="D11" s="808"/>
      <c r="E11" s="808"/>
      <c r="F11" s="808"/>
      <c r="G11" s="808"/>
      <c r="H11" s="808"/>
      <c r="I11" s="808"/>
      <c r="J11" s="808"/>
      <c r="K11" s="809"/>
    </row>
    <row r="12" spans="1:12" ht="13.8" thickBot="1" x14ac:dyDescent="0.35">
      <c r="B12" s="360" t="s">
        <v>580</v>
      </c>
      <c r="C12" s="810" t="s">
        <v>1106</v>
      </c>
      <c r="D12" s="810"/>
      <c r="E12" s="810"/>
      <c r="F12" s="810"/>
      <c r="G12" s="810"/>
      <c r="H12" s="810"/>
      <c r="I12" s="810"/>
      <c r="J12" s="810"/>
      <c r="K12" s="811"/>
    </row>
    <row r="13" spans="1:12" ht="13.8" thickBot="1" x14ac:dyDescent="0.35">
      <c r="B13" s="807" t="s">
        <v>1109</v>
      </c>
      <c r="C13" s="808"/>
      <c r="D13" s="808"/>
      <c r="E13" s="808"/>
      <c r="F13" s="808"/>
      <c r="G13" s="808"/>
      <c r="H13" s="808"/>
      <c r="I13" s="808"/>
      <c r="J13" s="808"/>
      <c r="K13" s="809"/>
    </row>
    <row r="14" spans="1:12" x14ac:dyDescent="0.3">
      <c r="B14" s="449" t="s">
        <v>1110</v>
      </c>
      <c r="C14" s="992" t="s">
        <v>1111</v>
      </c>
      <c r="D14" s="992"/>
      <c r="E14" s="992"/>
      <c r="F14" s="992"/>
      <c r="G14" s="992"/>
      <c r="H14" s="992"/>
      <c r="I14" s="992"/>
      <c r="J14" s="992"/>
      <c r="K14" s="450" t="s">
        <v>35</v>
      </c>
    </row>
    <row r="15" spans="1:12" x14ac:dyDescent="0.3">
      <c r="A15" s="352"/>
      <c r="B15" s="363"/>
      <c r="C15" s="804" t="s">
        <v>1206</v>
      </c>
      <c r="D15" s="805"/>
      <c r="E15" s="805"/>
      <c r="F15" s="805"/>
      <c r="G15" s="805"/>
      <c r="H15" s="805"/>
      <c r="I15" s="805"/>
      <c r="J15" s="806"/>
      <c r="K15" s="364"/>
    </row>
    <row r="16" spans="1:12" x14ac:dyDescent="0.3">
      <c r="B16" s="451" t="s">
        <v>1112</v>
      </c>
      <c r="C16" s="991" t="s">
        <v>1118</v>
      </c>
      <c r="D16" s="991"/>
      <c r="E16" s="991"/>
      <c r="F16" s="991"/>
      <c r="G16" s="991"/>
      <c r="H16" s="991"/>
      <c r="I16" s="991"/>
      <c r="J16" s="991"/>
      <c r="K16" s="452" t="s">
        <v>35</v>
      </c>
    </row>
    <row r="17" spans="2:11" x14ac:dyDescent="0.3">
      <c r="B17" s="451" t="s">
        <v>1113</v>
      </c>
      <c r="C17" s="991" t="s">
        <v>1119</v>
      </c>
      <c r="D17" s="991"/>
      <c r="E17" s="991"/>
      <c r="F17" s="991"/>
      <c r="G17" s="991"/>
      <c r="H17" s="991"/>
      <c r="I17" s="991"/>
      <c r="J17" s="991"/>
      <c r="K17" s="452" t="s">
        <v>35</v>
      </c>
    </row>
    <row r="18" spans="2:11" x14ac:dyDescent="0.3">
      <c r="B18" s="451" t="s">
        <v>1114</v>
      </c>
      <c r="C18" s="991" t="s">
        <v>1120</v>
      </c>
      <c r="D18" s="991"/>
      <c r="E18" s="991"/>
      <c r="F18" s="991"/>
      <c r="G18" s="991"/>
      <c r="H18" s="991"/>
      <c r="I18" s="991"/>
      <c r="J18" s="991"/>
      <c r="K18" s="452" t="s">
        <v>35</v>
      </c>
    </row>
    <row r="19" spans="2:11" ht="27" customHeight="1" x14ac:dyDescent="0.3">
      <c r="B19" s="451" t="s">
        <v>1115</v>
      </c>
      <c r="C19" s="991" t="s">
        <v>1121</v>
      </c>
      <c r="D19" s="991"/>
      <c r="E19" s="991"/>
      <c r="F19" s="991"/>
      <c r="G19" s="991"/>
      <c r="H19" s="991"/>
      <c r="I19" s="991"/>
      <c r="J19" s="991"/>
      <c r="K19" s="452" t="s">
        <v>35</v>
      </c>
    </row>
    <row r="20" spans="2:11" x14ac:dyDescent="0.3">
      <c r="B20" s="451" t="s">
        <v>1116</v>
      </c>
      <c r="C20" s="991" t="s">
        <v>1272</v>
      </c>
      <c r="D20" s="991"/>
      <c r="E20" s="991"/>
      <c r="F20" s="991"/>
      <c r="G20" s="991"/>
      <c r="H20" s="991"/>
      <c r="I20" s="991"/>
      <c r="J20" s="991"/>
      <c r="K20" s="452" t="s">
        <v>35</v>
      </c>
    </row>
    <row r="21" spans="2:11" ht="13.8" thickBot="1" x14ac:dyDescent="0.35">
      <c r="B21" s="453" t="s">
        <v>1117</v>
      </c>
      <c r="C21" s="990" t="s">
        <v>1122</v>
      </c>
      <c r="D21" s="990"/>
      <c r="E21" s="990"/>
      <c r="F21" s="990"/>
      <c r="G21" s="990"/>
      <c r="H21" s="990"/>
      <c r="I21" s="990"/>
      <c r="J21" s="990"/>
      <c r="K21" s="454" t="s">
        <v>35</v>
      </c>
    </row>
    <row r="22" spans="2:11" ht="13.8" thickBot="1" x14ac:dyDescent="0.35">
      <c r="B22" s="417"/>
      <c r="C22" s="833" t="s">
        <v>1123</v>
      </c>
      <c r="D22" s="833"/>
      <c r="E22" s="833"/>
      <c r="F22" s="833"/>
      <c r="G22" s="833"/>
      <c r="H22" s="833"/>
      <c r="I22" s="833"/>
      <c r="J22" s="833"/>
      <c r="K22" s="370" t="str">
        <f>IF(OR(K14="Yes",K16="Yes",K17="Yes",K18="Yes",K19="Yes",K20="Yes",K21="Yes"),"Yes","No")</f>
        <v>No</v>
      </c>
    </row>
    <row r="23" spans="2:11" ht="13.8" thickBot="1" x14ac:dyDescent="0.35">
      <c r="B23" s="834" t="s">
        <v>1061</v>
      </c>
      <c r="C23" s="834"/>
      <c r="D23" s="834"/>
      <c r="E23" s="834"/>
      <c r="F23" s="834"/>
      <c r="G23" s="834" t="s">
        <v>1062</v>
      </c>
      <c r="H23" s="834"/>
      <c r="I23" s="834"/>
      <c r="J23" s="834"/>
      <c r="K23" s="834"/>
    </row>
    <row r="24" spans="2:11" ht="27" thickBot="1" x14ac:dyDescent="0.35">
      <c r="B24" s="371" t="s">
        <v>26</v>
      </c>
      <c r="C24" s="372" t="s">
        <v>553</v>
      </c>
      <c r="D24" s="372" t="s">
        <v>19</v>
      </c>
      <c r="E24" s="372" t="s">
        <v>25</v>
      </c>
      <c r="F24" s="373" t="s">
        <v>554</v>
      </c>
      <c r="G24" s="374" t="s">
        <v>1063</v>
      </c>
      <c r="H24" s="372" t="s">
        <v>1064</v>
      </c>
      <c r="I24" s="375" t="s">
        <v>1065</v>
      </c>
      <c r="J24" s="372" t="s">
        <v>1107</v>
      </c>
      <c r="K24" s="376" t="s">
        <v>1067</v>
      </c>
    </row>
    <row r="25" spans="2:11" ht="13.8" thickBot="1" x14ac:dyDescent="0.35">
      <c r="B25" s="433" t="s">
        <v>619</v>
      </c>
      <c r="C25" s="434" t="s">
        <v>619</v>
      </c>
      <c r="D25" s="434" t="s">
        <v>619</v>
      </c>
      <c r="E25" s="434" t="s">
        <v>621</v>
      </c>
      <c r="F25" s="435" t="s">
        <v>621</v>
      </c>
      <c r="G25" s="436" t="s">
        <v>619</v>
      </c>
      <c r="H25" s="434" t="s">
        <v>621</v>
      </c>
      <c r="I25" s="434" t="s">
        <v>621</v>
      </c>
      <c r="J25" s="434" t="s">
        <v>619</v>
      </c>
      <c r="K25" s="435" t="s">
        <v>621</v>
      </c>
    </row>
    <row r="26" spans="2:11" ht="13.8" thickBot="1" x14ac:dyDescent="0.35">
      <c r="B26" s="807" t="s">
        <v>1068</v>
      </c>
      <c r="C26" s="808"/>
      <c r="D26" s="808"/>
      <c r="E26" s="808"/>
      <c r="F26" s="808"/>
      <c r="G26" s="808"/>
      <c r="H26" s="808"/>
      <c r="I26" s="808"/>
      <c r="J26" s="808"/>
      <c r="K26" s="809"/>
    </row>
    <row r="27" spans="2:11" ht="27" thickBot="1" x14ac:dyDescent="0.35">
      <c r="B27" s="437" t="s">
        <v>1124</v>
      </c>
      <c r="C27" s="1006" t="s">
        <v>31</v>
      </c>
      <c r="D27" s="1006"/>
      <c r="E27" s="1006"/>
      <c r="F27" s="1006"/>
      <c r="G27" s="1006"/>
      <c r="H27" s="1006"/>
      <c r="I27" s="480" t="s">
        <v>1125</v>
      </c>
      <c r="J27" s="1007" t="s">
        <v>1074</v>
      </c>
      <c r="K27" s="1008"/>
    </row>
    <row r="28" spans="2:11" ht="27" customHeight="1" x14ac:dyDescent="0.3">
      <c r="B28" s="361" t="s">
        <v>639</v>
      </c>
      <c r="C28" s="812" t="s">
        <v>1126</v>
      </c>
      <c r="D28" s="812"/>
      <c r="E28" s="812"/>
      <c r="F28" s="812"/>
      <c r="G28" s="812"/>
      <c r="H28" s="812"/>
      <c r="I28" s="483" t="s">
        <v>37</v>
      </c>
      <c r="J28" s="995" t="s">
        <v>1835</v>
      </c>
      <c r="K28" s="996"/>
    </row>
    <row r="29" spans="2:11" ht="27" customHeight="1" x14ac:dyDescent="0.3">
      <c r="B29" s="365" t="s">
        <v>908</v>
      </c>
      <c r="C29" s="813" t="s">
        <v>1127</v>
      </c>
      <c r="D29" s="813"/>
      <c r="E29" s="813"/>
      <c r="F29" s="813"/>
      <c r="G29" s="813"/>
      <c r="H29" s="813"/>
      <c r="I29" s="482" t="s">
        <v>35</v>
      </c>
      <c r="J29" s="1004" t="s">
        <v>863</v>
      </c>
      <c r="K29" s="1005"/>
    </row>
    <row r="30" spans="2:11" ht="27" customHeight="1" x14ac:dyDescent="0.3">
      <c r="B30" s="365" t="s">
        <v>1128</v>
      </c>
      <c r="C30" s="813" t="s">
        <v>1129</v>
      </c>
      <c r="D30" s="813"/>
      <c r="E30" s="813"/>
      <c r="F30" s="813"/>
      <c r="G30" s="813"/>
      <c r="H30" s="813"/>
      <c r="I30" s="482" t="s">
        <v>35</v>
      </c>
      <c r="J30" s="1004" t="s">
        <v>863</v>
      </c>
      <c r="K30" s="1005"/>
    </row>
    <row r="31" spans="2:11" ht="27" customHeight="1" thickBot="1" x14ac:dyDescent="0.35">
      <c r="B31" s="367" t="s">
        <v>629</v>
      </c>
      <c r="C31" s="831" t="s">
        <v>665</v>
      </c>
      <c r="D31" s="831"/>
      <c r="E31" s="831"/>
      <c r="F31" s="831"/>
      <c r="G31" s="831"/>
      <c r="H31" s="831"/>
      <c r="I31" s="424" t="s">
        <v>37</v>
      </c>
      <c r="J31" s="949" t="s">
        <v>1835</v>
      </c>
      <c r="K31" s="950"/>
    </row>
    <row r="32" spans="2:11" ht="27" thickBot="1" x14ac:dyDescent="0.35">
      <c r="B32" s="439" t="s">
        <v>1072</v>
      </c>
      <c r="C32" s="870" t="s">
        <v>1108</v>
      </c>
      <c r="D32" s="871"/>
      <c r="E32" s="439" t="s">
        <v>1070</v>
      </c>
      <c r="F32" s="481" t="s">
        <v>1136</v>
      </c>
      <c r="G32" s="887" t="s">
        <v>1131</v>
      </c>
      <c r="H32" s="888"/>
      <c r="I32" s="439" t="s">
        <v>1130</v>
      </c>
      <c r="J32" s="870" t="s">
        <v>1133</v>
      </c>
      <c r="K32" s="871"/>
    </row>
    <row r="33" spans="1:11" ht="13.8" thickBot="1" x14ac:dyDescent="0.35">
      <c r="B33" s="850" t="s">
        <v>1076</v>
      </c>
      <c r="C33" s="851"/>
      <c r="D33" s="851"/>
      <c r="E33" s="851"/>
      <c r="F33" s="851"/>
      <c r="G33" s="851"/>
      <c r="H33" s="851"/>
      <c r="I33" s="851"/>
      <c r="J33" s="851"/>
      <c r="K33" s="852"/>
    </row>
    <row r="34" spans="1:11" ht="29.4" customHeight="1" thickBot="1" x14ac:dyDescent="0.35">
      <c r="B34" s="361" t="s">
        <v>639</v>
      </c>
      <c r="C34" s="830" t="s">
        <v>1836</v>
      </c>
      <c r="D34" s="816"/>
      <c r="E34" s="816"/>
      <c r="F34" s="816"/>
      <c r="G34" s="816"/>
      <c r="H34" s="816"/>
      <c r="I34" s="816"/>
      <c r="J34" s="816"/>
      <c r="K34" s="817"/>
    </row>
    <row r="35" spans="1:11" ht="34.799999999999997" customHeight="1" thickBot="1" x14ac:dyDescent="0.35">
      <c r="B35" s="367" t="s">
        <v>629</v>
      </c>
      <c r="C35" s="830" t="s">
        <v>1840</v>
      </c>
      <c r="D35" s="816"/>
      <c r="E35" s="816"/>
      <c r="F35" s="816"/>
      <c r="G35" s="816"/>
      <c r="H35" s="816"/>
      <c r="I35" s="816"/>
      <c r="J35" s="816"/>
      <c r="K35" s="817"/>
    </row>
    <row r="36" spans="1:11" ht="13.8" thickBot="1" x14ac:dyDescent="0.35">
      <c r="B36" s="895" t="s">
        <v>1138</v>
      </c>
      <c r="C36" s="896"/>
      <c r="D36" s="896"/>
      <c r="E36" s="896"/>
      <c r="F36" s="896"/>
      <c r="G36" s="896"/>
      <c r="H36" s="896"/>
      <c r="I36" s="896"/>
      <c r="J36" s="896"/>
      <c r="K36" s="897"/>
    </row>
    <row r="37" spans="1:11" x14ac:dyDescent="0.3">
      <c r="B37" s="361" t="s">
        <v>693</v>
      </c>
      <c r="C37" s="951" t="s">
        <v>262</v>
      </c>
      <c r="D37" s="951"/>
      <c r="E37" s="951"/>
      <c r="F37" s="951"/>
      <c r="G37" s="951"/>
      <c r="H37" s="951"/>
      <c r="I37" s="951"/>
      <c r="J37" s="951"/>
      <c r="K37" s="952"/>
    </row>
    <row r="38" spans="1:11" ht="13.8" thickBot="1" x14ac:dyDescent="0.35">
      <c r="B38" s="367" t="s">
        <v>694</v>
      </c>
      <c r="C38" s="831" t="s">
        <v>264</v>
      </c>
      <c r="D38" s="831"/>
      <c r="E38" s="831"/>
      <c r="F38" s="831"/>
      <c r="G38" s="831"/>
      <c r="H38" s="831"/>
      <c r="I38" s="831"/>
      <c r="J38" s="831"/>
      <c r="K38" s="832"/>
    </row>
    <row r="39" spans="1:11" ht="13.8" thickBot="1" x14ac:dyDescent="0.35">
      <c r="B39" s="872" t="s">
        <v>1139</v>
      </c>
      <c r="C39" s="873"/>
      <c r="D39" s="873"/>
      <c r="E39" s="873"/>
      <c r="F39" s="873"/>
      <c r="G39" s="873"/>
      <c r="H39" s="873"/>
      <c r="I39" s="873"/>
      <c r="J39" s="873"/>
      <c r="K39" s="874"/>
    </row>
    <row r="40" spans="1:11" ht="13.8" thickBot="1" x14ac:dyDescent="0.35">
      <c r="B40" s="360" t="s">
        <v>863</v>
      </c>
      <c r="C40" s="835" t="s">
        <v>1140</v>
      </c>
      <c r="D40" s="835"/>
      <c r="E40" s="835"/>
      <c r="F40" s="835"/>
      <c r="G40" s="835"/>
      <c r="H40" s="835"/>
      <c r="I40" s="835"/>
      <c r="J40" s="835"/>
      <c r="K40" s="836"/>
    </row>
    <row r="42" spans="1:11" ht="13.8" thickBot="1" x14ac:dyDescent="0.35"/>
    <row r="43" spans="1:11" ht="13.8" thickBot="1" x14ac:dyDescent="0.35">
      <c r="B43" s="807" t="s">
        <v>1060</v>
      </c>
      <c r="C43" s="808"/>
      <c r="D43" s="808"/>
      <c r="E43" s="808"/>
      <c r="F43" s="808"/>
      <c r="G43" s="808"/>
      <c r="H43" s="808"/>
      <c r="I43" s="808"/>
      <c r="J43" s="808"/>
      <c r="K43" s="809"/>
    </row>
    <row r="44" spans="1:11" ht="13.8" thickBot="1" x14ac:dyDescent="0.35">
      <c r="B44" s="360" t="s">
        <v>581</v>
      </c>
      <c r="C44" s="810" t="s">
        <v>1765</v>
      </c>
      <c r="D44" s="810"/>
      <c r="E44" s="810"/>
      <c r="F44" s="810"/>
      <c r="G44" s="810"/>
      <c r="H44" s="810"/>
      <c r="I44" s="810"/>
      <c r="J44" s="810"/>
      <c r="K44" s="811"/>
    </row>
    <row r="45" spans="1:11" ht="13.8" thickBot="1" x14ac:dyDescent="0.35">
      <c r="B45" s="929" t="s">
        <v>1109</v>
      </c>
      <c r="C45" s="930"/>
      <c r="D45" s="930"/>
      <c r="E45" s="930"/>
      <c r="F45" s="930"/>
      <c r="G45" s="930"/>
      <c r="H45" s="930"/>
      <c r="I45" s="930"/>
      <c r="J45" s="930"/>
      <c r="K45" s="931"/>
    </row>
    <row r="46" spans="1:11" x14ac:dyDescent="0.3">
      <c r="B46" s="449" t="s">
        <v>1110</v>
      </c>
      <c r="C46" s="992" t="s">
        <v>1111</v>
      </c>
      <c r="D46" s="992"/>
      <c r="E46" s="992"/>
      <c r="F46" s="992"/>
      <c r="G46" s="992"/>
      <c r="H46" s="992"/>
      <c r="I46" s="992"/>
      <c r="J46" s="992"/>
      <c r="K46" s="450" t="s">
        <v>35</v>
      </c>
    </row>
    <row r="47" spans="1:11" x14ac:dyDescent="0.3">
      <c r="A47" s="352"/>
      <c r="B47" s="363"/>
      <c r="C47" s="804" t="s">
        <v>1206</v>
      </c>
      <c r="D47" s="805"/>
      <c r="E47" s="805"/>
      <c r="F47" s="805"/>
      <c r="G47" s="805"/>
      <c r="H47" s="805"/>
      <c r="I47" s="805"/>
      <c r="J47" s="806"/>
      <c r="K47" s="364"/>
    </row>
    <row r="48" spans="1:11" x14ac:dyDescent="0.3">
      <c r="B48" s="451" t="s">
        <v>1112</v>
      </c>
      <c r="C48" s="991" t="s">
        <v>1118</v>
      </c>
      <c r="D48" s="991"/>
      <c r="E48" s="991"/>
      <c r="F48" s="991"/>
      <c r="G48" s="991"/>
      <c r="H48" s="991"/>
      <c r="I48" s="991"/>
      <c r="J48" s="991"/>
      <c r="K48" s="452" t="s">
        <v>35</v>
      </c>
    </row>
    <row r="49" spans="2:11" x14ac:dyDescent="0.3">
      <c r="B49" s="451" t="s">
        <v>1113</v>
      </c>
      <c r="C49" s="991" t="s">
        <v>1119</v>
      </c>
      <c r="D49" s="991"/>
      <c r="E49" s="991"/>
      <c r="F49" s="991"/>
      <c r="G49" s="991"/>
      <c r="H49" s="991"/>
      <c r="I49" s="991"/>
      <c r="J49" s="991"/>
      <c r="K49" s="452" t="s">
        <v>35</v>
      </c>
    </row>
    <row r="50" spans="2:11" x14ac:dyDescent="0.3">
      <c r="B50" s="451" t="s">
        <v>1114</v>
      </c>
      <c r="C50" s="991" t="s">
        <v>1120</v>
      </c>
      <c r="D50" s="991"/>
      <c r="E50" s="991"/>
      <c r="F50" s="991"/>
      <c r="G50" s="991"/>
      <c r="H50" s="991"/>
      <c r="I50" s="991"/>
      <c r="J50" s="991"/>
      <c r="K50" s="452" t="s">
        <v>35</v>
      </c>
    </row>
    <row r="51" spans="2:11" ht="27" customHeight="1" x14ac:dyDescent="0.3">
      <c r="B51" s="451" t="s">
        <v>1115</v>
      </c>
      <c r="C51" s="991" t="s">
        <v>1121</v>
      </c>
      <c r="D51" s="991"/>
      <c r="E51" s="991"/>
      <c r="F51" s="991"/>
      <c r="G51" s="991"/>
      <c r="H51" s="991"/>
      <c r="I51" s="991"/>
      <c r="J51" s="991"/>
      <c r="K51" s="452" t="s">
        <v>35</v>
      </c>
    </row>
    <row r="52" spans="2:11" x14ac:dyDescent="0.3">
      <c r="B52" s="451" t="s">
        <v>1116</v>
      </c>
      <c r="C52" s="991" t="s">
        <v>1272</v>
      </c>
      <c r="D52" s="991"/>
      <c r="E52" s="991"/>
      <c r="F52" s="991"/>
      <c r="G52" s="991"/>
      <c r="H52" s="991"/>
      <c r="I52" s="991"/>
      <c r="J52" s="991"/>
      <c r="K52" s="452" t="s">
        <v>35</v>
      </c>
    </row>
    <row r="53" spans="2:11" ht="13.8" thickBot="1" x14ac:dyDescent="0.35">
      <c r="B53" s="453" t="s">
        <v>1117</v>
      </c>
      <c r="C53" s="990" t="s">
        <v>1122</v>
      </c>
      <c r="D53" s="990"/>
      <c r="E53" s="990"/>
      <c r="F53" s="990"/>
      <c r="G53" s="990"/>
      <c r="H53" s="990"/>
      <c r="I53" s="990"/>
      <c r="J53" s="990"/>
      <c r="K53" s="454" t="s">
        <v>35</v>
      </c>
    </row>
    <row r="54" spans="2:11" ht="13.8" thickBot="1" x14ac:dyDescent="0.35">
      <c r="B54" s="391"/>
      <c r="C54" s="915" t="s">
        <v>1123</v>
      </c>
      <c r="D54" s="916"/>
      <c r="E54" s="916"/>
      <c r="F54" s="916"/>
      <c r="G54" s="916"/>
      <c r="H54" s="916"/>
      <c r="I54" s="916"/>
      <c r="J54" s="917"/>
      <c r="K54" s="392" t="str">
        <f>IF(OR(K46="Yes",K48="Yes",K49="Yes",K50="Yes",K51="Yes",K52="Yes",K53="Yes"),"Yes","No")</f>
        <v>No</v>
      </c>
    </row>
    <row r="55" spans="2:11" ht="13.8" thickBot="1" x14ac:dyDescent="0.35">
      <c r="B55" s="834" t="s">
        <v>1061</v>
      </c>
      <c r="C55" s="834"/>
      <c r="D55" s="834"/>
      <c r="E55" s="834"/>
      <c r="F55" s="834"/>
      <c r="G55" s="834" t="s">
        <v>1062</v>
      </c>
      <c r="H55" s="834"/>
      <c r="I55" s="834"/>
      <c r="J55" s="834"/>
      <c r="K55" s="834"/>
    </row>
    <row r="56" spans="2:11" ht="27" thickBot="1" x14ac:dyDescent="0.35">
      <c r="B56" s="371" t="s">
        <v>26</v>
      </c>
      <c r="C56" s="372" t="s">
        <v>553</v>
      </c>
      <c r="D56" s="372" t="s">
        <v>19</v>
      </c>
      <c r="E56" s="372" t="s">
        <v>25</v>
      </c>
      <c r="F56" s="373" t="s">
        <v>554</v>
      </c>
      <c r="G56" s="374" t="s">
        <v>1063</v>
      </c>
      <c r="H56" s="372" t="s">
        <v>1064</v>
      </c>
      <c r="I56" s="375" t="s">
        <v>1065</v>
      </c>
      <c r="J56" s="372" t="s">
        <v>1107</v>
      </c>
      <c r="K56" s="376" t="s">
        <v>1067</v>
      </c>
    </row>
    <row r="57" spans="2:11" ht="13.8" thickBot="1" x14ac:dyDescent="0.35">
      <c r="B57" s="433" t="s">
        <v>621</v>
      </c>
      <c r="C57" s="434" t="s">
        <v>619</v>
      </c>
      <c r="D57" s="434" t="s">
        <v>621</v>
      </c>
      <c r="E57" s="434" t="s">
        <v>621</v>
      </c>
      <c r="F57" s="435" t="s">
        <v>621</v>
      </c>
      <c r="G57" s="436" t="s">
        <v>619</v>
      </c>
      <c r="H57" s="434" t="s">
        <v>621</v>
      </c>
      <c r="I57" s="434" t="s">
        <v>621</v>
      </c>
      <c r="J57" s="434" t="s">
        <v>619</v>
      </c>
      <c r="K57" s="435" t="s">
        <v>621</v>
      </c>
    </row>
    <row r="58" spans="2:11" ht="13.8" thickBot="1" x14ac:dyDescent="0.35">
      <c r="B58" s="807" t="s">
        <v>1068</v>
      </c>
      <c r="C58" s="808"/>
      <c r="D58" s="808"/>
      <c r="E58" s="808"/>
      <c r="F58" s="808"/>
      <c r="G58" s="808"/>
      <c r="H58" s="808"/>
      <c r="I58" s="808"/>
      <c r="J58" s="808"/>
      <c r="K58" s="809"/>
    </row>
    <row r="59" spans="2:11" ht="27" thickBot="1" x14ac:dyDescent="0.35">
      <c r="B59" s="484" t="s">
        <v>1124</v>
      </c>
      <c r="C59" s="997" t="s">
        <v>31</v>
      </c>
      <c r="D59" s="998"/>
      <c r="E59" s="998"/>
      <c r="F59" s="998"/>
      <c r="G59" s="998"/>
      <c r="H59" s="998"/>
      <c r="I59" s="485" t="s">
        <v>1125</v>
      </c>
      <c r="J59" s="999" t="s">
        <v>1074</v>
      </c>
      <c r="K59" s="1000"/>
    </row>
    <row r="60" spans="2:11" ht="27" customHeight="1" x14ac:dyDescent="0.3">
      <c r="B60" s="361" t="s">
        <v>639</v>
      </c>
      <c r="C60" s="812" t="s">
        <v>1126</v>
      </c>
      <c r="D60" s="812"/>
      <c r="E60" s="812"/>
      <c r="F60" s="812"/>
      <c r="G60" s="812"/>
      <c r="H60" s="812"/>
      <c r="I60" s="483" t="s">
        <v>37</v>
      </c>
      <c r="J60" s="995" t="s">
        <v>1835</v>
      </c>
      <c r="K60" s="996"/>
    </row>
    <row r="61" spans="2:11" ht="27" customHeight="1" thickBot="1" x14ac:dyDescent="0.35">
      <c r="B61" s="367" t="s">
        <v>908</v>
      </c>
      <c r="C61" s="831" t="s">
        <v>1127</v>
      </c>
      <c r="D61" s="831"/>
      <c r="E61" s="831"/>
      <c r="F61" s="831"/>
      <c r="G61" s="831"/>
      <c r="H61" s="831"/>
      <c r="I61" s="424" t="s">
        <v>35</v>
      </c>
      <c r="J61" s="949" t="s">
        <v>863</v>
      </c>
      <c r="K61" s="950"/>
    </row>
    <row r="62" spans="2:11" ht="27" thickBot="1" x14ac:dyDescent="0.35">
      <c r="B62" s="439" t="s">
        <v>1072</v>
      </c>
      <c r="C62" s="870" t="s">
        <v>1100</v>
      </c>
      <c r="D62" s="871"/>
      <c r="E62" s="439" t="s">
        <v>1070</v>
      </c>
      <c r="F62" s="481" t="s">
        <v>1136</v>
      </c>
      <c r="G62" s="887" t="s">
        <v>1131</v>
      </c>
      <c r="H62" s="888"/>
      <c r="I62" s="439" t="s">
        <v>1130</v>
      </c>
      <c r="J62" s="870" t="s">
        <v>1133</v>
      </c>
      <c r="K62" s="871"/>
    </row>
    <row r="63" spans="2:11" ht="13.8" thickBot="1" x14ac:dyDescent="0.35">
      <c r="B63" s="824" t="s">
        <v>1076</v>
      </c>
      <c r="C63" s="825"/>
      <c r="D63" s="825"/>
      <c r="E63" s="825"/>
      <c r="F63" s="825"/>
      <c r="G63" s="825"/>
      <c r="H63" s="825"/>
      <c r="I63" s="825"/>
      <c r="J63" s="825"/>
      <c r="K63" s="826"/>
    </row>
    <row r="64" spans="2:11" ht="25.95" customHeight="1" thickBot="1" x14ac:dyDescent="0.35">
      <c r="B64" s="360" t="s">
        <v>639</v>
      </c>
      <c r="C64" s="830" t="s">
        <v>1836</v>
      </c>
      <c r="D64" s="816"/>
      <c r="E64" s="816"/>
      <c r="F64" s="816"/>
      <c r="G64" s="816"/>
      <c r="H64" s="816"/>
      <c r="I64" s="816"/>
      <c r="J64" s="816"/>
      <c r="K64" s="817"/>
    </row>
    <row r="65" spans="1:19" ht="13.8" thickBot="1" x14ac:dyDescent="0.35">
      <c r="B65" s="824" t="s">
        <v>1077</v>
      </c>
      <c r="C65" s="825"/>
      <c r="D65" s="825"/>
      <c r="E65" s="825"/>
      <c r="F65" s="825"/>
      <c r="G65" s="825"/>
      <c r="H65" s="825"/>
      <c r="I65" s="825"/>
      <c r="J65" s="825"/>
      <c r="K65" s="826"/>
    </row>
    <row r="66" spans="1:19" ht="27" customHeight="1" x14ac:dyDescent="0.3">
      <c r="B66" s="388" t="s">
        <v>695</v>
      </c>
      <c r="C66" s="1001" t="s">
        <v>1154</v>
      </c>
      <c r="D66" s="1002"/>
      <c r="E66" s="1002"/>
      <c r="F66" s="1002"/>
      <c r="G66" s="1002"/>
      <c r="H66" s="1002"/>
      <c r="I66" s="1002"/>
      <c r="J66" s="1002"/>
      <c r="K66" s="1003"/>
    </row>
    <row r="67" spans="1:19" ht="27" customHeight="1" thickBot="1" x14ac:dyDescent="0.35">
      <c r="B67" s="367" t="s">
        <v>1380</v>
      </c>
      <c r="C67" s="883" t="s">
        <v>1381</v>
      </c>
      <c r="D67" s="884"/>
      <c r="E67" s="884"/>
      <c r="F67" s="884"/>
      <c r="G67" s="884"/>
      <c r="H67" s="884"/>
      <c r="I67" s="884"/>
      <c r="J67" s="884"/>
      <c r="K67" s="885"/>
    </row>
    <row r="68" spans="1:19" ht="13.8" thickBot="1" x14ac:dyDescent="0.35">
      <c r="B68" s="824" t="s">
        <v>1139</v>
      </c>
      <c r="C68" s="825"/>
      <c r="D68" s="825"/>
      <c r="E68" s="825"/>
      <c r="F68" s="825"/>
      <c r="G68" s="825"/>
      <c r="H68" s="825"/>
      <c r="I68" s="825"/>
      <c r="J68" s="825"/>
      <c r="K68" s="826"/>
    </row>
    <row r="69" spans="1:19" ht="13.8" thickBot="1" x14ac:dyDescent="0.35">
      <c r="B69" s="360" t="s">
        <v>863</v>
      </c>
      <c r="C69" s="835" t="s">
        <v>1140</v>
      </c>
      <c r="D69" s="835"/>
      <c r="E69" s="835"/>
      <c r="F69" s="835"/>
      <c r="G69" s="835"/>
      <c r="H69" s="835"/>
      <c r="I69" s="835"/>
      <c r="J69" s="835"/>
      <c r="K69" s="836"/>
    </row>
    <row r="72" spans="1:19" ht="13.8" thickBot="1" x14ac:dyDescent="0.35">
      <c r="A72" s="412" t="s">
        <v>1090</v>
      </c>
      <c r="B72" s="413" t="s">
        <v>524</v>
      </c>
      <c r="C72" s="413"/>
      <c r="D72" s="413"/>
      <c r="E72" s="413"/>
      <c r="F72" s="413"/>
      <c r="G72" s="413"/>
      <c r="H72" s="413"/>
      <c r="I72" s="413"/>
      <c r="J72" s="413"/>
      <c r="K72" s="413"/>
      <c r="L72" s="413"/>
      <c r="M72" s="413"/>
      <c r="N72" s="413"/>
      <c r="O72" s="413"/>
      <c r="P72" s="413"/>
      <c r="Q72" s="413"/>
      <c r="R72" s="413"/>
      <c r="S72" s="413"/>
    </row>
    <row r="73" spans="1:19" ht="13.8" thickBot="1" x14ac:dyDescent="0.35">
      <c r="B73" s="807" t="s">
        <v>1060</v>
      </c>
      <c r="C73" s="808"/>
      <c r="D73" s="808"/>
      <c r="E73" s="808"/>
      <c r="F73" s="808"/>
      <c r="G73" s="808"/>
      <c r="H73" s="808"/>
      <c r="I73" s="808"/>
      <c r="J73" s="808"/>
      <c r="K73" s="809"/>
    </row>
    <row r="74" spans="1:19" ht="13.8" thickBot="1" x14ac:dyDescent="0.35">
      <c r="B74" s="360" t="s">
        <v>582</v>
      </c>
      <c r="C74" s="810" t="s">
        <v>1143</v>
      </c>
      <c r="D74" s="810"/>
      <c r="E74" s="810"/>
      <c r="F74" s="810"/>
      <c r="G74" s="810"/>
      <c r="H74" s="810"/>
      <c r="I74" s="810"/>
      <c r="J74" s="810"/>
      <c r="K74" s="811"/>
    </row>
    <row r="75" spans="1:19" ht="13.8" thickBot="1" x14ac:dyDescent="0.35">
      <c r="B75" s="929" t="s">
        <v>1109</v>
      </c>
      <c r="C75" s="930"/>
      <c r="D75" s="930"/>
      <c r="E75" s="930"/>
      <c r="F75" s="930"/>
      <c r="G75" s="930"/>
      <c r="H75" s="930"/>
      <c r="I75" s="930"/>
      <c r="J75" s="930"/>
      <c r="K75" s="931"/>
    </row>
    <row r="76" spans="1:19" x14ac:dyDescent="0.3">
      <c r="B76" s="449" t="s">
        <v>1110</v>
      </c>
      <c r="C76" s="992" t="s">
        <v>1111</v>
      </c>
      <c r="D76" s="992"/>
      <c r="E76" s="992"/>
      <c r="F76" s="992"/>
      <c r="G76" s="992"/>
      <c r="H76" s="992"/>
      <c r="I76" s="992"/>
      <c r="J76" s="992"/>
      <c r="K76" s="450" t="s">
        <v>35</v>
      </c>
    </row>
    <row r="77" spans="1:19" x14ac:dyDescent="0.3">
      <c r="A77" s="352"/>
      <c r="B77" s="363"/>
      <c r="C77" s="804" t="s">
        <v>1206</v>
      </c>
      <c r="D77" s="805"/>
      <c r="E77" s="805"/>
      <c r="F77" s="805"/>
      <c r="G77" s="805"/>
      <c r="H77" s="805"/>
      <c r="I77" s="805"/>
      <c r="J77" s="806"/>
      <c r="K77" s="364"/>
    </row>
    <row r="78" spans="1:19" x14ac:dyDescent="0.3">
      <c r="B78" s="451" t="s">
        <v>1112</v>
      </c>
      <c r="C78" s="991" t="s">
        <v>1118</v>
      </c>
      <c r="D78" s="991"/>
      <c r="E78" s="991"/>
      <c r="F78" s="991"/>
      <c r="G78" s="991"/>
      <c r="H78" s="991"/>
      <c r="I78" s="991"/>
      <c r="J78" s="991"/>
      <c r="K78" s="452" t="s">
        <v>35</v>
      </c>
    </row>
    <row r="79" spans="1:19" x14ac:dyDescent="0.3">
      <c r="B79" s="451" t="s">
        <v>1113</v>
      </c>
      <c r="C79" s="991" t="s">
        <v>1119</v>
      </c>
      <c r="D79" s="991"/>
      <c r="E79" s="991"/>
      <c r="F79" s="991"/>
      <c r="G79" s="991"/>
      <c r="H79" s="991"/>
      <c r="I79" s="991"/>
      <c r="J79" s="991"/>
      <c r="K79" s="452" t="s">
        <v>35</v>
      </c>
    </row>
    <row r="80" spans="1:19" x14ac:dyDescent="0.3">
      <c r="B80" s="451" t="s">
        <v>1114</v>
      </c>
      <c r="C80" s="991" t="s">
        <v>1120</v>
      </c>
      <c r="D80" s="991"/>
      <c r="E80" s="991"/>
      <c r="F80" s="991"/>
      <c r="G80" s="991"/>
      <c r="H80" s="991"/>
      <c r="I80" s="991"/>
      <c r="J80" s="991"/>
      <c r="K80" s="452" t="s">
        <v>35</v>
      </c>
    </row>
    <row r="81" spans="2:11" ht="27" customHeight="1" x14ac:dyDescent="0.3">
      <c r="B81" s="451" t="s">
        <v>1115</v>
      </c>
      <c r="C81" s="991" t="s">
        <v>1121</v>
      </c>
      <c r="D81" s="991"/>
      <c r="E81" s="991"/>
      <c r="F81" s="991"/>
      <c r="G81" s="991"/>
      <c r="H81" s="991"/>
      <c r="I81" s="991"/>
      <c r="J81" s="991"/>
      <c r="K81" s="452" t="s">
        <v>35</v>
      </c>
    </row>
    <row r="82" spans="2:11" x14ac:dyDescent="0.3">
      <c r="B82" s="451" t="s">
        <v>1116</v>
      </c>
      <c r="C82" s="991" t="s">
        <v>1272</v>
      </c>
      <c r="D82" s="991"/>
      <c r="E82" s="991"/>
      <c r="F82" s="991"/>
      <c r="G82" s="991"/>
      <c r="H82" s="991"/>
      <c r="I82" s="991"/>
      <c r="J82" s="991"/>
      <c r="K82" s="452" t="s">
        <v>35</v>
      </c>
    </row>
    <row r="83" spans="2:11" ht="13.8" thickBot="1" x14ac:dyDescent="0.35">
      <c r="B83" s="453" t="s">
        <v>1117</v>
      </c>
      <c r="C83" s="990" t="s">
        <v>1122</v>
      </c>
      <c r="D83" s="990"/>
      <c r="E83" s="990"/>
      <c r="F83" s="990"/>
      <c r="G83" s="990"/>
      <c r="H83" s="990"/>
      <c r="I83" s="990"/>
      <c r="J83" s="990"/>
      <c r="K83" s="454" t="s">
        <v>35</v>
      </c>
    </row>
    <row r="84" spans="2:11" ht="13.8" thickBot="1" x14ac:dyDescent="0.35">
      <c r="B84" s="391"/>
      <c r="C84" s="915" t="s">
        <v>1123</v>
      </c>
      <c r="D84" s="916"/>
      <c r="E84" s="916"/>
      <c r="F84" s="916"/>
      <c r="G84" s="916"/>
      <c r="H84" s="916"/>
      <c r="I84" s="916"/>
      <c r="J84" s="917"/>
      <c r="K84" s="392" t="str">
        <f>IF(OR(K76="Yes",K78="Yes",K79="Yes",K80="Yes",K81="Yes",K82="Yes",K83="Yes"),"Yes","No")</f>
        <v>No</v>
      </c>
    </row>
    <row r="85" spans="2:11" ht="13.8" thickBot="1" x14ac:dyDescent="0.35">
      <c r="B85" s="834" t="s">
        <v>1061</v>
      </c>
      <c r="C85" s="834"/>
      <c r="D85" s="834"/>
      <c r="E85" s="834"/>
      <c r="F85" s="834"/>
      <c r="G85" s="834" t="s">
        <v>1062</v>
      </c>
      <c r="H85" s="834"/>
      <c r="I85" s="834"/>
      <c r="J85" s="834"/>
      <c r="K85" s="834"/>
    </row>
    <row r="86" spans="2:11" ht="27" thickBot="1" x14ac:dyDescent="0.35">
      <c r="B86" s="371" t="s">
        <v>26</v>
      </c>
      <c r="C86" s="372" t="s">
        <v>553</v>
      </c>
      <c r="D86" s="372" t="s">
        <v>19</v>
      </c>
      <c r="E86" s="372" t="s">
        <v>25</v>
      </c>
      <c r="F86" s="373" t="s">
        <v>326</v>
      </c>
      <c r="G86" s="374" t="s">
        <v>1063</v>
      </c>
      <c r="H86" s="372" t="s">
        <v>1064</v>
      </c>
      <c r="I86" s="375" t="s">
        <v>1065</v>
      </c>
      <c r="J86" s="372" t="s">
        <v>1107</v>
      </c>
      <c r="K86" s="376" t="s">
        <v>1067</v>
      </c>
    </row>
    <row r="87" spans="2:11" ht="13.8" thickBot="1" x14ac:dyDescent="0.35">
      <c r="B87" s="433" t="s">
        <v>621</v>
      </c>
      <c r="C87" s="434" t="s">
        <v>619</v>
      </c>
      <c r="D87" s="434" t="s">
        <v>619</v>
      </c>
      <c r="E87" s="434" t="s">
        <v>619</v>
      </c>
      <c r="F87" s="435" t="s">
        <v>619</v>
      </c>
      <c r="G87" s="436" t="s">
        <v>619</v>
      </c>
      <c r="H87" s="434" t="s">
        <v>621</v>
      </c>
      <c r="I87" s="434" t="s">
        <v>621</v>
      </c>
      <c r="J87" s="434" t="s">
        <v>619</v>
      </c>
      <c r="K87" s="435" t="s">
        <v>621</v>
      </c>
    </row>
    <row r="88" spans="2:11" ht="13.8" thickBot="1" x14ac:dyDescent="0.35">
      <c r="B88" s="807" t="s">
        <v>1068</v>
      </c>
      <c r="C88" s="808"/>
      <c r="D88" s="808"/>
      <c r="E88" s="808"/>
      <c r="F88" s="808"/>
      <c r="G88" s="808"/>
      <c r="H88" s="808"/>
      <c r="I88" s="808"/>
      <c r="J88" s="808"/>
      <c r="K88" s="809"/>
    </row>
    <row r="89" spans="2:11" ht="27" thickBot="1" x14ac:dyDescent="0.35">
      <c r="B89" s="484" t="s">
        <v>1124</v>
      </c>
      <c r="C89" s="997" t="s">
        <v>31</v>
      </c>
      <c r="D89" s="998"/>
      <c r="E89" s="998"/>
      <c r="F89" s="998"/>
      <c r="G89" s="998"/>
      <c r="H89" s="998"/>
      <c r="I89" s="485" t="s">
        <v>1125</v>
      </c>
      <c r="J89" s="999" t="s">
        <v>1074</v>
      </c>
      <c r="K89" s="1000"/>
    </row>
    <row r="90" spans="2:11" ht="27" customHeight="1" x14ac:dyDescent="0.3">
      <c r="B90" s="361" t="s">
        <v>1128</v>
      </c>
      <c r="C90" s="812" t="s">
        <v>1129</v>
      </c>
      <c r="D90" s="812"/>
      <c r="E90" s="812"/>
      <c r="F90" s="812"/>
      <c r="G90" s="812"/>
      <c r="H90" s="812"/>
      <c r="I90" s="483" t="s">
        <v>35</v>
      </c>
      <c r="J90" s="995" t="s">
        <v>863</v>
      </c>
      <c r="K90" s="996"/>
    </row>
    <row r="91" spans="2:11" ht="27" customHeight="1" thickBot="1" x14ac:dyDescent="0.35">
      <c r="B91" s="367" t="s">
        <v>1142</v>
      </c>
      <c r="C91" s="831" t="s">
        <v>1153</v>
      </c>
      <c r="D91" s="831"/>
      <c r="E91" s="831"/>
      <c r="F91" s="831"/>
      <c r="G91" s="831"/>
      <c r="H91" s="831"/>
      <c r="I91" s="424" t="s">
        <v>35</v>
      </c>
      <c r="J91" s="949" t="s">
        <v>863</v>
      </c>
      <c r="K91" s="950"/>
    </row>
    <row r="92" spans="2:11" ht="27" thickBot="1" x14ac:dyDescent="0.35">
      <c r="B92" s="439" t="s">
        <v>1072</v>
      </c>
      <c r="C92" s="870" t="s">
        <v>1108</v>
      </c>
      <c r="D92" s="871"/>
      <c r="E92" s="439" t="s">
        <v>1070</v>
      </c>
      <c r="F92" s="481" t="s">
        <v>1134</v>
      </c>
      <c r="G92" s="887" t="s">
        <v>1131</v>
      </c>
      <c r="H92" s="888"/>
      <c r="I92" s="439" t="s">
        <v>1130</v>
      </c>
      <c r="J92" s="870" t="s">
        <v>1133</v>
      </c>
      <c r="K92" s="871"/>
    </row>
    <row r="93" spans="2:11" ht="13.8" thickBot="1" x14ac:dyDescent="0.35">
      <c r="B93" s="824" t="s">
        <v>1076</v>
      </c>
      <c r="C93" s="825"/>
      <c r="D93" s="825"/>
      <c r="E93" s="825"/>
      <c r="F93" s="825"/>
      <c r="G93" s="825"/>
      <c r="H93" s="825"/>
      <c r="I93" s="825"/>
      <c r="J93" s="825"/>
      <c r="K93" s="826"/>
    </row>
    <row r="94" spans="2:11" ht="13.8" thickBot="1" x14ac:dyDescent="0.35">
      <c r="B94" s="360" t="s">
        <v>863</v>
      </c>
      <c r="C94" s="835" t="s">
        <v>1102</v>
      </c>
      <c r="D94" s="835"/>
      <c r="E94" s="835"/>
      <c r="F94" s="835"/>
      <c r="G94" s="835"/>
      <c r="H94" s="835"/>
      <c r="I94" s="835"/>
      <c r="J94" s="835"/>
      <c r="K94" s="836"/>
    </row>
    <row r="95" spans="2:11" ht="13.8" thickBot="1" x14ac:dyDescent="0.35">
      <c r="B95" s="824" t="s">
        <v>1077</v>
      </c>
      <c r="C95" s="825"/>
      <c r="D95" s="825"/>
      <c r="E95" s="825"/>
      <c r="F95" s="825"/>
      <c r="G95" s="825"/>
      <c r="H95" s="825"/>
      <c r="I95" s="825"/>
      <c r="J95" s="825"/>
      <c r="K95" s="826"/>
    </row>
    <row r="96" spans="2:11" x14ac:dyDescent="0.3">
      <c r="B96" s="361" t="s">
        <v>719</v>
      </c>
      <c r="C96" s="951" t="s">
        <v>718</v>
      </c>
      <c r="D96" s="951"/>
      <c r="E96" s="951"/>
      <c r="F96" s="951"/>
      <c r="G96" s="951"/>
      <c r="H96" s="951"/>
      <c r="I96" s="951"/>
      <c r="J96" s="951"/>
      <c r="K96" s="952"/>
    </row>
    <row r="97" spans="1:19" x14ac:dyDescent="0.3">
      <c r="B97" s="365" t="s">
        <v>1147</v>
      </c>
      <c r="C97" s="804" t="s">
        <v>526</v>
      </c>
      <c r="D97" s="805"/>
      <c r="E97" s="805"/>
      <c r="F97" s="805"/>
      <c r="G97" s="805"/>
      <c r="H97" s="805"/>
      <c r="I97" s="805"/>
      <c r="J97" s="805"/>
      <c r="K97" s="886"/>
    </row>
    <row r="98" spans="1:19" x14ac:dyDescent="0.3">
      <c r="B98" s="365" t="s">
        <v>1148</v>
      </c>
      <c r="C98" s="804" t="s">
        <v>1144</v>
      </c>
      <c r="D98" s="805"/>
      <c r="E98" s="805"/>
      <c r="F98" s="805"/>
      <c r="G98" s="805"/>
      <c r="H98" s="805"/>
      <c r="I98" s="805"/>
      <c r="J98" s="805"/>
      <c r="K98" s="886"/>
    </row>
    <row r="99" spans="1:19" ht="13.8" thickBot="1" x14ac:dyDescent="0.35">
      <c r="B99" s="367" t="s">
        <v>1149</v>
      </c>
      <c r="C99" s="883" t="s">
        <v>1145</v>
      </c>
      <c r="D99" s="884"/>
      <c r="E99" s="884"/>
      <c r="F99" s="884"/>
      <c r="G99" s="884"/>
      <c r="H99" s="884"/>
      <c r="I99" s="884"/>
      <c r="J99" s="884"/>
      <c r="K99" s="885"/>
    </row>
    <row r="100" spans="1:19" ht="13.8" thickBot="1" x14ac:dyDescent="0.35">
      <c r="B100" s="824" t="s">
        <v>1139</v>
      </c>
      <c r="C100" s="825"/>
      <c r="D100" s="825"/>
      <c r="E100" s="825"/>
      <c r="F100" s="825"/>
      <c r="G100" s="825"/>
      <c r="H100" s="825"/>
      <c r="I100" s="825"/>
      <c r="J100" s="825"/>
      <c r="K100" s="826"/>
    </row>
    <row r="101" spans="1:19" ht="13.8" thickBot="1" x14ac:dyDescent="0.35">
      <c r="B101" s="360" t="s">
        <v>863</v>
      </c>
      <c r="C101" s="835" t="s">
        <v>1140</v>
      </c>
      <c r="D101" s="835"/>
      <c r="E101" s="835"/>
      <c r="F101" s="835"/>
      <c r="G101" s="835"/>
      <c r="H101" s="835"/>
      <c r="I101" s="835"/>
      <c r="J101" s="835"/>
      <c r="K101" s="836"/>
    </row>
    <row r="104" spans="1:19" ht="13.8" thickBot="1" x14ac:dyDescent="0.35">
      <c r="A104" s="412" t="s">
        <v>1091</v>
      </c>
      <c r="B104" s="413" t="s">
        <v>525</v>
      </c>
      <c r="C104" s="414"/>
      <c r="D104" s="414"/>
      <c r="E104" s="414"/>
      <c r="F104" s="414"/>
      <c r="G104" s="414"/>
      <c r="H104" s="414"/>
      <c r="I104" s="414"/>
      <c r="J104" s="414"/>
      <c r="K104" s="414"/>
      <c r="L104" s="414"/>
      <c r="M104" s="414"/>
      <c r="N104" s="414"/>
      <c r="O104" s="414"/>
      <c r="P104" s="414"/>
      <c r="Q104" s="414"/>
      <c r="R104" s="414"/>
      <c r="S104" s="414"/>
    </row>
    <row r="105" spans="1:19" ht="13.8" thickBot="1" x14ac:dyDescent="0.35">
      <c r="B105" s="807" t="s">
        <v>1060</v>
      </c>
      <c r="C105" s="808"/>
      <c r="D105" s="808"/>
      <c r="E105" s="808"/>
      <c r="F105" s="808"/>
      <c r="G105" s="808"/>
      <c r="H105" s="808"/>
      <c r="I105" s="808"/>
      <c r="J105" s="808"/>
      <c r="K105" s="809"/>
    </row>
    <row r="106" spans="1:19" ht="13.8" thickBot="1" x14ac:dyDescent="0.35">
      <c r="B106" s="360" t="s">
        <v>583</v>
      </c>
      <c r="C106" s="810" t="s">
        <v>1146</v>
      </c>
      <c r="D106" s="810"/>
      <c r="E106" s="810"/>
      <c r="F106" s="810"/>
      <c r="G106" s="810"/>
      <c r="H106" s="810"/>
      <c r="I106" s="810"/>
      <c r="J106" s="810"/>
      <c r="K106" s="811"/>
    </row>
    <row r="107" spans="1:19" ht="13.8" thickBot="1" x14ac:dyDescent="0.35">
      <c r="B107" s="929" t="s">
        <v>1109</v>
      </c>
      <c r="C107" s="930"/>
      <c r="D107" s="930"/>
      <c r="E107" s="930"/>
      <c r="F107" s="930"/>
      <c r="G107" s="930"/>
      <c r="H107" s="930"/>
      <c r="I107" s="930"/>
      <c r="J107" s="930"/>
      <c r="K107" s="931"/>
    </row>
    <row r="108" spans="1:19" x14ac:dyDescent="0.3">
      <c r="B108" s="449" t="s">
        <v>1110</v>
      </c>
      <c r="C108" s="992" t="s">
        <v>1111</v>
      </c>
      <c r="D108" s="992"/>
      <c r="E108" s="992"/>
      <c r="F108" s="992"/>
      <c r="G108" s="992"/>
      <c r="H108" s="992"/>
      <c r="I108" s="992"/>
      <c r="J108" s="992"/>
      <c r="K108" s="450" t="s">
        <v>35</v>
      </c>
    </row>
    <row r="109" spans="1:19" x14ac:dyDescent="0.3">
      <c r="A109" s="352"/>
      <c r="B109" s="363"/>
      <c r="C109" s="804" t="s">
        <v>1206</v>
      </c>
      <c r="D109" s="805"/>
      <c r="E109" s="805"/>
      <c r="F109" s="805"/>
      <c r="G109" s="805"/>
      <c r="H109" s="805"/>
      <c r="I109" s="805"/>
      <c r="J109" s="806"/>
      <c r="K109" s="364"/>
    </row>
    <row r="110" spans="1:19" x14ac:dyDescent="0.3">
      <c r="B110" s="451" t="s">
        <v>1112</v>
      </c>
      <c r="C110" s="991" t="s">
        <v>1118</v>
      </c>
      <c r="D110" s="991"/>
      <c r="E110" s="991"/>
      <c r="F110" s="991"/>
      <c r="G110" s="991"/>
      <c r="H110" s="991"/>
      <c r="I110" s="991"/>
      <c r="J110" s="991"/>
      <c r="K110" s="452" t="s">
        <v>35</v>
      </c>
    </row>
    <row r="111" spans="1:19" x14ac:dyDescent="0.3">
      <c r="B111" s="451" t="s">
        <v>1113</v>
      </c>
      <c r="C111" s="991" t="s">
        <v>1119</v>
      </c>
      <c r="D111" s="991"/>
      <c r="E111" s="991"/>
      <c r="F111" s="991"/>
      <c r="G111" s="991"/>
      <c r="H111" s="991"/>
      <c r="I111" s="991"/>
      <c r="J111" s="991"/>
      <c r="K111" s="452" t="s">
        <v>35</v>
      </c>
    </row>
    <row r="112" spans="1:19" x14ac:dyDescent="0.3">
      <c r="B112" s="451" t="s">
        <v>1114</v>
      </c>
      <c r="C112" s="991" t="s">
        <v>1120</v>
      </c>
      <c r="D112" s="991"/>
      <c r="E112" s="991"/>
      <c r="F112" s="991"/>
      <c r="G112" s="991"/>
      <c r="H112" s="991"/>
      <c r="I112" s="991"/>
      <c r="J112" s="991"/>
      <c r="K112" s="452" t="s">
        <v>35</v>
      </c>
    </row>
    <row r="113" spans="2:11" ht="27" customHeight="1" x14ac:dyDescent="0.3">
      <c r="B113" s="451" t="s">
        <v>1115</v>
      </c>
      <c r="C113" s="991" t="s">
        <v>1121</v>
      </c>
      <c r="D113" s="991"/>
      <c r="E113" s="991"/>
      <c r="F113" s="991"/>
      <c r="G113" s="991"/>
      <c r="H113" s="991"/>
      <c r="I113" s="991"/>
      <c r="J113" s="991"/>
      <c r="K113" s="452" t="s">
        <v>35</v>
      </c>
    </row>
    <row r="114" spans="2:11" x14ac:dyDescent="0.3">
      <c r="B114" s="451" t="s">
        <v>1116</v>
      </c>
      <c r="C114" s="991" t="s">
        <v>1272</v>
      </c>
      <c r="D114" s="991"/>
      <c r="E114" s="991"/>
      <c r="F114" s="991"/>
      <c r="G114" s="991"/>
      <c r="H114" s="991"/>
      <c r="I114" s="991"/>
      <c r="J114" s="991"/>
      <c r="K114" s="452" t="s">
        <v>35</v>
      </c>
    </row>
    <row r="115" spans="2:11" ht="13.8" thickBot="1" x14ac:dyDescent="0.35">
      <c r="B115" s="453" t="s">
        <v>1117</v>
      </c>
      <c r="C115" s="990" t="s">
        <v>1122</v>
      </c>
      <c r="D115" s="990"/>
      <c r="E115" s="990"/>
      <c r="F115" s="990"/>
      <c r="G115" s="990"/>
      <c r="H115" s="990"/>
      <c r="I115" s="990"/>
      <c r="J115" s="990"/>
      <c r="K115" s="454" t="s">
        <v>35</v>
      </c>
    </row>
    <row r="116" spans="2:11" ht="13.8" thickBot="1" x14ac:dyDescent="0.35">
      <c r="B116" s="391"/>
      <c r="C116" s="915" t="s">
        <v>1123</v>
      </c>
      <c r="D116" s="916"/>
      <c r="E116" s="916"/>
      <c r="F116" s="916"/>
      <c r="G116" s="916"/>
      <c r="H116" s="916"/>
      <c r="I116" s="916"/>
      <c r="J116" s="917"/>
      <c r="K116" s="392" t="str">
        <f>IF(OR(K108="Yes",K110="Yes",K111="Yes",K112="Yes",K113="Yes",K114="Yes",K115="Yes"),"Yes","No")</f>
        <v>No</v>
      </c>
    </row>
    <row r="117" spans="2:11" ht="13.8" thickBot="1" x14ac:dyDescent="0.35">
      <c r="B117" s="834" t="s">
        <v>1061</v>
      </c>
      <c r="C117" s="834"/>
      <c r="D117" s="834"/>
      <c r="E117" s="834"/>
      <c r="F117" s="834"/>
      <c r="G117" s="834" t="s">
        <v>1062</v>
      </c>
      <c r="H117" s="834"/>
      <c r="I117" s="834"/>
      <c r="J117" s="834"/>
      <c r="K117" s="834"/>
    </row>
    <row r="118" spans="2:11" ht="27" thickBot="1" x14ac:dyDescent="0.35">
      <c r="B118" s="371" t="s">
        <v>26</v>
      </c>
      <c r="C118" s="372" t="s">
        <v>553</v>
      </c>
      <c r="D118" s="372" t="s">
        <v>19</v>
      </c>
      <c r="E118" s="372" t="s">
        <v>1262</v>
      </c>
      <c r="F118" s="373" t="s">
        <v>554</v>
      </c>
      <c r="G118" s="374" t="s">
        <v>1063</v>
      </c>
      <c r="H118" s="372" t="s">
        <v>1064</v>
      </c>
      <c r="I118" s="375" t="s">
        <v>1065</v>
      </c>
      <c r="J118" s="375" t="s">
        <v>1066</v>
      </c>
      <c r="K118" s="376" t="s">
        <v>1067</v>
      </c>
    </row>
    <row r="119" spans="2:11" ht="13.8" thickBot="1" x14ac:dyDescent="0.35">
      <c r="B119" s="433" t="s">
        <v>621</v>
      </c>
      <c r="C119" s="434" t="s">
        <v>621</v>
      </c>
      <c r="D119" s="434" t="s">
        <v>621</v>
      </c>
      <c r="E119" s="434" t="s">
        <v>619</v>
      </c>
      <c r="F119" s="435" t="s">
        <v>619</v>
      </c>
      <c r="G119" s="436" t="s">
        <v>619</v>
      </c>
      <c r="H119" s="434" t="s">
        <v>621</v>
      </c>
      <c r="I119" s="434" t="s">
        <v>621</v>
      </c>
      <c r="J119" s="434" t="s">
        <v>619</v>
      </c>
      <c r="K119" s="435" t="s">
        <v>621</v>
      </c>
    </row>
    <row r="120" spans="2:11" ht="13.8" thickBot="1" x14ac:dyDescent="0.35">
      <c r="B120" s="807" t="s">
        <v>1068</v>
      </c>
      <c r="C120" s="808"/>
      <c r="D120" s="808"/>
      <c r="E120" s="808"/>
      <c r="F120" s="808"/>
      <c r="G120" s="808"/>
      <c r="H120" s="808"/>
      <c r="I120" s="808"/>
      <c r="J120" s="808"/>
      <c r="K120" s="809"/>
    </row>
    <row r="121" spans="2:11" ht="27" thickBot="1" x14ac:dyDescent="0.35">
      <c r="B121" s="369" t="s">
        <v>1124</v>
      </c>
      <c r="C121" s="918" t="s">
        <v>31</v>
      </c>
      <c r="D121" s="918"/>
      <c r="E121" s="918"/>
      <c r="F121" s="918"/>
      <c r="G121" s="918"/>
      <c r="H121" s="918"/>
      <c r="I121" s="401" t="s">
        <v>1125</v>
      </c>
      <c r="J121" s="906" t="s">
        <v>1074</v>
      </c>
      <c r="K121" s="907"/>
    </row>
    <row r="122" spans="2:11" ht="13.8" thickBot="1" x14ac:dyDescent="0.35">
      <c r="B122" s="418" t="s">
        <v>863</v>
      </c>
      <c r="C122" s="987" t="s">
        <v>863</v>
      </c>
      <c r="D122" s="987"/>
      <c r="E122" s="987"/>
      <c r="F122" s="987"/>
      <c r="G122" s="987"/>
      <c r="H122" s="987"/>
      <c r="I122" s="419" t="s">
        <v>863</v>
      </c>
      <c r="J122" s="988" t="s">
        <v>863</v>
      </c>
      <c r="K122" s="989"/>
    </row>
    <row r="123" spans="2:11" ht="27" thickBot="1" x14ac:dyDescent="0.35">
      <c r="B123" s="383" t="s">
        <v>1072</v>
      </c>
      <c r="C123" s="814" t="s">
        <v>1100</v>
      </c>
      <c r="D123" s="815"/>
      <c r="E123" s="383" t="s">
        <v>1070</v>
      </c>
      <c r="F123" s="402" t="s">
        <v>1137</v>
      </c>
      <c r="G123" s="816" t="s">
        <v>1267</v>
      </c>
      <c r="H123" s="817"/>
      <c r="I123" s="383" t="s">
        <v>1130</v>
      </c>
      <c r="J123" s="814" t="s">
        <v>1133</v>
      </c>
      <c r="K123" s="815"/>
    </row>
    <row r="124" spans="2:11" ht="13.8" thickBot="1" x14ac:dyDescent="0.35">
      <c r="B124" s="824" t="s">
        <v>1076</v>
      </c>
      <c r="C124" s="825"/>
      <c r="D124" s="825"/>
      <c r="E124" s="825"/>
      <c r="F124" s="825"/>
      <c r="G124" s="825"/>
      <c r="H124" s="825"/>
      <c r="I124" s="825"/>
      <c r="J124" s="825"/>
      <c r="K124" s="826"/>
    </row>
    <row r="125" spans="2:11" ht="13.8" thickBot="1" x14ac:dyDescent="0.35">
      <c r="B125" s="360" t="s">
        <v>863</v>
      </c>
      <c r="C125" s="835" t="s">
        <v>863</v>
      </c>
      <c r="D125" s="835"/>
      <c r="E125" s="835"/>
      <c r="F125" s="835"/>
      <c r="G125" s="835"/>
      <c r="H125" s="835"/>
      <c r="I125" s="835"/>
      <c r="J125" s="835"/>
      <c r="K125" s="836"/>
    </row>
    <row r="126" spans="2:11" ht="13.8" thickBot="1" x14ac:dyDescent="0.35">
      <c r="B126" s="824" t="s">
        <v>1077</v>
      </c>
      <c r="C126" s="825"/>
      <c r="D126" s="825"/>
      <c r="E126" s="825"/>
      <c r="F126" s="825"/>
      <c r="G126" s="825"/>
      <c r="H126" s="825"/>
      <c r="I126" s="825"/>
      <c r="J126" s="825"/>
      <c r="K126" s="826"/>
    </row>
    <row r="127" spans="2:11" x14ac:dyDescent="0.3">
      <c r="B127" s="361" t="s">
        <v>1151</v>
      </c>
      <c r="C127" s="951" t="s">
        <v>720</v>
      </c>
      <c r="D127" s="951"/>
      <c r="E127" s="951"/>
      <c r="F127" s="951"/>
      <c r="G127" s="951"/>
      <c r="H127" s="951"/>
      <c r="I127" s="951"/>
      <c r="J127" s="951"/>
      <c r="K127" s="952"/>
    </row>
    <row r="128" spans="2:11" ht="13.8" thickBot="1" x14ac:dyDescent="0.35">
      <c r="B128" s="365" t="s">
        <v>1152</v>
      </c>
      <c r="C128" s="993" t="s">
        <v>1150</v>
      </c>
      <c r="D128" s="993"/>
      <c r="E128" s="993"/>
      <c r="F128" s="993"/>
      <c r="G128" s="993"/>
      <c r="H128" s="993"/>
      <c r="I128" s="993"/>
      <c r="J128" s="993"/>
      <c r="K128" s="994"/>
    </row>
    <row r="129" spans="1:11" ht="13.8" thickBot="1" x14ac:dyDescent="0.35">
      <c r="B129" s="824" t="s">
        <v>1139</v>
      </c>
      <c r="C129" s="825"/>
      <c r="D129" s="825"/>
      <c r="E129" s="825"/>
      <c r="F129" s="825"/>
      <c r="G129" s="825"/>
      <c r="H129" s="825"/>
      <c r="I129" s="825"/>
      <c r="J129" s="825"/>
      <c r="K129" s="826"/>
    </row>
    <row r="130" spans="1:11" ht="13.8" thickBot="1" x14ac:dyDescent="0.35">
      <c r="B130" s="360" t="s">
        <v>863</v>
      </c>
      <c r="C130" s="835" t="s">
        <v>1140</v>
      </c>
      <c r="D130" s="835"/>
      <c r="E130" s="835"/>
      <c r="F130" s="835"/>
      <c r="G130" s="835"/>
      <c r="H130" s="835"/>
      <c r="I130" s="835"/>
      <c r="J130" s="835"/>
      <c r="K130" s="836"/>
    </row>
    <row r="132" spans="1:11" ht="13.8" thickBot="1" x14ac:dyDescent="0.35"/>
    <row r="133" spans="1:11" ht="13.8" thickBot="1" x14ac:dyDescent="0.35">
      <c r="B133" s="807" t="s">
        <v>1060</v>
      </c>
      <c r="C133" s="808"/>
      <c r="D133" s="808"/>
      <c r="E133" s="808"/>
      <c r="F133" s="808"/>
      <c r="G133" s="808"/>
      <c r="H133" s="808"/>
      <c r="I133" s="808"/>
      <c r="J133" s="808"/>
      <c r="K133" s="809"/>
    </row>
    <row r="134" spans="1:11" ht="13.8" thickBot="1" x14ac:dyDescent="0.35">
      <c r="B134" s="360" t="s">
        <v>584</v>
      </c>
      <c r="C134" s="810" t="s">
        <v>1248</v>
      </c>
      <c r="D134" s="810"/>
      <c r="E134" s="810"/>
      <c r="F134" s="810"/>
      <c r="G134" s="810"/>
      <c r="H134" s="810"/>
      <c r="I134" s="810"/>
      <c r="J134" s="810"/>
      <c r="K134" s="811"/>
    </row>
    <row r="135" spans="1:11" ht="13.8" thickBot="1" x14ac:dyDescent="0.35">
      <c r="B135" s="929" t="s">
        <v>1109</v>
      </c>
      <c r="C135" s="930"/>
      <c r="D135" s="930"/>
      <c r="E135" s="930"/>
      <c r="F135" s="930"/>
      <c r="G135" s="930"/>
      <c r="H135" s="930"/>
      <c r="I135" s="930"/>
      <c r="J135" s="930"/>
      <c r="K135" s="931"/>
    </row>
    <row r="136" spans="1:11" x14ac:dyDescent="0.3">
      <c r="B136" s="449" t="s">
        <v>1110</v>
      </c>
      <c r="C136" s="992" t="s">
        <v>1111</v>
      </c>
      <c r="D136" s="992"/>
      <c r="E136" s="992"/>
      <c r="F136" s="992"/>
      <c r="G136" s="992"/>
      <c r="H136" s="992"/>
      <c r="I136" s="992"/>
      <c r="J136" s="992"/>
      <c r="K136" s="450" t="s">
        <v>35</v>
      </c>
    </row>
    <row r="137" spans="1:11" x14ac:dyDescent="0.3">
      <c r="A137" s="352"/>
      <c r="B137" s="363"/>
      <c r="C137" s="804" t="s">
        <v>1206</v>
      </c>
      <c r="D137" s="805"/>
      <c r="E137" s="805"/>
      <c r="F137" s="805"/>
      <c r="G137" s="805"/>
      <c r="H137" s="805"/>
      <c r="I137" s="805"/>
      <c r="J137" s="806"/>
      <c r="K137" s="364"/>
    </row>
    <row r="138" spans="1:11" x14ac:dyDescent="0.3">
      <c r="B138" s="451" t="s">
        <v>1112</v>
      </c>
      <c r="C138" s="991" t="s">
        <v>1118</v>
      </c>
      <c r="D138" s="991"/>
      <c r="E138" s="991"/>
      <c r="F138" s="991"/>
      <c r="G138" s="991"/>
      <c r="H138" s="991"/>
      <c r="I138" s="991"/>
      <c r="J138" s="991"/>
      <c r="K138" s="452" t="s">
        <v>35</v>
      </c>
    </row>
    <row r="139" spans="1:11" x14ac:dyDescent="0.3">
      <c r="B139" s="451" t="s">
        <v>1113</v>
      </c>
      <c r="C139" s="991" t="s">
        <v>1119</v>
      </c>
      <c r="D139" s="991"/>
      <c r="E139" s="991"/>
      <c r="F139" s="991"/>
      <c r="G139" s="991"/>
      <c r="H139" s="991"/>
      <c r="I139" s="991"/>
      <c r="J139" s="991"/>
      <c r="K139" s="452" t="s">
        <v>35</v>
      </c>
    </row>
    <row r="140" spans="1:11" x14ac:dyDescent="0.3">
      <c r="B140" s="451" t="s">
        <v>1114</v>
      </c>
      <c r="C140" s="991" t="s">
        <v>1120</v>
      </c>
      <c r="D140" s="991"/>
      <c r="E140" s="991"/>
      <c r="F140" s="991"/>
      <c r="G140" s="991"/>
      <c r="H140" s="991"/>
      <c r="I140" s="991"/>
      <c r="J140" s="991"/>
      <c r="K140" s="452" t="s">
        <v>35</v>
      </c>
    </row>
    <row r="141" spans="1:11" ht="27" customHeight="1" x14ac:dyDescent="0.3">
      <c r="B141" s="451" t="s">
        <v>1115</v>
      </c>
      <c r="C141" s="991" t="s">
        <v>1121</v>
      </c>
      <c r="D141" s="991"/>
      <c r="E141" s="991"/>
      <c r="F141" s="991"/>
      <c r="G141" s="991"/>
      <c r="H141" s="991"/>
      <c r="I141" s="991"/>
      <c r="J141" s="991"/>
      <c r="K141" s="452" t="s">
        <v>35</v>
      </c>
    </row>
    <row r="142" spans="1:11" x14ac:dyDescent="0.3">
      <c r="B142" s="451" t="s">
        <v>1116</v>
      </c>
      <c r="C142" s="991" t="s">
        <v>1272</v>
      </c>
      <c r="D142" s="991"/>
      <c r="E142" s="991"/>
      <c r="F142" s="991"/>
      <c r="G142" s="991"/>
      <c r="H142" s="991"/>
      <c r="I142" s="991"/>
      <c r="J142" s="991"/>
      <c r="K142" s="452" t="s">
        <v>35</v>
      </c>
    </row>
    <row r="143" spans="1:11" ht="13.8" thickBot="1" x14ac:dyDescent="0.35">
      <c r="B143" s="453" t="s">
        <v>1117</v>
      </c>
      <c r="C143" s="990" t="s">
        <v>1122</v>
      </c>
      <c r="D143" s="990"/>
      <c r="E143" s="990"/>
      <c r="F143" s="990"/>
      <c r="G143" s="990"/>
      <c r="H143" s="990"/>
      <c r="I143" s="990"/>
      <c r="J143" s="990"/>
      <c r="K143" s="454" t="s">
        <v>35</v>
      </c>
    </row>
    <row r="144" spans="1:11" ht="13.8" thickBot="1" x14ac:dyDescent="0.35">
      <c r="B144" s="391"/>
      <c r="C144" s="915" t="s">
        <v>1123</v>
      </c>
      <c r="D144" s="916"/>
      <c r="E144" s="916"/>
      <c r="F144" s="916"/>
      <c r="G144" s="916"/>
      <c r="H144" s="916"/>
      <c r="I144" s="916"/>
      <c r="J144" s="917"/>
      <c r="K144" s="392" t="str">
        <f>IF(OR(K136="Yes",K138="Yes",K139="Yes",K140="Yes",K141="Yes",K142="Yes",K143="Yes"),"Yes","No")</f>
        <v>No</v>
      </c>
    </row>
    <row r="145" spans="2:11" ht="13.8" thickBot="1" x14ac:dyDescent="0.35">
      <c r="B145" s="834" t="s">
        <v>1061</v>
      </c>
      <c r="C145" s="834"/>
      <c r="D145" s="834"/>
      <c r="E145" s="834"/>
      <c r="F145" s="834"/>
      <c r="G145" s="834" t="s">
        <v>1062</v>
      </c>
      <c r="H145" s="834"/>
      <c r="I145" s="834"/>
      <c r="J145" s="834"/>
      <c r="K145" s="834"/>
    </row>
    <row r="146" spans="2:11" ht="27" thickBot="1" x14ac:dyDescent="0.35">
      <c r="B146" s="371" t="s">
        <v>26</v>
      </c>
      <c r="C146" s="372" t="s">
        <v>553</v>
      </c>
      <c r="D146" s="372" t="s">
        <v>19</v>
      </c>
      <c r="E146" s="372" t="s">
        <v>1262</v>
      </c>
      <c r="F146" s="373" t="s">
        <v>554</v>
      </c>
      <c r="G146" s="374" t="s">
        <v>1063</v>
      </c>
      <c r="H146" s="372" t="s">
        <v>1064</v>
      </c>
      <c r="I146" s="375" t="s">
        <v>1065</v>
      </c>
      <c r="J146" s="375" t="s">
        <v>1066</v>
      </c>
      <c r="K146" s="376" t="s">
        <v>1067</v>
      </c>
    </row>
    <row r="147" spans="2:11" ht="13.8" thickBot="1" x14ac:dyDescent="0.35">
      <c r="B147" s="433" t="s">
        <v>621</v>
      </c>
      <c r="C147" s="434" t="s">
        <v>621</v>
      </c>
      <c r="D147" s="434" t="s">
        <v>621</v>
      </c>
      <c r="E147" s="434" t="s">
        <v>619</v>
      </c>
      <c r="F147" s="435" t="s">
        <v>619</v>
      </c>
      <c r="G147" s="436" t="s">
        <v>619</v>
      </c>
      <c r="H147" s="434" t="s">
        <v>621</v>
      </c>
      <c r="I147" s="434" t="s">
        <v>621</v>
      </c>
      <c r="J147" s="434" t="s">
        <v>619</v>
      </c>
      <c r="K147" s="435" t="s">
        <v>621</v>
      </c>
    </row>
    <row r="148" spans="2:11" ht="13.8" thickBot="1" x14ac:dyDescent="0.35">
      <c r="B148" s="807" t="s">
        <v>1068</v>
      </c>
      <c r="C148" s="808"/>
      <c r="D148" s="808"/>
      <c r="E148" s="808"/>
      <c r="F148" s="808"/>
      <c r="G148" s="808"/>
      <c r="H148" s="808"/>
      <c r="I148" s="808"/>
      <c r="J148" s="808"/>
      <c r="K148" s="809"/>
    </row>
    <row r="149" spans="2:11" ht="27" thickBot="1" x14ac:dyDescent="0.35">
      <c r="B149" s="369" t="s">
        <v>1124</v>
      </c>
      <c r="C149" s="918" t="s">
        <v>31</v>
      </c>
      <c r="D149" s="918"/>
      <c r="E149" s="918"/>
      <c r="F149" s="918"/>
      <c r="G149" s="918"/>
      <c r="H149" s="918"/>
      <c r="I149" s="401" t="s">
        <v>1125</v>
      </c>
      <c r="J149" s="906" t="s">
        <v>1074</v>
      </c>
      <c r="K149" s="907"/>
    </row>
    <row r="150" spans="2:11" ht="27" customHeight="1" thickBot="1" x14ac:dyDescent="0.35">
      <c r="B150" s="418" t="s">
        <v>1141</v>
      </c>
      <c r="C150" s="987" t="s">
        <v>1249</v>
      </c>
      <c r="D150" s="987"/>
      <c r="E150" s="987"/>
      <c r="F150" s="987"/>
      <c r="G150" s="987"/>
      <c r="H150" s="987"/>
      <c r="I150" s="420" t="s">
        <v>37</v>
      </c>
      <c r="J150" s="988" t="s">
        <v>1837</v>
      </c>
      <c r="K150" s="989"/>
    </row>
    <row r="151" spans="2:11" ht="27" thickBot="1" x14ac:dyDescent="0.35">
      <c r="B151" s="383" t="s">
        <v>1072</v>
      </c>
      <c r="C151" s="814" t="s">
        <v>1100</v>
      </c>
      <c r="D151" s="815"/>
      <c r="E151" s="383" t="s">
        <v>1070</v>
      </c>
      <c r="F151" s="402" t="s">
        <v>1137</v>
      </c>
      <c r="G151" s="816" t="s">
        <v>1266</v>
      </c>
      <c r="H151" s="817"/>
      <c r="I151" s="383" t="s">
        <v>1130</v>
      </c>
      <c r="J151" s="814" t="s">
        <v>1133</v>
      </c>
      <c r="K151" s="815"/>
    </row>
    <row r="152" spans="2:11" ht="13.8" thickBot="1" x14ac:dyDescent="0.35">
      <c r="B152" s="824" t="s">
        <v>1076</v>
      </c>
      <c r="C152" s="825"/>
      <c r="D152" s="825"/>
      <c r="E152" s="825"/>
      <c r="F152" s="825"/>
      <c r="G152" s="825"/>
      <c r="H152" s="825"/>
      <c r="I152" s="825"/>
      <c r="J152" s="825"/>
      <c r="K152" s="826"/>
    </row>
    <row r="153" spans="2:11" ht="26.4" customHeight="1" thickBot="1" x14ac:dyDescent="0.35">
      <c r="B153" s="360" t="s">
        <v>1141</v>
      </c>
      <c r="C153" s="830" t="s">
        <v>1838</v>
      </c>
      <c r="D153" s="816"/>
      <c r="E153" s="816"/>
      <c r="F153" s="816"/>
      <c r="G153" s="816"/>
      <c r="H153" s="816"/>
      <c r="I153" s="816"/>
      <c r="J153" s="816"/>
      <c r="K153" s="817"/>
    </row>
    <row r="154" spans="2:11" ht="13.8" thickBot="1" x14ac:dyDescent="0.35">
      <c r="B154" s="824" t="s">
        <v>1077</v>
      </c>
      <c r="C154" s="825"/>
      <c r="D154" s="825"/>
      <c r="E154" s="825"/>
      <c r="F154" s="825"/>
      <c r="G154" s="825"/>
      <c r="H154" s="825"/>
      <c r="I154" s="825"/>
      <c r="J154" s="825"/>
      <c r="K154" s="826"/>
    </row>
    <row r="155" spans="2:11" x14ac:dyDescent="0.3">
      <c r="B155" s="361" t="s">
        <v>693</v>
      </c>
      <c r="C155" s="951" t="s">
        <v>262</v>
      </c>
      <c r="D155" s="951"/>
      <c r="E155" s="951"/>
      <c r="F155" s="951"/>
      <c r="G155" s="951"/>
      <c r="H155" s="951"/>
      <c r="I155" s="951"/>
      <c r="J155" s="951"/>
      <c r="K155" s="952"/>
    </row>
    <row r="156" spans="2:11" x14ac:dyDescent="0.3">
      <c r="B156" s="365" t="s">
        <v>694</v>
      </c>
      <c r="C156" s="804" t="s">
        <v>264</v>
      </c>
      <c r="D156" s="805"/>
      <c r="E156" s="805"/>
      <c r="F156" s="805"/>
      <c r="G156" s="805"/>
      <c r="H156" s="805"/>
      <c r="I156" s="805"/>
      <c r="J156" s="805"/>
      <c r="K156" s="886"/>
    </row>
    <row r="157" spans="2:11" ht="27" customHeight="1" x14ac:dyDescent="0.3">
      <c r="B157" s="423" t="s">
        <v>1155</v>
      </c>
      <c r="C157" s="767" t="s">
        <v>1397</v>
      </c>
      <c r="D157" s="767"/>
      <c r="E157" s="767"/>
      <c r="F157" s="767"/>
      <c r="G157" s="767"/>
      <c r="H157" s="767"/>
      <c r="I157" s="767"/>
      <c r="J157" s="767"/>
      <c r="K157" s="875"/>
    </row>
    <row r="158" spans="2:11" ht="16.2" customHeight="1" thickBot="1" x14ac:dyDescent="0.35">
      <c r="B158" s="367" t="s">
        <v>1766</v>
      </c>
      <c r="C158" s="831" t="s">
        <v>1767</v>
      </c>
      <c r="D158" s="831"/>
      <c r="E158" s="831"/>
      <c r="F158" s="831"/>
      <c r="G158" s="831"/>
      <c r="H158" s="831"/>
      <c r="I158" s="831"/>
      <c r="J158" s="831"/>
      <c r="K158" s="832"/>
    </row>
    <row r="159" spans="2:11" ht="13.8" thickBot="1" x14ac:dyDescent="0.35">
      <c r="B159" s="824" t="s">
        <v>1139</v>
      </c>
      <c r="C159" s="825"/>
      <c r="D159" s="825"/>
      <c r="E159" s="825"/>
      <c r="F159" s="825"/>
      <c r="G159" s="825"/>
      <c r="H159" s="825"/>
      <c r="I159" s="825"/>
      <c r="J159" s="825"/>
      <c r="K159" s="826"/>
    </row>
    <row r="160" spans="2:11" ht="13.8" thickBot="1" x14ac:dyDescent="0.35">
      <c r="B160" s="360" t="s">
        <v>863</v>
      </c>
      <c r="C160" s="835" t="s">
        <v>1140</v>
      </c>
      <c r="D160" s="835"/>
      <c r="E160" s="835"/>
      <c r="F160" s="835"/>
      <c r="G160" s="835"/>
      <c r="H160" s="835"/>
      <c r="I160" s="835"/>
      <c r="J160" s="835"/>
      <c r="K160" s="836"/>
    </row>
    <row r="162" spans="2:11" ht="13.8" thickBot="1" x14ac:dyDescent="0.35"/>
    <row r="163" spans="2:11" ht="13.8" thickBot="1" x14ac:dyDescent="0.35">
      <c r="B163" s="807" t="s">
        <v>1060</v>
      </c>
      <c r="C163" s="808"/>
      <c r="D163" s="808"/>
      <c r="E163" s="808"/>
      <c r="F163" s="808"/>
      <c r="G163" s="808"/>
      <c r="H163" s="808"/>
      <c r="I163" s="808"/>
      <c r="J163" s="808"/>
      <c r="K163" s="809"/>
    </row>
    <row r="164" spans="2:11" ht="13.8" thickBot="1" x14ac:dyDescent="0.35">
      <c r="B164" s="360" t="s">
        <v>1372</v>
      </c>
      <c r="C164" s="810" t="s">
        <v>1373</v>
      </c>
      <c r="D164" s="810"/>
      <c r="E164" s="810"/>
      <c r="F164" s="810"/>
      <c r="G164" s="810"/>
      <c r="H164" s="810"/>
      <c r="I164" s="810"/>
      <c r="J164" s="810"/>
      <c r="K164" s="811"/>
    </row>
    <row r="165" spans="2:11" ht="13.8" thickBot="1" x14ac:dyDescent="0.35">
      <c r="B165" s="929" t="s">
        <v>1109</v>
      </c>
      <c r="C165" s="930"/>
      <c r="D165" s="930"/>
      <c r="E165" s="930"/>
      <c r="F165" s="930"/>
      <c r="G165" s="930"/>
      <c r="H165" s="930"/>
      <c r="I165" s="930"/>
      <c r="J165" s="930"/>
      <c r="K165" s="931"/>
    </row>
    <row r="166" spans="2:11" x14ac:dyDescent="0.3">
      <c r="B166" s="449" t="s">
        <v>1110</v>
      </c>
      <c r="C166" s="992" t="s">
        <v>1111</v>
      </c>
      <c r="D166" s="992"/>
      <c r="E166" s="992"/>
      <c r="F166" s="992"/>
      <c r="G166" s="992"/>
      <c r="H166" s="992"/>
      <c r="I166" s="992"/>
      <c r="J166" s="992"/>
      <c r="K166" s="450" t="s">
        <v>35</v>
      </c>
    </row>
    <row r="167" spans="2:11" x14ac:dyDescent="0.3">
      <c r="B167" s="363"/>
      <c r="C167" s="804" t="s">
        <v>1206</v>
      </c>
      <c r="D167" s="805"/>
      <c r="E167" s="805"/>
      <c r="F167" s="805"/>
      <c r="G167" s="805"/>
      <c r="H167" s="805"/>
      <c r="I167" s="805"/>
      <c r="J167" s="806"/>
      <c r="K167" s="364"/>
    </row>
    <row r="168" spans="2:11" x14ac:dyDescent="0.3">
      <c r="B168" s="451" t="s">
        <v>1112</v>
      </c>
      <c r="C168" s="991" t="s">
        <v>1118</v>
      </c>
      <c r="D168" s="991"/>
      <c r="E168" s="991"/>
      <c r="F168" s="991"/>
      <c r="G168" s="991"/>
      <c r="H168" s="991"/>
      <c r="I168" s="991"/>
      <c r="J168" s="991"/>
      <c r="K168" s="452" t="s">
        <v>35</v>
      </c>
    </row>
    <row r="169" spans="2:11" x14ac:dyDescent="0.3">
      <c r="B169" s="451" t="s">
        <v>1113</v>
      </c>
      <c r="C169" s="991" t="s">
        <v>1119</v>
      </c>
      <c r="D169" s="991"/>
      <c r="E169" s="991"/>
      <c r="F169" s="991"/>
      <c r="G169" s="991"/>
      <c r="H169" s="991"/>
      <c r="I169" s="991"/>
      <c r="J169" s="991"/>
      <c r="K169" s="452" t="s">
        <v>35</v>
      </c>
    </row>
    <row r="170" spans="2:11" x14ac:dyDescent="0.3">
      <c r="B170" s="451" t="s">
        <v>1114</v>
      </c>
      <c r="C170" s="991" t="s">
        <v>1120</v>
      </c>
      <c r="D170" s="991"/>
      <c r="E170" s="991"/>
      <c r="F170" s="991"/>
      <c r="G170" s="991"/>
      <c r="H170" s="991"/>
      <c r="I170" s="991"/>
      <c r="J170" s="991"/>
      <c r="K170" s="452" t="s">
        <v>35</v>
      </c>
    </row>
    <row r="171" spans="2:11" x14ac:dyDescent="0.3">
      <c r="B171" s="451" t="s">
        <v>1115</v>
      </c>
      <c r="C171" s="991" t="s">
        <v>1121</v>
      </c>
      <c r="D171" s="991"/>
      <c r="E171" s="991"/>
      <c r="F171" s="991"/>
      <c r="G171" s="991"/>
      <c r="H171" s="991"/>
      <c r="I171" s="991"/>
      <c r="J171" s="991"/>
      <c r="K171" s="452" t="s">
        <v>35</v>
      </c>
    </row>
    <row r="172" spans="2:11" x14ac:dyDescent="0.3">
      <c r="B172" s="451" t="s">
        <v>1116</v>
      </c>
      <c r="C172" s="991" t="s">
        <v>1272</v>
      </c>
      <c r="D172" s="991"/>
      <c r="E172" s="991"/>
      <c r="F172" s="991"/>
      <c r="G172" s="991"/>
      <c r="H172" s="991"/>
      <c r="I172" s="991"/>
      <c r="J172" s="991"/>
      <c r="K172" s="452" t="s">
        <v>35</v>
      </c>
    </row>
    <row r="173" spans="2:11" ht="13.8" thickBot="1" x14ac:dyDescent="0.35">
      <c r="B173" s="453" t="s">
        <v>1117</v>
      </c>
      <c r="C173" s="990" t="s">
        <v>1122</v>
      </c>
      <c r="D173" s="990"/>
      <c r="E173" s="990"/>
      <c r="F173" s="990"/>
      <c r="G173" s="990"/>
      <c r="H173" s="990"/>
      <c r="I173" s="990"/>
      <c r="J173" s="990"/>
      <c r="K173" s="454" t="s">
        <v>35</v>
      </c>
    </row>
    <row r="174" spans="2:11" ht="13.8" thickBot="1" x14ac:dyDescent="0.35">
      <c r="B174" s="391"/>
      <c r="C174" s="915" t="s">
        <v>1123</v>
      </c>
      <c r="D174" s="916"/>
      <c r="E174" s="916"/>
      <c r="F174" s="916"/>
      <c r="G174" s="916"/>
      <c r="H174" s="916"/>
      <c r="I174" s="916"/>
      <c r="J174" s="917"/>
      <c r="K174" s="392" t="str">
        <f>IF(OR(K166="Yes",K168="Yes",K169="Yes",K170="Yes",K171="Yes",K172="Yes",K173="Yes"),"Yes","No")</f>
        <v>No</v>
      </c>
    </row>
    <row r="175" spans="2:11" ht="13.8" thickBot="1" x14ac:dyDescent="0.35">
      <c r="B175" s="834" t="s">
        <v>1061</v>
      </c>
      <c r="C175" s="834"/>
      <c r="D175" s="834"/>
      <c r="E175" s="834"/>
      <c r="F175" s="834"/>
      <c r="G175" s="834" t="s">
        <v>1062</v>
      </c>
      <c r="H175" s="834"/>
      <c r="I175" s="834"/>
      <c r="J175" s="834"/>
      <c r="K175" s="834"/>
    </row>
    <row r="176" spans="2:11" ht="27" thickBot="1" x14ac:dyDescent="0.35">
      <c r="B176" s="371" t="s">
        <v>26</v>
      </c>
      <c r="C176" s="372" t="s">
        <v>553</v>
      </c>
      <c r="D176" s="372" t="s">
        <v>19</v>
      </c>
      <c r="E176" s="372" t="s">
        <v>1262</v>
      </c>
      <c r="F176" s="373" t="s">
        <v>1374</v>
      </c>
      <c r="G176" s="374" t="s">
        <v>1063</v>
      </c>
      <c r="H176" s="372" t="s">
        <v>1064</v>
      </c>
      <c r="I176" s="375" t="s">
        <v>1065</v>
      </c>
      <c r="J176" s="375" t="s">
        <v>1066</v>
      </c>
      <c r="K176" s="376" t="s">
        <v>1067</v>
      </c>
    </row>
    <row r="177" spans="2:11" ht="13.8" thickBot="1" x14ac:dyDescent="0.35">
      <c r="B177" s="433" t="s">
        <v>621</v>
      </c>
      <c r="C177" s="434" t="s">
        <v>621</v>
      </c>
      <c r="D177" s="434" t="s">
        <v>621</v>
      </c>
      <c r="E177" s="434" t="s">
        <v>619</v>
      </c>
      <c r="F177" s="435" t="s">
        <v>619</v>
      </c>
      <c r="G177" s="436" t="s">
        <v>619</v>
      </c>
      <c r="H177" s="434" t="s">
        <v>621</v>
      </c>
      <c r="I177" s="434" t="s">
        <v>621</v>
      </c>
      <c r="J177" s="434" t="s">
        <v>621</v>
      </c>
      <c r="K177" s="435" t="s">
        <v>621</v>
      </c>
    </row>
    <row r="178" spans="2:11" ht="13.8" thickBot="1" x14ac:dyDescent="0.35">
      <c r="B178" s="807" t="s">
        <v>1068</v>
      </c>
      <c r="C178" s="808"/>
      <c r="D178" s="808"/>
      <c r="E178" s="808"/>
      <c r="F178" s="808"/>
      <c r="G178" s="808"/>
      <c r="H178" s="808"/>
      <c r="I178" s="808"/>
      <c r="J178" s="808"/>
      <c r="K178" s="809"/>
    </row>
    <row r="179" spans="2:11" ht="27" thickBot="1" x14ac:dyDescent="0.35">
      <c r="B179" s="369" t="s">
        <v>1124</v>
      </c>
      <c r="C179" s="918" t="s">
        <v>31</v>
      </c>
      <c r="D179" s="918"/>
      <c r="E179" s="918"/>
      <c r="F179" s="918"/>
      <c r="G179" s="918"/>
      <c r="H179" s="918"/>
      <c r="I179" s="401" t="s">
        <v>1125</v>
      </c>
      <c r="J179" s="906" t="s">
        <v>1074</v>
      </c>
      <c r="K179" s="907"/>
    </row>
    <row r="180" spans="2:11" ht="13.8" thickBot="1" x14ac:dyDescent="0.35">
      <c r="B180" s="418" t="s">
        <v>863</v>
      </c>
      <c r="C180" s="987" t="s">
        <v>863</v>
      </c>
      <c r="D180" s="987"/>
      <c r="E180" s="987"/>
      <c r="F180" s="987"/>
      <c r="G180" s="987"/>
      <c r="H180" s="987"/>
      <c r="I180" s="420" t="s">
        <v>863</v>
      </c>
      <c r="J180" s="988"/>
      <c r="K180" s="989"/>
    </row>
    <row r="181" spans="2:11" ht="27" thickBot="1" x14ac:dyDescent="0.35">
      <c r="B181" s="383" t="s">
        <v>1072</v>
      </c>
      <c r="C181" s="814" t="s">
        <v>1100</v>
      </c>
      <c r="D181" s="815"/>
      <c r="E181" s="383" t="s">
        <v>1070</v>
      </c>
      <c r="F181" s="402" t="s">
        <v>1137</v>
      </c>
      <c r="G181" s="816" t="s">
        <v>1375</v>
      </c>
      <c r="H181" s="817"/>
      <c r="I181" s="383" t="s">
        <v>1130</v>
      </c>
      <c r="J181" s="814" t="s">
        <v>1133</v>
      </c>
      <c r="K181" s="815"/>
    </row>
    <row r="182" spans="2:11" ht="13.8" thickBot="1" x14ac:dyDescent="0.35">
      <c r="B182" s="824" t="s">
        <v>1076</v>
      </c>
      <c r="C182" s="825"/>
      <c r="D182" s="825"/>
      <c r="E182" s="825"/>
      <c r="F182" s="825"/>
      <c r="G182" s="825"/>
      <c r="H182" s="825"/>
      <c r="I182" s="825"/>
      <c r="J182" s="825"/>
      <c r="K182" s="826"/>
    </row>
    <row r="183" spans="2:11" ht="13.8" thickBot="1" x14ac:dyDescent="0.35">
      <c r="B183" s="360" t="s">
        <v>863</v>
      </c>
      <c r="C183" s="883" t="s">
        <v>863</v>
      </c>
      <c r="D183" s="884"/>
      <c r="E183" s="884"/>
      <c r="F183" s="884"/>
      <c r="G183" s="884"/>
      <c r="H183" s="884"/>
      <c r="I183" s="884"/>
      <c r="J183" s="884"/>
      <c r="K183" s="885"/>
    </row>
    <row r="184" spans="2:11" ht="13.8" thickBot="1" x14ac:dyDescent="0.35">
      <c r="B184" s="824" t="s">
        <v>1077</v>
      </c>
      <c r="C184" s="825"/>
      <c r="D184" s="825"/>
      <c r="E184" s="825"/>
      <c r="F184" s="825"/>
      <c r="G184" s="825"/>
      <c r="H184" s="825"/>
      <c r="I184" s="825"/>
      <c r="J184" s="825"/>
      <c r="K184" s="826"/>
    </row>
    <row r="185" spans="2:11" ht="27.75" customHeight="1" x14ac:dyDescent="0.3">
      <c r="B185" s="361" t="s">
        <v>1376</v>
      </c>
      <c r="C185" s="863" t="s">
        <v>1377</v>
      </c>
      <c r="D185" s="864"/>
      <c r="E185" s="864"/>
      <c r="F185" s="864"/>
      <c r="G185" s="864"/>
      <c r="H185" s="864"/>
      <c r="I185" s="864"/>
      <c r="J185" s="864"/>
      <c r="K185" s="865"/>
    </row>
    <row r="186" spans="2:11" ht="27" customHeight="1" thickBot="1" x14ac:dyDescent="0.35">
      <c r="B186" s="365" t="s">
        <v>1378</v>
      </c>
      <c r="C186" s="804" t="s">
        <v>1379</v>
      </c>
      <c r="D186" s="805"/>
      <c r="E186" s="805"/>
      <c r="F186" s="805"/>
      <c r="G186" s="805"/>
      <c r="H186" s="805"/>
      <c r="I186" s="805"/>
      <c r="J186" s="805"/>
      <c r="K186" s="886"/>
    </row>
    <row r="187" spans="2:11" ht="13.8" thickBot="1" x14ac:dyDescent="0.35">
      <c r="B187" s="824" t="s">
        <v>1139</v>
      </c>
      <c r="C187" s="825"/>
      <c r="D187" s="825"/>
      <c r="E187" s="825"/>
      <c r="F187" s="825"/>
      <c r="G187" s="825"/>
      <c r="H187" s="825"/>
      <c r="I187" s="825"/>
      <c r="J187" s="825"/>
      <c r="K187" s="826"/>
    </row>
    <row r="188" spans="2:11" ht="13.8" thickBot="1" x14ac:dyDescent="0.35">
      <c r="B188" s="360" t="s">
        <v>863</v>
      </c>
      <c r="C188" s="835" t="s">
        <v>1140</v>
      </c>
      <c r="D188" s="835"/>
      <c r="E188" s="835"/>
      <c r="F188" s="835"/>
      <c r="G188" s="835"/>
      <c r="H188" s="835"/>
      <c r="I188" s="835"/>
      <c r="J188" s="835"/>
      <c r="K188" s="836"/>
    </row>
  </sheetData>
  <autoFilter ref="A2:S188" xr:uid="{00000000-0009-0000-0000-00000F000000}"/>
  <mergeCells count="192">
    <mergeCell ref="B5:D5"/>
    <mergeCell ref="B6:D6"/>
    <mergeCell ref="B7:D7"/>
    <mergeCell ref="B11:K11"/>
    <mergeCell ref="C12:K12"/>
    <mergeCell ref="B13:K13"/>
    <mergeCell ref="C20:J20"/>
    <mergeCell ref="C21:J21"/>
    <mergeCell ref="C22:J22"/>
    <mergeCell ref="B23:F23"/>
    <mergeCell ref="G23:K23"/>
    <mergeCell ref="B26:K26"/>
    <mergeCell ref="C14:J14"/>
    <mergeCell ref="C15:J15"/>
    <mergeCell ref="C16:J16"/>
    <mergeCell ref="C17:J17"/>
    <mergeCell ref="C18:J18"/>
    <mergeCell ref="C19:J19"/>
    <mergeCell ref="C30:H30"/>
    <mergeCell ref="J30:K30"/>
    <mergeCell ref="C31:H31"/>
    <mergeCell ref="J31:K31"/>
    <mergeCell ref="C32:D32"/>
    <mergeCell ref="G32:H32"/>
    <mergeCell ref="J32:K32"/>
    <mergeCell ref="C27:H27"/>
    <mergeCell ref="J27:K27"/>
    <mergeCell ref="C28:H28"/>
    <mergeCell ref="J28:K28"/>
    <mergeCell ref="C29:H29"/>
    <mergeCell ref="J29:K29"/>
    <mergeCell ref="B39:K39"/>
    <mergeCell ref="C40:K40"/>
    <mergeCell ref="B43:K43"/>
    <mergeCell ref="C44:K44"/>
    <mergeCell ref="B45:K45"/>
    <mergeCell ref="C46:J46"/>
    <mergeCell ref="B33:K33"/>
    <mergeCell ref="C34:K34"/>
    <mergeCell ref="C35:K35"/>
    <mergeCell ref="B36:K36"/>
    <mergeCell ref="C37:K37"/>
    <mergeCell ref="C38:K38"/>
    <mergeCell ref="C53:J53"/>
    <mergeCell ref="C54:J54"/>
    <mergeCell ref="B55:F55"/>
    <mergeCell ref="G55:K55"/>
    <mergeCell ref="B58:K58"/>
    <mergeCell ref="C59:H59"/>
    <mergeCell ref="J59:K59"/>
    <mergeCell ref="C47:J47"/>
    <mergeCell ref="C48:J48"/>
    <mergeCell ref="C49:J49"/>
    <mergeCell ref="C50:J50"/>
    <mergeCell ref="C51:J51"/>
    <mergeCell ref="C52:J52"/>
    <mergeCell ref="B63:K63"/>
    <mergeCell ref="C64:K64"/>
    <mergeCell ref="B65:K65"/>
    <mergeCell ref="C66:K66"/>
    <mergeCell ref="C67:K67"/>
    <mergeCell ref="B68:K68"/>
    <mergeCell ref="C60:H60"/>
    <mergeCell ref="J60:K60"/>
    <mergeCell ref="C61:H61"/>
    <mergeCell ref="J61:K61"/>
    <mergeCell ref="C62:D62"/>
    <mergeCell ref="G62:H62"/>
    <mergeCell ref="J62:K62"/>
    <mergeCell ref="C78:J78"/>
    <mergeCell ref="C79:J79"/>
    <mergeCell ref="C80:J80"/>
    <mergeCell ref="C81:J81"/>
    <mergeCell ref="C82:J82"/>
    <mergeCell ref="C83:J83"/>
    <mergeCell ref="C69:K69"/>
    <mergeCell ref="B73:K73"/>
    <mergeCell ref="C74:K74"/>
    <mergeCell ref="B75:K75"/>
    <mergeCell ref="C76:J76"/>
    <mergeCell ref="C77:J77"/>
    <mergeCell ref="C90:H90"/>
    <mergeCell ref="J90:K90"/>
    <mergeCell ref="C91:H91"/>
    <mergeCell ref="J91:K91"/>
    <mergeCell ref="C92:D92"/>
    <mergeCell ref="G92:H92"/>
    <mergeCell ref="J92:K92"/>
    <mergeCell ref="C84:J84"/>
    <mergeCell ref="B85:F85"/>
    <mergeCell ref="G85:K85"/>
    <mergeCell ref="B88:K88"/>
    <mergeCell ref="C89:H89"/>
    <mergeCell ref="J89:K89"/>
    <mergeCell ref="C99:K99"/>
    <mergeCell ref="B100:K100"/>
    <mergeCell ref="C101:K101"/>
    <mergeCell ref="B105:K105"/>
    <mergeCell ref="C106:K106"/>
    <mergeCell ref="B107:K107"/>
    <mergeCell ref="B93:K93"/>
    <mergeCell ref="C94:K94"/>
    <mergeCell ref="B95:K95"/>
    <mergeCell ref="C96:K96"/>
    <mergeCell ref="C97:K97"/>
    <mergeCell ref="C98:K98"/>
    <mergeCell ref="C114:J114"/>
    <mergeCell ref="C115:J115"/>
    <mergeCell ref="C116:J116"/>
    <mergeCell ref="B117:F117"/>
    <mergeCell ref="G117:K117"/>
    <mergeCell ref="B120:K120"/>
    <mergeCell ref="C108:J108"/>
    <mergeCell ref="C109:J109"/>
    <mergeCell ref="C110:J110"/>
    <mergeCell ref="C111:J111"/>
    <mergeCell ref="C112:J112"/>
    <mergeCell ref="C113:J113"/>
    <mergeCell ref="B124:K124"/>
    <mergeCell ref="C125:K125"/>
    <mergeCell ref="B126:K126"/>
    <mergeCell ref="C127:K127"/>
    <mergeCell ref="C128:K128"/>
    <mergeCell ref="B129:K129"/>
    <mergeCell ref="C121:H121"/>
    <mergeCell ref="J121:K121"/>
    <mergeCell ref="C122:H122"/>
    <mergeCell ref="J122:K122"/>
    <mergeCell ref="C123:D123"/>
    <mergeCell ref="G123:H123"/>
    <mergeCell ref="J123:K123"/>
    <mergeCell ref="C138:J138"/>
    <mergeCell ref="C139:J139"/>
    <mergeCell ref="C140:J140"/>
    <mergeCell ref="C141:J141"/>
    <mergeCell ref="C142:J142"/>
    <mergeCell ref="C143:J143"/>
    <mergeCell ref="C130:K130"/>
    <mergeCell ref="B133:K133"/>
    <mergeCell ref="C134:K134"/>
    <mergeCell ref="B135:K135"/>
    <mergeCell ref="C136:J136"/>
    <mergeCell ref="C137:J137"/>
    <mergeCell ref="C150:H150"/>
    <mergeCell ref="J150:K150"/>
    <mergeCell ref="C151:D151"/>
    <mergeCell ref="G151:H151"/>
    <mergeCell ref="J151:K151"/>
    <mergeCell ref="B152:K152"/>
    <mergeCell ref="C144:J144"/>
    <mergeCell ref="B145:F145"/>
    <mergeCell ref="G145:K145"/>
    <mergeCell ref="B148:K148"/>
    <mergeCell ref="C149:H149"/>
    <mergeCell ref="J149:K149"/>
    <mergeCell ref="B159:K159"/>
    <mergeCell ref="C160:K160"/>
    <mergeCell ref="B163:K163"/>
    <mergeCell ref="C164:K164"/>
    <mergeCell ref="B165:K165"/>
    <mergeCell ref="C166:J166"/>
    <mergeCell ref="C153:K153"/>
    <mergeCell ref="B154:K154"/>
    <mergeCell ref="C155:K155"/>
    <mergeCell ref="C156:K156"/>
    <mergeCell ref="C157:K157"/>
    <mergeCell ref="C158:K158"/>
    <mergeCell ref="C173:J173"/>
    <mergeCell ref="C174:J174"/>
    <mergeCell ref="B175:F175"/>
    <mergeCell ref="G175:K175"/>
    <mergeCell ref="B178:K178"/>
    <mergeCell ref="C179:H179"/>
    <mergeCell ref="J179:K179"/>
    <mergeCell ref="C167:J167"/>
    <mergeCell ref="C168:J168"/>
    <mergeCell ref="C169:J169"/>
    <mergeCell ref="C170:J170"/>
    <mergeCell ref="C171:J171"/>
    <mergeCell ref="C172:J172"/>
    <mergeCell ref="C183:K183"/>
    <mergeCell ref="B184:K184"/>
    <mergeCell ref="C185:K185"/>
    <mergeCell ref="C186:K186"/>
    <mergeCell ref="B187:K187"/>
    <mergeCell ref="C188:K188"/>
    <mergeCell ref="C180:H180"/>
    <mergeCell ref="J180:K180"/>
    <mergeCell ref="C181:D181"/>
    <mergeCell ref="G181:H181"/>
    <mergeCell ref="J181:K181"/>
    <mergeCell ref="B182:K182"/>
  </mergeCells>
  <dataValidations count="1">
    <dataValidation type="list" allowBlank="1" showInputMessage="1" showErrorMessage="1" sqref="F32 F92 F123 F62 F151 F181 J32:K32 J92:K92 J123:K123 J62:K62 J151:K151 J181:K181" xr:uid="{C60A35BB-B411-4115-8BFD-EE10846BEAB5}">
      <formula1>#REF!</formula1>
    </dataValidation>
  </dataValidations>
  <pageMargins left="0.7" right="0.7" top="0.75" bottom="0.75" header="0.3" footer="0.3"/>
  <pageSetup orientation="portrait" horizontalDpi="300" verticalDpi="30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6"/>
  <sheetViews>
    <sheetView topLeftCell="A131" workbookViewId="0">
      <selection activeCell="B133" sqref="B133:K133"/>
    </sheetView>
  </sheetViews>
  <sheetFormatPr defaultColWidth="9.109375" defaultRowHeight="13.2" x14ac:dyDescent="0.25"/>
  <cols>
    <col min="1" max="1" width="4.6640625" style="390" customWidth="1"/>
    <col min="2" max="8" width="15.6640625" style="289"/>
    <col min="9" max="9" width="16.88671875" style="289" customWidth="1"/>
    <col min="10" max="11" width="15.6640625" style="289"/>
    <col min="12" max="16384" width="9.109375" style="289"/>
  </cols>
  <sheetData>
    <row r="1" spans="1:12" x14ac:dyDescent="0.25">
      <c r="A1" s="440"/>
      <c r="B1" s="441"/>
      <c r="C1" s="441"/>
      <c r="D1" s="441"/>
      <c r="E1" s="441"/>
      <c r="F1" s="441"/>
      <c r="G1" s="441"/>
      <c r="H1" s="441"/>
      <c r="I1" s="441"/>
      <c r="J1" s="441"/>
      <c r="K1" s="441"/>
      <c r="L1" s="441"/>
    </row>
    <row r="2" spans="1:12" x14ac:dyDescent="0.25">
      <c r="A2" s="440"/>
      <c r="B2" s="442" t="s">
        <v>1270</v>
      </c>
      <c r="C2" s="441"/>
      <c r="D2" s="441"/>
      <c r="E2" s="441"/>
      <c r="F2" s="441"/>
      <c r="G2" s="441"/>
      <c r="H2" s="441"/>
      <c r="I2" s="441"/>
      <c r="J2" s="441"/>
      <c r="K2" s="441"/>
      <c r="L2" s="441"/>
    </row>
    <row r="3" spans="1:12" x14ac:dyDescent="0.25">
      <c r="A3" s="440"/>
      <c r="B3" s="442" t="s">
        <v>1796</v>
      </c>
      <c r="C3" s="441"/>
      <c r="D3" s="441"/>
      <c r="E3" s="441"/>
      <c r="F3" s="441"/>
      <c r="G3" s="441"/>
      <c r="H3" s="441"/>
      <c r="I3" s="441"/>
      <c r="J3" s="441"/>
      <c r="K3" s="441"/>
      <c r="L3" s="441"/>
    </row>
    <row r="4" spans="1:12" ht="13.8" thickBot="1" x14ac:dyDescent="0.3">
      <c r="A4" s="440"/>
      <c r="B4" s="441"/>
      <c r="C4" s="441"/>
      <c r="D4" s="441"/>
      <c r="E4" s="441"/>
      <c r="F4" s="441"/>
      <c r="G4" s="441"/>
      <c r="H4" s="441"/>
      <c r="I4" s="441"/>
      <c r="J4" s="441"/>
      <c r="K4" s="441"/>
      <c r="L4" s="441"/>
    </row>
    <row r="5" spans="1:12" ht="13.8" thickBot="1" x14ac:dyDescent="0.3">
      <c r="A5" s="440"/>
      <c r="B5" s="1065" t="s">
        <v>23</v>
      </c>
      <c r="C5" s="1066"/>
      <c r="D5" s="1067"/>
      <c r="E5" s="443"/>
      <c r="F5" s="444" t="s">
        <v>647</v>
      </c>
      <c r="G5" s="445"/>
      <c r="H5" s="445"/>
      <c r="I5" s="445"/>
      <c r="J5" s="441"/>
      <c r="K5" s="441"/>
      <c r="L5" s="441"/>
    </row>
    <row r="6" spans="1:12" ht="13.8" thickBot="1" x14ac:dyDescent="0.3">
      <c r="A6" s="440"/>
      <c r="B6" s="1068" t="s">
        <v>860</v>
      </c>
      <c r="C6" s="1069"/>
      <c r="D6" s="1069"/>
      <c r="E6" s="446"/>
      <c r="F6" s="444" t="s">
        <v>615</v>
      </c>
      <c r="G6" s="441"/>
      <c r="H6" s="441"/>
      <c r="I6" s="441"/>
      <c r="J6" s="441"/>
      <c r="K6" s="441"/>
      <c r="L6" s="441"/>
    </row>
    <row r="7" spans="1:12" ht="13.8" thickBot="1" x14ac:dyDescent="0.3">
      <c r="A7" s="440"/>
      <c r="B7" s="1070" t="s">
        <v>1075</v>
      </c>
      <c r="C7" s="1071"/>
      <c r="D7" s="1072"/>
      <c r="E7" s="446"/>
      <c r="F7" s="357">
        <v>5175000</v>
      </c>
      <c r="G7" s="441"/>
      <c r="H7" s="441"/>
      <c r="I7" s="441"/>
      <c r="J7" s="441"/>
      <c r="K7" s="441"/>
      <c r="L7" s="441"/>
    </row>
    <row r="8" spans="1:12" x14ac:dyDescent="0.25">
      <c r="A8" s="440"/>
      <c r="B8" s="441"/>
      <c r="C8" s="441"/>
      <c r="D8" s="441"/>
      <c r="E8" s="441"/>
      <c r="F8" s="441"/>
      <c r="G8" s="441"/>
      <c r="H8" s="441"/>
      <c r="I8" s="441"/>
      <c r="J8" s="441"/>
      <c r="K8" s="441"/>
      <c r="L8" s="441"/>
    </row>
    <row r="9" spans="1:12" x14ac:dyDescent="0.25">
      <c r="A9" s="440"/>
      <c r="B9" s="447" t="s">
        <v>508</v>
      </c>
      <c r="C9" s="441"/>
      <c r="D9" s="441"/>
      <c r="E9" s="441"/>
      <c r="F9" s="441"/>
      <c r="G9" s="441"/>
      <c r="H9" s="441"/>
      <c r="I9" s="441"/>
      <c r="J9" s="441"/>
      <c r="K9" s="441"/>
      <c r="L9" s="441"/>
    </row>
    <row r="10" spans="1:12" ht="13.8" thickBot="1" x14ac:dyDescent="0.3">
      <c r="A10" s="440" t="s">
        <v>1097</v>
      </c>
      <c r="B10" s="440" t="s">
        <v>528</v>
      </c>
      <c r="C10" s="441"/>
      <c r="D10" s="441"/>
      <c r="E10" s="441"/>
      <c r="F10" s="441"/>
      <c r="G10" s="441"/>
      <c r="H10" s="441"/>
      <c r="I10" s="441"/>
      <c r="J10" s="441"/>
      <c r="K10" s="441"/>
      <c r="L10" s="441"/>
    </row>
    <row r="11" spans="1:12" ht="13.8" thickBot="1" x14ac:dyDescent="0.3">
      <c r="A11" s="440"/>
      <c r="B11" s="1044" t="s">
        <v>1060</v>
      </c>
      <c r="C11" s="1045"/>
      <c r="D11" s="1045"/>
      <c r="E11" s="1045"/>
      <c r="F11" s="1045"/>
      <c r="G11" s="1045"/>
      <c r="H11" s="1045"/>
      <c r="I11" s="1045"/>
      <c r="J11" s="1045"/>
      <c r="K11" s="1046"/>
      <c r="L11" s="441"/>
    </row>
    <row r="12" spans="1:12" ht="13.8" thickBot="1" x14ac:dyDescent="0.3">
      <c r="A12" s="440"/>
      <c r="B12" s="448" t="s">
        <v>591</v>
      </c>
      <c r="C12" s="1047" t="s">
        <v>589</v>
      </c>
      <c r="D12" s="1047"/>
      <c r="E12" s="1047"/>
      <c r="F12" s="1047"/>
      <c r="G12" s="1047"/>
      <c r="H12" s="1047"/>
      <c r="I12" s="1047"/>
      <c r="J12" s="1047"/>
      <c r="K12" s="1048"/>
      <c r="L12" s="441"/>
    </row>
    <row r="13" spans="1:12" s="290" customFormat="1" ht="13.8" thickBot="1" x14ac:dyDescent="0.35">
      <c r="A13" s="445"/>
      <c r="B13" s="1038" t="s">
        <v>1109</v>
      </c>
      <c r="C13" s="1039"/>
      <c r="D13" s="1039"/>
      <c r="E13" s="1039"/>
      <c r="F13" s="1039"/>
      <c r="G13" s="1039"/>
      <c r="H13" s="1039"/>
      <c r="I13" s="1039"/>
      <c r="J13" s="1039"/>
      <c r="K13" s="1040"/>
      <c r="L13" s="445"/>
    </row>
    <row r="14" spans="1:12" s="290" customFormat="1" x14ac:dyDescent="0.3">
      <c r="A14" s="445"/>
      <c r="B14" s="449" t="s">
        <v>1110</v>
      </c>
      <c r="C14" s="992" t="s">
        <v>1111</v>
      </c>
      <c r="D14" s="992"/>
      <c r="E14" s="992"/>
      <c r="F14" s="992"/>
      <c r="G14" s="992"/>
      <c r="H14" s="992"/>
      <c r="I14" s="992"/>
      <c r="J14" s="992"/>
      <c r="K14" s="450" t="s">
        <v>37</v>
      </c>
      <c r="L14" s="445"/>
    </row>
    <row r="15" spans="1:12" s="290" customFormat="1" x14ac:dyDescent="0.3">
      <c r="A15" s="445"/>
      <c r="B15" s="451" t="s">
        <v>1112</v>
      </c>
      <c r="C15" s="991" t="s">
        <v>1118</v>
      </c>
      <c r="D15" s="991"/>
      <c r="E15" s="991"/>
      <c r="F15" s="991"/>
      <c r="G15" s="991"/>
      <c r="H15" s="991"/>
      <c r="I15" s="991"/>
      <c r="J15" s="991"/>
      <c r="K15" s="452" t="s">
        <v>35</v>
      </c>
      <c r="L15" s="445"/>
    </row>
    <row r="16" spans="1:12" s="290" customFormat="1" x14ac:dyDescent="0.3">
      <c r="A16" s="445"/>
      <c r="B16" s="451" t="s">
        <v>1113</v>
      </c>
      <c r="C16" s="991" t="s">
        <v>1119</v>
      </c>
      <c r="D16" s="991"/>
      <c r="E16" s="991"/>
      <c r="F16" s="991"/>
      <c r="G16" s="991"/>
      <c r="H16" s="991"/>
      <c r="I16" s="991"/>
      <c r="J16" s="991"/>
      <c r="K16" s="452" t="s">
        <v>35</v>
      </c>
      <c r="L16" s="445"/>
    </row>
    <row r="17" spans="1:12" s="290" customFormat="1" x14ac:dyDescent="0.3">
      <c r="A17" s="445"/>
      <c r="B17" s="451" t="s">
        <v>1114</v>
      </c>
      <c r="C17" s="991" t="s">
        <v>1120</v>
      </c>
      <c r="D17" s="991"/>
      <c r="E17" s="991"/>
      <c r="F17" s="991"/>
      <c r="G17" s="991"/>
      <c r="H17" s="991"/>
      <c r="I17" s="991"/>
      <c r="J17" s="991"/>
      <c r="K17" s="452" t="s">
        <v>35</v>
      </c>
      <c r="L17" s="445"/>
    </row>
    <row r="18" spans="1:12" s="290" customFormat="1" ht="27" customHeight="1" x14ac:dyDescent="0.3">
      <c r="A18" s="445"/>
      <c r="B18" s="451" t="s">
        <v>1115</v>
      </c>
      <c r="C18" s="991" t="s">
        <v>1121</v>
      </c>
      <c r="D18" s="991"/>
      <c r="E18" s="991"/>
      <c r="F18" s="991"/>
      <c r="G18" s="991"/>
      <c r="H18" s="991"/>
      <c r="I18" s="991"/>
      <c r="J18" s="991"/>
      <c r="K18" s="452" t="s">
        <v>35</v>
      </c>
      <c r="L18" s="445"/>
    </row>
    <row r="19" spans="1:12" s="290" customFormat="1" x14ac:dyDescent="0.3">
      <c r="A19" s="445"/>
      <c r="B19" s="451" t="s">
        <v>1116</v>
      </c>
      <c r="C19" s="991" t="s">
        <v>1272</v>
      </c>
      <c r="D19" s="991"/>
      <c r="E19" s="991"/>
      <c r="F19" s="991"/>
      <c r="G19" s="991"/>
      <c r="H19" s="991"/>
      <c r="I19" s="991"/>
      <c r="J19" s="991"/>
      <c r="K19" s="452" t="s">
        <v>35</v>
      </c>
      <c r="L19" s="445"/>
    </row>
    <row r="20" spans="1:12" s="290" customFormat="1" ht="13.8" thickBot="1" x14ac:dyDescent="0.35">
      <c r="A20" s="445"/>
      <c r="B20" s="453" t="s">
        <v>1117</v>
      </c>
      <c r="C20" s="990" t="s">
        <v>1122</v>
      </c>
      <c r="D20" s="990"/>
      <c r="E20" s="990"/>
      <c r="F20" s="990"/>
      <c r="G20" s="990"/>
      <c r="H20" s="990"/>
      <c r="I20" s="990"/>
      <c r="J20" s="990"/>
      <c r="K20" s="454" t="s">
        <v>35</v>
      </c>
      <c r="L20" s="445"/>
    </row>
    <row r="21" spans="1:12" s="290" customFormat="1" ht="13.8" thickBot="1" x14ac:dyDescent="0.35">
      <c r="A21" s="445"/>
      <c r="B21" s="455"/>
      <c r="C21" s="1021" t="s">
        <v>1123</v>
      </c>
      <c r="D21" s="1022"/>
      <c r="E21" s="1022"/>
      <c r="F21" s="1022"/>
      <c r="G21" s="1022"/>
      <c r="H21" s="1022"/>
      <c r="I21" s="1022"/>
      <c r="J21" s="1023"/>
      <c r="K21" s="456" t="str">
        <f>IF(OR(K14="Yes",K15="Yes",K16="Yes",K17="Yes",K18="Yes",K19="Yes",K20="Yes"),"Yes","No")</f>
        <v>Yes</v>
      </c>
      <c r="L21" s="445"/>
    </row>
    <row r="22" spans="1:12" ht="13.8" thickBot="1" x14ac:dyDescent="0.3">
      <c r="A22" s="440"/>
      <c r="B22" s="1024" t="s">
        <v>1061</v>
      </c>
      <c r="C22" s="1024"/>
      <c r="D22" s="1024"/>
      <c r="E22" s="1024"/>
      <c r="F22" s="1024"/>
      <c r="G22" s="1024" t="s">
        <v>1062</v>
      </c>
      <c r="H22" s="1024"/>
      <c r="I22" s="1024"/>
      <c r="J22" s="1024"/>
      <c r="K22" s="1024"/>
      <c r="L22" s="441"/>
    </row>
    <row r="23" spans="1:12" ht="27" thickBot="1" x14ac:dyDescent="0.3">
      <c r="A23" s="440"/>
      <c r="B23" s="408" t="s">
        <v>26</v>
      </c>
      <c r="C23" s="394" t="s">
        <v>553</v>
      </c>
      <c r="D23" s="394" t="s">
        <v>19</v>
      </c>
      <c r="E23" s="394" t="s">
        <v>25</v>
      </c>
      <c r="F23" s="409" t="s">
        <v>554</v>
      </c>
      <c r="G23" s="393" t="s">
        <v>1063</v>
      </c>
      <c r="H23" s="394" t="s">
        <v>1064</v>
      </c>
      <c r="I23" s="395" t="s">
        <v>1065</v>
      </c>
      <c r="J23" s="395" t="s">
        <v>1066</v>
      </c>
      <c r="K23" s="396" t="s">
        <v>1067</v>
      </c>
      <c r="L23" s="441"/>
    </row>
    <row r="24" spans="1:12" ht="15" thickBot="1" x14ac:dyDescent="0.3">
      <c r="A24" s="440"/>
      <c r="B24" s="476" t="s">
        <v>619</v>
      </c>
      <c r="C24" s="477" t="s">
        <v>619</v>
      </c>
      <c r="D24" s="477" t="s">
        <v>619</v>
      </c>
      <c r="E24" s="477" t="s">
        <v>621</v>
      </c>
      <c r="F24" s="478" t="s">
        <v>621</v>
      </c>
      <c r="G24" s="479" t="s">
        <v>619</v>
      </c>
      <c r="H24" s="477" t="s">
        <v>621</v>
      </c>
      <c r="I24" s="477" t="s">
        <v>621</v>
      </c>
      <c r="J24" s="477" t="s">
        <v>621</v>
      </c>
      <c r="K24" s="478" t="s">
        <v>621</v>
      </c>
      <c r="L24" s="441"/>
    </row>
    <row r="25" spans="1:12" ht="13.8" thickBot="1" x14ac:dyDescent="0.3">
      <c r="A25" s="440"/>
      <c r="B25" s="1025" t="s">
        <v>1068</v>
      </c>
      <c r="C25" s="1026"/>
      <c r="D25" s="1026"/>
      <c r="E25" s="1026"/>
      <c r="F25" s="1026"/>
      <c r="G25" s="1026"/>
      <c r="H25" s="1026"/>
      <c r="I25" s="1026"/>
      <c r="J25" s="1026"/>
      <c r="K25" s="1027"/>
      <c r="L25" s="441"/>
    </row>
    <row r="26" spans="1:12" ht="27" thickBot="1" x14ac:dyDescent="0.3">
      <c r="A26" s="440"/>
      <c r="B26" s="467" t="s">
        <v>1124</v>
      </c>
      <c r="C26" s="1059" t="s">
        <v>31</v>
      </c>
      <c r="D26" s="1059"/>
      <c r="E26" s="1059"/>
      <c r="F26" s="1059"/>
      <c r="G26" s="1059"/>
      <c r="H26" s="1059"/>
      <c r="I26" s="468" t="s">
        <v>1125</v>
      </c>
      <c r="J26" s="1060" t="s">
        <v>1074</v>
      </c>
      <c r="K26" s="1061"/>
      <c r="L26" s="441"/>
    </row>
    <row r="27" spans="1:12" x14ac:dyDescent="0.25">
      <c r="A27" s="440"/>
      <c r="B27" s="449" t="s">
        <v>643</v>
      </c>
      <c r="C27" s="992" t="s">
        <v>641</v>
      </c>
      <c r="D27" s="992"/>
      <c r="E27" s="992"/>
      <c r="F27" s="992"/>
      <c r="G27" s="992"/>
      <c r="H27" s="992"/>
      <c r="I27" s="472" t="s">
        <v>35</v>
      </c>
      <c r="J27" s="1051" t="s">
        <v>863</v>
      </c>
      <c r="K27" s="1052"/>
      <c r="L27" s="441"/>
    </row>
    <row r="28" spans="1:12" x14ac:dyDescent="0.25">
      <c r="A28" s="440"/>
      <c r="B28" s="451" t="s">
        <v>644</v>
      </c>
      <c r="C28" s="991" t="s">
        <v>640</v>
      </c>
      <c r="D28" s="991"/>
      <c r="E28" s="991"/>
      <c r="F28" s="991"/>
      <c r="G28" s="991"/>
      <c r="H28" s="991"/>
      <c r="I28" s="471" t="s">
        <v>35</v>
      </c>
      <c r="J28" s="1077" t="s">
        <v>863</v>
      </c>
      <c r="K28" s="1078"/>
      <c r="L28" s="441"/>
    </row>
    <row r="29" spans="1:12" ht="27" customHeight="1" thickBot="1" x14ac:dyDescent="0.3">
      <c r="A29" s="440"/>
      <c r="B29" s="453" t="s">
        <v>645</v>
      </c>
      <c r="C29" s="990" t="s">
        <v>1199</v>
      </c>
      <c r="D29" s="990"/>
      <c r="E29" s="990"/>
      <c r="F29" s="990"/>
      <c r="G29" s="990"/>
      <c r="H29" s="990"/>
      <c r="I29" s="461" t="s">
        <v>37</v>
      </c>
      <c r="J29" s="1073" t="s">
        <v>1797</v>
      </c>
      <c r="K29" s="1074"/>
      <c r="L29" s="441"/>
    </row>
    <row r="30" spans="1:12" ht="27" thickBot="1" x14ac:dyDescent="0.3">
      <c r="A30" s="440"/>
      <c r="B30" s="469" t="s">
        <v>1072</v>
      </c>
      <c r="C30" s="1055" t="s">
        <v>1260</v>
      </c>
      <c r="D30" s="1056"/>
      <c r="E30" s="469" t="s">
        <v>1070</v>
      </c>
      <c r="F30" s="470" t="s">
        <v>1134</v>
      </c>
      <c r="G30" s="1057" t="s">
        <v>1131</v>
      </c>
      <c r="H30" s="1058"/>
      <c r="I30" s="469" t="s">
        <v>1130</v>
      </c>
      <c r="J30" s="1055" t="s">
        <v>1133</v>
      </c>
      <c r="K30" s="1056"/>
      <c r="L30" s="441"/>
    </row>
    <row r="31" spans="1:12" ht="13.8" thickBot="1" x14ac:dyDescent="0.3">
      <c r="A31" s="440"/>
      <c r="B31" s="1011" t="s">
        <v>1076</v>
      </c>
      <c r="C31" s="1012"/>
      <c r="D31" s="1012"/>
      <c r="E31" s="1012"/>
      <c r="F31" s="1012"/>
      <c r="G31" s="1012"/>
      <c r="H31" s="1012"/>
      <c r="I31" s="1012"/>
      <c r="J31" s="1012"/>
      <c r="K31" s="1013"/>
      <c r="L31" s="441"/>
    </row>
    <row r="32" spans="1:12" ht="13.5" customHeight="1" thickBot="1" x14ac:dyDescent="0.3">
      <c r="A32" s="511"/>
      <c r="B32" s="512" t="s">
        <v>645</v>
      </c>
      <c r="C32" s="830" t="s">
        <v>1732</v>
      </c>
      <c r="D32" s="816"/>
      <c r="E32" s="816"/>
      <c r="F32" s="816"/>
      <c r="G32" s="816"/>
      <c r="H32" s="816"/>
      <c r="I32" s="816"/>
      <c r="J32" s="816"/>
      <c r="K32" s="817"/>
      <c r="L32" s="513"/>
    </row>
    <row r="33" spans="1:12" ht="13.8" thickBot="1" x14ac:dyDescent="0.3">
      <c r="A33" s="440"/>
      <c r="B33" s="1017" t="s">
        <v>1077</v>
      </c>
      <c r="C33" s="1018"/>
      <c r="D33" s="1018"/>
      <c r="E33" s="1018"/>
      <c r="F33" s="1018"/>
      <c r="G33" s="1018"/>
      <c r="H33" s="1018"/>
      <c r="I33" s="1018"/>
      <c r="J33" s="1018"/>
      <c r="K33" s="1019"/>
      <c r="L33" s="441"/>
    </row>
    <row r="34" spans="1:12" x14ac:dyDescent="0.25">
      <c r="A34" s="440"/>
      <c r="B34" s="473" t="s">
        <v>696</v>
      </c>
      <c r="C34" s="1079" t="s">
        <v>237</v>
      </c>
      <c r="D34" s="1079"/>
      <c r="E34" s="1079"/>
      <c r="F34" s="1079"/>
      <c r="G34" s="1079"/>
      <c r="H34" s="1079"/>
      <c r="I34" s="1079"/>
      <c r="J34" s="1079"/>
      <c r="K34" s="1080"/>
      <c r="L34" s="441"/>
    </row>
    <row r="35" spans="1:12" ht="39.9" customHeight="1" x14ac:dyDescent="0.25">
      <c r="A35" s="440"/>
      <c r="B35" s="451" t="s">
        <v>697</v>
      </c>
      <c r="C35" s="991" t="s">
        <v>1263</v>
      </c>
      <c r="D35" s="991"/>
      <c r="E35" s="991"/>
      <c r="F35" s="991"/>
      <c r="G35" s="991"/>
      <c r="H35" s="991"/>
      <c r="I35" s="991"/>
      <c r="J35" s="991"/>
      <c r="K35" s="1075"/>
      <c r="L35" s="441"/>
    </row>
    <row r="36" spans="1:12" ht="27" customHeight="1" thickBot="1" x14ac:dyDescent="0.3">
      <c r="A36" s="440"/>
      <c r="B36" s="453" t="s">
        <v>698</v>
      </c>
      <c r="C36" s="990" t="s">
        <v>1225</v>
      </c>
      <c r="D36" s="990"/>
      <c r="E36" s="990"/>
      <c r="F36" s="990"/>
      <c r="G36" s="990"/>
      <c r="H36" s="990"/>
      <c r="I36" s="990"/>
      <c r="J36" s="990"/>
      <c r="K36" s="1076"/>
      <c r="L36" s="441"/>
    </row>
    <row r="37" spans="1:12" s="290" customFormat="1" ht="13.8" thickBot="1" x14ac:dyDescent="0.35">
      <c r="A37" s="465"/>
      <c r="B37" s="1081" t="s">
        <v>1139</v>
      </c>
      <c r="C37" s="1082"/>
      <c r="D37" s="1082"/>
      <c r="E37" s="1082"/>
      <c r="F37" s="1082"/>
      <c r="G37" s="1082"/>
      <c r="H37" s="1082"/>
      <c r="I37" s="1082"/>
      <c r="J37" s="1082"/>
      <c r="K37" s="1083"/>
      <c r="L37" s="445"/>
    </row>
    <row r="38" spans="1:12" s="290" customFormat="1" ht="27" customHeight="1" thickBot="1" x14ac:dyDescent="0.35">
      <c r="A38" s="465"/>
      <c r="B38" s="448" t="s">
        <v>1428</v>
      </c>
      <c r="C38" s="1062" t="s">
        <v>1264</v>
      </c>
      <c r="D38" s="1036"/>
      <c r="E38" s="1036"/>
      <c r="F38" s="1036"/>
      <c r="G38" s="1036"/>
      <c r="H38" s="1036"/>
      <c r="I38" s="1036"/>
      <c r="J38" s="1036"/>
      <c r="K38" s="1037"/>
      <c r="L38" s="445"/>
    </row>
    <row r="39" spans="1:12" x14ac:dyDescent="0.25">
      <c r="A39" s="440"/>
      <c r="B39" s="441"/>
      <c r="C39" s="441"/>
      <c r="D39" s="441"/>
      <c r="E39" s="441"/>
      <c r="F39" s="441"/>
      <c r="G39" s="441"/>
      <c r="H39" s="441"/>
      <c r="I39" s="441"/>
      <c r="J39" s="441"/>
      <c r="K39" s="441"/>
      <c r="L39" s="441"/>
    </row>
    <row r="40" spans="1:12" ht="13.8" thickBot="1" x14ac:dyDescent="0.3">
      <c r="A40" s="440"/>
      <c r="B40" s="441"/>
      <c r="C40" s="441"/>
      <c r="D40" s="441"/>
      <c r="E40" s="441"/>
      <c r="F40" s="441"/>
      <c r="G40" s="441"/>
      <c r="H40" s="441"/>
      <c r="I40" s="441"/>
      <c r="J40" s="441"/>
      <c r="K40" s="441"/>
      <c r="L40" s="441"/>
    </row>
    <row r="41" spans="1:12" ht="13.8" thickBot="1" x14ac:dyDescent="0.3">
      <c r="A41" s="440"/>
      <c r="B41" s="1044" t="s">
        <v>1060</v>
      </c>
      <c r="C41" s="1045"/>
      <c r="D41" s="1045"/>
      <c r="E41" s="1045"/>
      <c r="F41" s="1045"/>
      <c r="G41" s="1045"/>
      <c r="H41" s="1045"/>
      <c r="I41" s="1045"/>
      <c r="J41" s="1045"/>
      <c r="K41" s="1046"/>
      <c r="L41" s="441"/>
    </row>
    <row r="42" spans="1:12" ht="13.8" thickBot="1" x14ac:dyDescent="0.3">
      <c r="A42" s="440"/>
      <c r="B42" s="448" t="s">
        <v>592</v>
      </c>
      <c r="C42" s="1047" t="s">
        <v>588</v>
      </c>
      <c r="D42" s="1047"/>
      <c r="E42" s="1047"/>
      <c r="F42" s="1047"/>
      <c r="G42" s="1047"/>
      <c r="H42" s="1047"/>
      <c r="I42" s="1047"/>
      <c r="J42" s="1047"/>
      <c r="K42" s="1048"/>
      <c r="L42" s="441"/>
    </row>
    <row r="43" spans="1:12" s="290" customFormat="1" ht="13.8" thickBot="1" x14ac:dyDescent="0.35">
      <c r="A43" s="445"/>
      <c r="B43" s="1038" t="s">
        <v>1109</v>
      </c>
      <c r="C43" s="1039"/>
      <c r="D43" s="1039"/>
      <c r="E43" s="1039"/>
      <c r="F43" s="1039"/>
      <c r="G43" s="1039"/>
      <c r="H43" s="1039"/>
      <c r="I43" s="1039"/>
      <c r="J43" s="1039"/>
      <c r="K43" s="1040"/>
      <c r="L43" s="445"/>
    </row>
    <row r="44" spans="1:12" s="290" customFormat="1" x14ac:dyDescent="0.3">
      <c r="A44" s="445"/>
      <c r="B44" s="449" t="s">
        <v>1110</v>
      </c>
      <c r="C44" s="992" t="s">
        <v>1111</v>
      </c>
      <c r="D44" s="992"/>
      <c r="E44" s="992"/>
      <c r="F44" s="992"/>
      <c r="G44" s="992"/>
      <c r="H44" s="992"/>
      <c r="I44" s="992"/>
      <c r="J44" s="992"/>
      <c r="K44" s="450" t="s">
        <v>35</v>
      </c>
      <c r="L44" s="445"/>
    </row>
    <row r="45" spans="1:12" s="290" customFormat="1" x14ac:dyDescent="0.3">
      <c r="A45" s="465"/>
      <c r="B45" s="459"/>
      <c r="C45" s="1041" t="s">
        <v>1206</v>
      </c>
      <c r="D45" s="1042"/>
      <c r="E45" s="1042"/>
      <c r="F45" s="1042"/>
      <c r="G45" s="1042"/>
      <c r="H45" s="1042"/>
      <c r="I45" s="1042"/>
      <c r="J45" s="1043"/>
      <c r="K45" s="466"/>
      <c r="L45" s="445"/>
    </row>
    <row r="46" spans="1:12" s="290" customFormat="1" x14ac:dyDescent="0.3">
      <c r="A46" s="445"/>
      <c r="B46" s="451" t="s">
        <v>1112</v>
      </c>
      <c r="C46" s="991" t="s">
        <v>1118</v>
      </c>
      <c r="D46" s="991"/>
      <c r="E46" s="991"/>
      <c r="F46" s="991"/>
      <c r="G46" s="991"/>
      <c r="H46" s="991"/>
      <c r="I46" s="991"/>
      <c r="J46" s="991"/>
      <c r="K46" s="452" t="s">
        <v>35</v>
      </c>
      <c r="L46" s="445"/>
    </row>
    <row r="47" spans="1:12" s="290" customFormat="1" x14ac:dyDescent="0.3">
      <c r="A47" s="445"/>
      <c r="B47" s="451" t="s">
        <v>1113</v>
      </c>
      <c r="C47" s="991" t="s">
        <v>1119</v>
      </c>
      <c r="D47" s="991"/>
      <c r="E47" s="991"/>
      <c r="F47" s="991"/>
      <c r="G47" s="991"/>
      <c r="H47" s="991"/>
      <c r="I47" s="991"/>
      <c r="J47" s="991"/>
      <c r="K47" s="452" t="s">
        <v>35</v>
      </c>
      <c r="L47" s="445"/>
    </row>
    <row r="48" spans="1:12" s="290" customFormat="1" x14ac:dyDescent="0.3">
      <c r="A48" s="445"/>
      <c r="B48" s="451" t="s">
        <v>1114</v>
      </c>
      <c r="C48" s="991" t="s">
        <v>1120</v>
      </c>
      <c r="D48" s="991"/>
      <c r="E48" s="991"/>
      <c r="F48" s="991"/>
      <c r="G48" s="991"/>
      <c r="H48" s="991"/>
      <c r="I48" s="991"/>
      <c r="J48" s="991"/>
      <c r="K48" s="452" t="s">
        <v>35</v>
      </c>
      <c r="L48" s="445"/>
    </row>
    <row r="49" spans="1:12" s="290" customFormat="1" ht="27" customHeight="1" x14ac:dyDescent="0.3">
      <c r="A49" s="445"/>
      <c r="B49" s="451" t="s">
        <v>1115</v>
      </c>
      <c r="C49" s="991" t="s">
        <v>1121</v>
      </c>
      <c r="D49" s="991"/>
      <c r="E49" s="991"/>
      <c r="F49" s="991"/>
      <c r="G49" s="991"/>
      <c r="H49" s="991"/>
      <c r="I49" s="991"/>
      <c r="J49" s="991"/>
      <c r="K49" s="452" t="s">
        <v>35</v>
      </c>
      <c r="L49" s="445"/>
    </row>
    <row r="50" spans="1:12" s="290" customFormat="1" x14ac:dyDescent="0.3">
      <c r="A50" s="445"/>
      <c r="B50" s="451" t="s">
        <v>1116</v>
      </c>
      <c r="C50" s="991" t="s">
        <v>1272</v>
      </c>
      <c r="D50" s="991"/>
      <c r="E50" s="991"/>
      <c r="F50" s="991"/>
      <c r="G50" s="991"/>
      <c r="H50" s="991"/>
      <c r="I50" s="991"/>
      <c r="J50" s="991"/>
      <c r="K50" s="452" t="s">
        <v>35</v>
      </c>
      <c r="L50" s="445"/>
    </row>
    <row r="51" spans="1:12" s="290" customFormat="1" ht="13.8" thickBot="1" x14ac:dyDescent="0.35">
      <c r="A51" s="445"/>
      <c r="B51" s="453" t="s">
        <v>1117</v>
      </c>
      <c r="C51" s="990" t="s">
        <v>1122</v>
      </c>
      <c r="D51" s="990"/>
      <c r="E51" s="990"/>
      <c r="F51" s="990"/>
      <c r="G51" s="990"/>
      <c r="H51" s="990"/>
      <c r="I51" s="990"/>
      <c r="J51" s="990"/>
      <c r="K51" s="454" t="s">
        <v>35</v>
      </c>
      <c r="L51" s="445"/>
    </row>
    <row r="52" spans="1:12" s="290" customFormat="1" ht="13.8" thickBot="1" x14ac:dyDescent="0.35">
      <c r="A52" s="445"/>
      <c r="B52" s="455"/>
      <c r="C52" s="1021" t="s">
        <v>1123</v>
      </c>
      <c r="D52" s="1022"/>
      <c r="E52" s="1022"/>
      <c r="F52" s="1022"/>
      <c r="G52" s="1022"/>
      <c r="H52" s="1022"/>
      <c r="I52" s="1022"/>
      <c r="J52" s="1023"/>
      <c r="K52" s="456" t="str">
        <f>IF(OR(K44="Yes",K46="Yes",K47="Yes",K48="Yes",K49="Yes",K50="Yes",K51="Yes"),"Yes","No")</f>
        <v>No</v>
      </c>
      <c r="L52" s="445"/>
    </row>
    <row r="53" spans="1:12" ht="13.8" thickBot="1" x14ac:dyDescent="0.3">
      <c r="A53" s="440"/>
      <c r="B53" s="1024" t="s">
        <v>1061</v>
      </c>
      <c r="C53" s="1024"/>
      <c r="D53" s="1024"/>
      <c r="E53" s="1024"/>
      <c r="F53" s="1024"/>
      <c r="G53" s="1024" t="s">
        <v>1062</v>
      </c>
      <c r="H53" s="1024"/>
      <c r="I53" s="1024"/>
      <c r="J53" s="1024"/>
      <c r="K53" s="1024"/>
      <c r="L53" s="441"/>
    </row>
    <row r="54" spans="1:12" ht="27" thickBot="1" x14ac:dyDescent="0.3">
      <c r="A54" s="440"/>
      <c r="B54" s="408" t="s">
        <v>26</v>
      </c>
      <c r="C54" s="394" t="s">
        <v>553</v>
      </c>
      <c r="D54" s="394" t="s">
        <v>19</v>
      </c>
      <c r="E54" s="394" t="s">
        <v>25</v>
      </c>
      <c r="F54" s="409" t="s">
        <v>554</v>
      </c>
      <c r="G54" s="393" t="s">
        <v>1063</v>
      </c>
      <c r="H54" s="394" t="s">
        <v>1064</v>
      </c>
      <c r="I54" s="395" t="s">
        <v>1065</v>
      </c>
      <c r="J54" s="395" t="s">
        <v>1066</v>
      </c>
      <c r="K54" s="396" t="s">
        <v>1067</v>
      </c>
      <c r="L54" s="441"/>
    </row>
    <row r="55" spans="1:12" ht="15" thickBot="1" x14ac:dyDescent="0.3">
      <c r="A55" s="440"/>
      <c r="B55" s="476" t="s">
        <v>621</v>
      </c>
      <c r="C55" s="477" t="s">
        <v>619</v>
      </c>
      <c r="D55" s="477" t="s">
        <v>619</v>
      </c>
      <c r="E55" s="477" t="s">
        <v>619</v>
      </c>
      <c r="F55" s="478" t="s">
        <v>621</v>
      </c>
      <c r="G55" s="479" t="s">
        <v>619</v>
      </c>
      <c r="H55" s="477" t="s">
        <v>621</v>
      </c>
      <c r="I55" s="477" t="s">
        <v>621</v>
      </c>
      <c r="J55" s="477" t="s">
        <v>619</v>
      </c>
      <c r="K55" s="478" t="s">
        <v>621</v>
      </c>
      <c r="L55" s="441"/>
    </row>
    <row r="56" spans="1:12" ht="13.8" thickBot="1" x14ac:dyDescent="0.3">
      <c r="A56" s="440"/>
      <c r="B56" s="1025" t="s">
        <v>1068</v>
      </c>
      <c r="C56" s="1026"/>
      <c r="D56" s="1026"/>
      <c r="E56" s="1026"/>
      <c r="F56" s="1026"/>
      <c r="G56" s="1026"/>
      <c r="H56" s="1026"/>
      <c r="I56" s="1026"/>
      <c r="J56" s="1026"/>
      <c r="K56" s="1027"/>
      <c r="L56" s="441"/>
    </row>
    <row r="57" spans="1:12" ht="27" thickBot="1" x14ac:dyDescent="0.3">
      <c r="A57" s="440"/>
      <c r="B57" s="467" t="s">
        <v>1124</v>
      </c>
      <c r="C57" s="1059" t="s">
        <v>31</v>
      </c>
      <c r="D57" s="1059"/>
      <c r="E57" s="1059"/>
      <c r="F57" s="1059"/>
      <c r="G57" s="1059"/>
      <c r="H57" s="1059"/>
      <c r="I57" s="468" t="s">
        <v>1125</v>
      </c>
      <c r="J57" s="1060" t="s">
        <v>1074</v>
      </c>
      <c r="K57" s="1061"/>
      <c r="L57" s="441"/>
    </row>
    <row r="58" spans="1:12" ht="27" customHeight="1" thickBot="1" x14ac:dyDescent="0.3">
      <c r="A58" s="440"/>
      <c r="B58" s="449" t="s">
        <v>645</v>
      </c>
      <c r="C58" s="992" t="s">
        <v>1199</v>
      </c>
      <c r="D58" s="992"/>
      <c r="E58" s="992"/>
      <c r="F58" s="992"/>
      <c r="G58" s="992"/>
      <c r="H58" s="992"/>
      <c r="I58" s="472" t="s">
        <v>37</v>
      </c>
      <c r="J58" s="1049" t="s">
        <v>1797</v>
      </c>
      <c r="K58" s="1050"/>
      <c r="L58" s="441"/>
    </row>
    <row r="59" spans="1:12" ht="39.9" customHeight="1" thickBot="1" x14ac:dyDescent="0.3">
      <c r="A59" s="440"/>
      <c r="B59" s="453" t="s">
        <v>646</v>
      </c>
      <c r="C59" s="990" t="s">
        <v>1236</v>
      </c>
      <c r="D59" s="990"/>
      <c r="E59" s="990"/>
      <c r="F59" s="990"/>
      <c r="G59" s="990"/>
      <c r="H59" s="990"/>
      <c r="I59" s="461" t="s">
        <v>35</v>
      </c>
      <c r="J59" s="1053" t="s">
        <v>863</v>
      </c>
      <c r="K59" s="1054"/>
      <c r="L59" s="441"/>
    </row>
    <row r="60" spans="1:12" ht="27" thickBot="1" x14ac:dyDescent="0.3">
      <c r="A60" s="440"/>
      <c r="B60" s="469" t="s">
        <v>1072</v>
      </c>
      <c r="C60" s="1055" t="s">
        <v>1200</v>
      </c>
      <c r="D60" s="1056"/>
      <c r="E60" s="469" t="s">
        <v>1070</v>
      </c>
      <c r="F60" s="470" t="s">
        <v>1134</v>
      </c>
      <c r="G60" s="1057" t="s">
        <v>1131</v>
      </c>
      <c r="H60" s="1058"/>
      <c r="I60" s="469" t="s">
        <v>1130</v>
      </c>
      <c r="J60" s="1055" t="s">
        <v>1133</v>
      </c>
      <c r="K60" s="1056"/>
      <c r="L60" s="441"/>
    </row>
    <row r="61" spans="1:12" ht="13.8" thickBot="1" x14ac:dyDescent="0.3">
      <c r="A61" s="440"/>
      <c r="B61" s="1011" t="s">
        <v>1076</v>
      </c>
      <c r="C61" s="1012"/>
      <c r="D61" s="1012"/>
      <c r="E61" s="1012"/>
      <c r="F61" s="1012"/>
      <c r="G61" s="1012"/>
      <c r="H61" s="1012"/>
      <c r="I61" s="1012"/>
      <c r="J61" s="1012"/>
      <c r="K61" s="1013"/>
      <c r="L61" s="441"/>
    </row>
    <row r="62" spans="1:12" ht="13.5" customHeight="1" thickBot="1" x14ac:dyDescent="0.3">
      <c r="A62" s="511"/>
      <c r="B62" s="512" t="s">
        <v>645</v>
      </c>
      <c r="C62" s="830" t="s">
        <v>1732</v>
      </c>
      <c r="D62" s="816"/>
      <c r="E62" s="816"/>
      <c r="F62" s="816"/>
      <c r="G62" s="816"/>
      <c r="H62" s="816"/>
      <c r="I62" s="816"/>
      <c r="J62" s="816"/>
      <c r="K62" s="817"/>
      <c r="L62" s="513"/>
    </row>
    <row r="63" spans="1:12" ht="13.8" thickBot="1" x14ac:dyDescent="0.3">
      <c r="A63" s="440"/>
      <c r="B63" s="1017" t="s">
        <v>1077</v>
      </c>
      <c r="C63" s="1018"/>
      <c r="D63" s="1018"/>
      <c r="E63" s="1018"/>
      <c r="F63" s="1018"/>
      <c r="G63" s="1018"/>
      <c r="H63" s="1018"/>
      <c r="I63" s="1018"/>
      <c r="J63" s="1018"/>
      <c r="K63" s="1019"/>
      <c r="L63" s="441"/>
    </row>
    <row r="64" spans="1:12" ht="39.9" customHeight="1" x14ac:dyDescent="0.25">
      <c r="A64" s="440"/>
      <c r="B64" s="449" t="s">
        <v>697</v>
      </c>
      <c r="C64" s="1063" t="s">
        <v>1263</v>
      </c>
      <c r="D64" s="1063"/>
      <c r="E64" s="1063"/>
      <c r="F64" s="1063"/>
      <c r="G64" s="1063"/>
      <c r="H64" s="1063"/>
      <c r="I64" s="1063"/>
      <c r="J64" s="1063"/>
      <c r="K64" s="1064"/>
      <c r="L64" s="441"/>
    </row>
    <row r="65" spans="1:12" ht="27" customHeight="1" x14ac:dyDescent="0.25">
      <c r="A65" s="440"/>
      <c r="B65" s="460" t="s">
        <v>698</v>
      </c>
      <c r="C65" s="1084" t="s">
        <v>1225</v>
      </c>
      <c r="D65" s="1084"/>
      <c r="E65" s="1084"/>
      <c r="F65" s="1084"/>
      <c r="G65" s="1084"/>
      <c r="H65" s="1084"/>
      <c r="I65" s="1084"/>
      <c r="J65" s="1084"/>
      <c r="K65" s="1085"/>
      <c r="L65" s="441"/>
    </row>
    <row r="66" spans="1:12" ht="27" customHeight="1" thickBot="1" x14ac:dyDescent="0.3">
      <c r="A66" s="440"/>
      <c r="B66" s="453" t="s">
        <v>1389</v>
      </c>
      <c r="C66" s="990" t="s">
        <v>1390</v>
      </c>
      <c r="D66" s="990"/>
      <c r="E66" s="990"/>
      <c r="F66" s="990"/>
      <c r="G66" s="990"/>
      <c r="H66" s="990"/>
      <c r="I66" s="990"/>
      <c r="J66" s="990"/>
      <c r="K66" s="1076"/>
      <c r="L66" s="441"/>
    </row>
    <row r="67" spans="1:12" s="290" customFormat="1" ht="13.8" thickBot="1" x14ac:dyDescent="0.35">
      <c r="B67" s="824" t="s">
        <v>1139</v>
      </c>
      <c r="C67" s="825"/>
      <c r="D67" s="825"/>
      <c r="E67" s="825"/>
      <c r="F67" s="825"/>
      <c r="G67" s="825"/>
      <c r="H67" s="825"/>
      <c r="I67" s="825"/>
      <c r="J67" s="825"/>
      <c r="K67" s="826"/>
    </row>
    <row r="68" spans="1:12" s="290" customFormat="1" ht="13.8" thickBot="1" x14ac:dyDescent="0.35">
      <c r="B68" s="360" t="s">
        <v>863</v>
      </c>
      <c r="C68" s="835" t="s">
        <v>1140</v>
      </c>
      <c r="D68" s="835"/>
      <c r="E68" s="835"/>
      <c r="F68" s="835"/>
      <c r="G68" s="835"/>
      <c r="H68" s="835"/>
      <c r="I68" s="835"/>
      <c r="J68" s="835"/>
      <c r="K68" s="836"/>
    </row>
    <row r="69" spans="1:12" x14ac:dyDescent="0.25">
      <c r="A69" s="440"/>
      <c r="B69" s="441"/>
      <c r="C69" s="441"/>
      <c r="D69" s="441"/>
      <c r="E69" s="441"/>
      <c r="F69" s="441"/>
      <c r="G69" s="441"/>
      <c r="H69" s="441"/>
      <c r="I69" s="441"/>
      <c r="J69" s="441"/>
      <c r="K69" s="441"/>
      <c r="L69" s="441"/>
    </row>
    <row r="70" spans="1:12" x14ac:dyDescent="0.25">
      <c r="A70" s="440"/>
      <c r="B70" s="441"/>
      <c r="C70" s="441"/>
      <c r="D70" s="441"/>
      <c r="E70" s="441"/>
      <c r="F70" s="441"/>
      <c r="G70" s="441"/>
      <c r="H70" s="441"/>
      <c r="I70" s="441"/>
      <c r="J70" s="441"/>
      <c r="K70" s="441"/>
      <c r="L70" s="441"/>
    </row>
    <row r="71" spans="1:12" ht="13.8" thickBot="1" x14ac:dyDescent="0.3">
      <c r="A71" s="440" t="s">
        <v>1095</v>
      </c>
      <c r="B71" s="440" t="s">
        <v>529</v>
      </c>
      <c r="C71" s="441"/>
      <c r="D71" s="441"/>
      <c r="E71" s="441"/>
      <c r="F71" s="441"/>
      <c r="G71" s="441"/>
      <c r="H71" s="441"/>
      <c r="I71" s="441"/>
      <c r="J71" s="441"/>
      <c r="K71" s="441"/>
      <c r="L71" s="441"/>
    </row>
    <row r="72" spans="1:12" ht="13.8" thickBot="1" x14ac:dyDescent="0.3">
      <c r="A72" s="440"/>
      <c r="B72" s="1044" t="s">
        <v>1060</v>
      </c>
      <c r="C72" s="1045"/>
      <c r="D72" s="1045"/>
      <c r="E72" s="1045"/>
      <c r="F72" s="1045"/>
      <c r="G72" s="1045"/>
      <c r="H72" s="1045"/>
      <c r="I72" s="1045"/>
      <c r="J72" s="1045"/>
      <c r="K72" s="1046"/>
      <c r="L72" s="441"/>
    </row>
    <row r="73" spans="1:12" ht="13.8" thickBot="1" x14ac:dyDescent="0.3">
      <c r="A73" s="440"/>
      <c r="B73" s="448" t="s">
        <v>593</v>
      </c>
      <c r="C73" s="1047" t="s">
        <v>1769</v>
      </c>
      <c r="D73" s="1047"/>
      <c r="E73" s="1047"/>
      <c r="F73" s="1047"/>
      <c r="G73" s="1047"/>
      <c r="H73" s="1047"/>
      <c r="I73" s="1047"/>
      <c r="J73" s="1047"/>
      <c r="K73" s="1048"/>
      <c r="L73" s="441"/>
    </row>
    <row r="74" spans="1:12" s="290" customFormat="1" ht="13.8" thickBot="1" x14ac:dyDescent="0.35">
      <c r="A74" s="445"/>
      <c r="B74" s="1038" t="s">
        <v>1109</v>
      </c>
      <c r="C74" s="1039"/>
      <c r="D74" s="1039"/>
      <c r="E74" s="1039"/>
      <c r="F74" s="1039"/>
      <c r="G74" s="1039"/>
      <c r="H74" s="1039"/>
      <c r="I74" s="1039"/>
      <c r="J74" s="1039"/>
      <c r="K74" s="1040"/>
      <c r="L74" s="445"/>
    </row>
    <row r="75" spans="1:12" s="290" customFormat="1" x14ac:dyDescent="0.3">
      <c r="A75" s="445"/>
      <c r="B75" s="449" t="s">
        <v>1110</v>
      </c>
      <c r="C75" s="992" t="s">
        <v>1111</v>
      </c>
      <c r="D75" s="992"/>
      <c r="E75" s="992"/>
      <c r="F75" s="992"/>
      <c r="G75" s="992"/>
      <c r="H75" s="992"/>
      <c r="I75" s="992"/>
      <c r="J75" s="992"/>
      <c r="K75" s="450" t="s">
        <v>35</v>
      </c>
      <c r="L75" s="445"/>
    </row>
    <row r="76" spans="1:12" s="290" customFormat="1" x14ac:dyDescent="0.3">
      <c r="A76" s="465"/>
      <c r="B76" s="459"/>
      <c r="C76" s="1041" t="s">
        <v>1206</v>
      </c>
      <c r="D76" s="1042"/>
      <c r="E76" s="1042"/>
      <c r="F76" s="1042"/>
      <c r="G76" s="1042"/>
      <c r="H76" s="1042"/>
      <c r="I76" s="1042"/>
      <c r="J76" s="1043"/>
      <c r="K76" s="466"/>
      <c r="L76" s="445"/>
    </row>
    <row r="77" spans="1:12" s="290" customFormat="1" x14ac:dyDescent="0.3">
      <c r="A77" s="445"/>
      <c r="B77" s="451" t="s">
        <v>1112</v>
      </c>
      <c r="C77" s="991" t="s">
        <v>1118</v>
      </c>
      <c r="D77" s="991"/>
      <c r="E77" s="991"/>
      <c r="F77" s="991"/>
      <c r="G77" s="991"/>
      <c r="H77" s="991"/>
      <c r="I77" s="991"/>
      <c r="J77" s="991"/>
      <c r="K77" s="452" t="s">
        <v>35</v>
      </c>
      <c r="L77" s="445"/>
    </row>
    <row r="78" spans="1:12" s="290" customFormat="1" x14ac:dyDescent="0.3">
      <c r="A78" s="445"/>
      <c r="B78" s="451" t="s">
        <v>1113</v>
      </c>
      <c r="C78" s="991" t="s">
        <v>1119</v>
      </c>
      <c r="D78" s="991"/>
      <c r="E78" s="991"/>
      <c r="F78" s="991"/>
      <c r="G78" s="991"/>
      <c r="H78" s="991"/>
      <c r="I78" s="991"/>
      <c r="J78" s="991"/>
      <c r="K78" s="452" t="s">
        <v>35</v>
      </c>
      <c r="L78" s="445"/>
    </row>
    <row r="79" spans="1:12" s="290" customFormat="1" x14ac:dyDescent="0.3">
      <c r="A79" s="445"/>
      <c r="B79" s="451" t="s">
        <v>1114</v>
      </c>
      <c r="C79" s="991" t="s">
        <v>1120</v>
      </c>
      <c r="D79" s="991"/>
      <c r="E79" s="991"/>
      <c r="F79" s="991"/>
      <c r="G79" s="991"/>
      <c r="H79" s="991"/>
      <c r="I79" s="991"/>
      <c r="J79" s="991"/>
      <c r="K79" s="452" t="s">
        <v>35</v>
      </c>
      <c r="L79" s="445"/>
    </row>
    <row r="80" spans="1:12" s="290" customFormat="1" ht="27" customHeight="1" x14ac:dyDescent="0.3">
      <c r="A80" s="445"/>
      <c r="B80" s="451" t="s">
        <v>1115</v>
      </c>
      <c r="C80" s="991" t="s">
        <v>1121</v>
      </c>
      <c r="D80" s="991"/>
      <c r="E80" s="991"/>
      <c r="F80" s="991"/>
      <c r="G80" s="991"/>
      <c r="H80" s="991"/>
      <c r="I80" s="991"/>
      <c r="J80" s="991"/>
      <c r="K80" s="452" t="s">
        <v>35</v>
      </c>
      <c r="L80" s="445"/>
    </row>
    <row r="81" spans="1:12" s="290" customFormat="1" x14ac:dyDescent="0.3">
      <c r="A81" s="445"/>
      <c r="B81" s="451" t="s">
        <v>1116</v>
      </c>
      <c r="C81" s="991" t="s">
        <v>1272</v>
      </c>
      <c r="D81" s="991"/>
      <c r="E81" s="991"/>
      <c r="F81" s="991"/>
      <c r="G81" s="991"/>
      <c r="H81" s="991"/>
      <c r="I81" s="991"/>
      <c r="J81" s="991"/>
      <c r="K81" s="452" t="s">
        <v>35</v>
      </c>
      <c r="L81" s="445"/>
    </row>
    <row r="82" spans="1:12" s="290" customFormat="1" ht="13.8" thickBot="1" x14ac:dyDescent="0.35">
      <c r="A82" s="445"/>
      <c r="B82" s="453" t="s">
        <v>1117</v>
      </c>
      <c r="C82" s="990" t="s">
        <v>1122</v>
      </c>
      <c r="D82" s="990"/>
      <c r="E82" s="990"/>
      <c r="F82" s="990"/>
      <c r="G82" s="990"/>
      <c r="H82" s="990"/>
      <c r="I82" s="990"/>
      <c r="J82" s="990"/>
      <c r="K82" s="454" t="s">
        <v>35</v>
      </c>
      <c r="L82" s="445"/>
    </row>
    <row r="83" spans="1:12" s="290" customFormat="1" ht="13.8" thickBot="1" x14ac:dyDescent="0.35">
      <c r="A83" s="445"/>
      <c r="B83" s="455"/>
      <c r="C83" s="1021" t="s">
        <v>1123</v>
      </c>
      <c r="D83" s="1022"/>
      <c r="E83" s="1022"/>
      <c r="F83" s="1022"/>
      <c r="G83" s="1022"/>
      <c r="H83" s="1022"/>
      <c r="I83" s="1022"/>
      <c r="J83" s="1023"/>
      <c r="K83" s="456" t="str">
        <f>IF(OR(K75="Yes",K77="Yes",K78="Yes",K79="Yes",K80="Yes",K81="Yes",K82="Yes"),"Yes","No")</f>
        <v>No</v>
      </c>
      <c r="L83" s="445"/>
    </row>
    <row r="84" spans="1:12" ht="13.8" thickBot="1" x14ac:dyDescent="0.3">
      <c r="A84" s="440"/>
      <c r="B84" s="1024" t="s">
        <v>1061</v>
      </c>
      <c r="C84" s="1024"/>
      <c r="D84" s="1024"/>
      <c r="E84" s="1024"/>
      <c r="F84" s="1024"/>
      <c r="G84" s="1024" t="s">
        <v>1062</v>
      </c>
      <c r="H84" s="1024"/>
      <c r="I84" s="1024"/>
      <c r="J84" s="1024"/>
      <c r="K84" s="1024"/>
      <c r="L84" s="441"/>
    </row>
    <row r="85" spans="1:12" ht="27" thickBot="1" x14ac:dyDescent="0.3">
      <c r="A85" s="440"/>
      <c r="B85" s="408" t="s">
        <v>26</v>
      </c>
      <c r="C85" s="394" t="s">
        <v>553</v>
      </c>
      <c r="D85" s="394" t="s">
        <v>19</v>
      </c>
      <c r="E85" s="394" t="s">
        <v>25</v>
      </c>
      <c r="F85" s="409" t="s">
        <v>554</v>
      </c>
      <c r="G85" s="393" t="s">
        <v>1063</v>
      </c>
      <c r="H85" s="394" t="s">
        <v>1064</v>
      </c>
      <c r="I85" s="395" t="s">
        <v>1065</v>
      </c>
      <c r="J85" s="395" t="s">
        <v>1066</v>
      </c>
      <c r="K85" s="396" t="s">
        <v>1067</v>
      </c>
      <c r="L85" s="441"/>
    </row>
    <row r="86" spans="1:12" ht="15" thickBot="1" x14ac:dyDescent="0.3">
      <c r="A86" s="440"/>
      <c r="B86" s="476" t="s">
        <v>621</v>
      </c>
      <c r="C86" s="477" t="s">
        <v>619</v>
      </c>
      <c r="D86" s="477" t="s">
        <v>619</v>
      </c>
      <c r="E86" s="477" t="s">
        <v>621</v>
      </c>
      <c r="F86" s="478" t="s">
        <v>619</v>
      </c>
      <c r="G86" s="479" t="s">
        <v>619</v>
      </c>
      <c r="H86" s="477" t="s">
        <v>621</v>
      </c>
      <c r="I86" s="477" t="s">
        <v>621</v>
      </c>
      <c r="J86" s="477" t="s">
        <v>621</v>
      </c>
      <c r="K86" s="478" t="s">
        <v>621</v>
      </c>
      <c r="L86" s="441"/>
    </row>
    <row r="87" spans="1:12" ht="13.8" thickBot="1" x14ac:dyDescent="0.3">
      <c r="A87" s="440"/>
      <c r="B87" s="1025" t="s">
        <v>1068</v>
      </c>
      <c r="C87" s="1026"/>
      <c r="D87" s="1026"/>
      <c r="E87" s="1026"/>
      <c r="F87" s="1026"/>
      <c r="G87" s="1026"/>
      <c r="H87" s="1026"/>
      <c r="I87" s="1026"/>
      <c r="J87" s="1026"/>
      <c r="K87" s="1027"/>
      <c r="L87" s="441"/>
    </row>
    <row r="88" spans="1:12" ht="27" thickBot="1" x14ac:dyDescent="0.3">
      <c r="A88" s="440"/>
      <c r="B88" s="467" t="s">
        <v>1124</v>
      </c>
      <c r="C88" s="1059" t="s">
        <v>31</v>
      </c>
      <c r="D88" s="1059"/>
      <c r="E88" s="1059"/>
      <c r="F88" s="1059"/>
      <c r="G88" s="1059"/>
      <c r="H88" s="1059"/>
      <c r="I88" s="468" t="s">
        <v>1125</v>
      </c>
      <c r="J88" s="1060" t="s">
        <v>1074</v>
      </c>
      <c r="K88" s="1061"/>
      <c r="L88" s="441"/>
    </row>
    <row r="89" spans="1:12" ht="13.8" thickBot="1" x14ac:dyDescent="0.3">
      <c r="A89" s="440"/>
      <c r="B89" s="449" t="s">
        <v>1201</v>
      </c>
      <c r="C89" s="992" t="s">
        <v>642</v>
      </c>
      <c r="D89" s="992"/>
      <c r="E89" s="992"/>
      <c r="F89" s="992"/>
      <c r="G89" s="992"/>
      <c r="H89" s="992"/>
      <c r="I89" s="472" t="s">
        <v>37</v>
      </c>
      <c r="J89" s="1049" t="s">
        <v>1797</v>
      </c>
      <c r="K89" s="1050"/>
      <c r="L89" s="441"/>
    </row>
    <row r="90" spans="1:12" ht="27" customHeight="1" thickBot="1" x14ac:dyDescent="0.3">
      <c r="A90" s="440"/>
      <c r="B90" s="453" t="s">
        <v>629</v>
      </c>
      <c r="C90" s="990" t="s">
        <v>665</v>
      </c>
      <c r="D90" s="990"/>
      <c r="E90" s="990"/>
      <c r="F90" s="990"/>
      <c r="G90" s="990"/>
      <c r="H90" s="990"/>
      <c r="I90" s="461" t="s">
        <v>37</v>
      </c>
      <c r="J90" s="1049" t="s">
        <v>1797</v>
      </c>
      <c r="K90" s="1050"/>
      <c r="L90" s="441"/>
    </row>
    <row r="91" spans="1:12" ht="27" thickBot="1" x14ac:dyDescent="0.3">
      <c r="A91" s="440"/>
      <c r="B91" s="469" t="s">
        <v>1072</v>
      </c>
      <c r="C91" s="1055" t="s">
        <v>1260</v>
      </c>
      <c r="D91" s="1056"/>
      <c r="E91" s="469" t="s">
        <v>1070</v>
      </c>
      <c r="F91" s="470" t="s">
        <v>1134</v>
      </c>
      <c r="G91" s="1057" t="s">
        <v>1131</v>
      </c>
      <c r="H91" s="1058"/>
      <c r="I91" s="469" t="s">
        <v>1130</v>
      </c>
      <c r="J91" s="1055" t="s">
        <v>1133</v>
      </c>
      <c r="K91" s="1056"/>
      <c r="L91" s="441"/>
    </row>
    <row r="92" spans="1:12" ht="13.8" thickBot="1" x14ac:dyDescent="0.3">
      <c r="A92" s="440"/>
      <c r="B92" s="1017" t="s">
        <v>1076</v>
      </c>
      <c r="C92" s="1018"/>
      <c r="D92" s="1018"/>
      <c r="E92" s="1018"/>
      <c r="F92" s="1018"/>
      <c r="G92" s="1018"/>
      <c r="H92" s="1018"/>
      <c r="I92" s="1018"/>
      <c r="J92" s="1018"/>
      <c r="K92" s="1019"/>
      <c r="L92" s="441"/>
    </row>
    <row r="93" spans="1:12" ht="27" customHeight="1" thickBot="1" x14ac:dyDescent="0.3">
      <c r="A93" s="440"/>
      <c r="B93" s="449" t="s">
        <v>1201</v>
      </c>
      <c r="C93" s="830" t="s">
        <v>1715</v>
      </c>
      <c r="D93" s="816"/>
      <c r="E93" s="816"/>
      <c r="F93" s="816"/>
      <c r="G93" s="816"/>
      <c r="H93" s="816"/>
      <c r="I93" s="816"/>
      <c r="J93" s="816"/>
      <c r="K93" s="817"/>
      <c r="L93" s="475"/>
    </row>
    <row r="94" spans="1:12" ht="31.2" customHeight="1" thickBot="1" x14ac:dyDescent="0.3">
      <c r="A94" s="440"/>
      <c r="B94" s="474" t="s">
        <v>629</v>
      </c>
      <c r="C94" s="830" t="s">
        <v>1840</v>
      </c>
      <c r="D94" s="816"/>
      <c r="E94" s="816"/>
      <c r="F94" s="816"/>
      <c r="G94" s="816"/>
      <c r="H94" s="816"/>
      <c r="I94" s="816"/>
      <c r="J94" s="816"/>
      <c r="K94" s="817"/>
      <c r="L94" s="633"/>
    </row>
    <row r="95" spans="1:12" ht="13.8" thickBot="1" x14ac:dyDescent="0.3">
      <c r="A95" s="440"/>
      <c r="B95" s="1088" t="s">
        <v>1077</v>
      </c>
      <c r="C95" s="1089"/>
      <c r="D95" s="1089"/>
      <c r="E95" s="1089"/>
      <c r="F95" s="1089"/>
      <c r="G95" s="1089"/>
      <c r="H95" s="1089"/>
      <c r="I95" s="1089"/>
      <c r="J95" s="1089"/>
      <c r="K95" s="1090"/>
      <c r="L95" s="441"/>
    </row>
    <row r="96" spans="1:12" ht="39.9" customHeight="1" x14ac:dyDescent="0.25">
      <c r="A96" s="440"/>
      <c r="B96" s="449" t="s">
        <v>697</v>
      </c>
      <c r="C96" s="1063" t="s">
        <v>1263</v>
      </c>
      <c r="D96" s="1063"/>
      <c r="E96" s="1063"/>
      <c r="F96" s="1063"/>
      <c r="G96" s="1063"/>
      <c r="H96" s="1063"/>
      <c r="I96" s="1063"/>
      <c r="J96" s="1063"/>
      <c r="K96" s="1064"/>
      <c r="L96" s="441"/>
    </row>
    <row r="97" spans="1:12" ht="27" customHeight="1" x14ac:dyDescent="0.25">
      <c r="A97" s="440"/>
      <c r="B97" s="451" t="s">
        <v>698</v>
      </c>
      <c r="C97" s="991" t="s">
        <v>1225</v>
      </c>
      <c r="D97" s="991"/>
      <c r="E97" s="991"/>
      <c r="F97" s="991"/>
      <c r="G97" s="991"/>
      <c r="H97" s="991"/>
      <c r="I97" s="991"/>
      <c r="J97" s="991"/>
      <c r="K97" s="1075"/>
      <c r="L97" s="441"/>
    </row>
    <row r="98" spans="1:12" ht="27" customHeight="1" x14ac:dyDescent="0.25">
      <c r="A98" s="440"/>
      <c r="B98" s="460" t="s">
        <v>682</v>
      </c>
      <c r="C98" s="1086" t="s">
        <v>493</v>
      </c>
      <c r="D98" s="1086"/>
      <c r="E98" s="1086"/>
      <c r="F98" s="1086"/>
      <c r="G98" s="1086"/>
      <c r="H98" s="1086"/>
      <c r="I98" s="1086"/>
      <c r="J98" s="1086"/>
      <c r="K98" s="1087"/>
      <c r="L98" s="441"/>
    </row>
    <row r="99" spans="1:12" ht="27" customHeight="1" thickBot="1" x14ac:dyDescent="0.3">
      <c r="A99" s="440"/>
      <c r="B99" s="453" t="s">
        <v>1770</v>
      </c>
      <c r="C99" s="990" t="s">
        <v>1771</v>
      </c>
      <c r="D99" s="990"/>
      <c r="E99" s="990"/>
      <c r="F99" s="990"/>
      <c r="G99" s="990"/>
      <c r="H99" s="990"/>
      <c r="I99" s="990"/>
      <c r="J99" s="990"/>
      <c r="K99" s="1076"/>
      <c r="L99" s="441"/>
    </row>
    <row r="100" spans="1:12" s="290" customFormat="1" ht="13.8" thickBot="1" x14ac:dyDescent="0.35">
      <c r="B100" s="824" t="s">
        <v>1139</v>
      </c>
      <c r="C100" s="825"/>
      <c r="D100" s="825"/>
      <c r="E100" s="825"/>
      <c r="F100" s="825"/>
      <c r="G100" s="825"/>
      <c r="H100" s="825"/>
      <c r="I100" s="825"/>
      <c r="J100" s="825"/>
      <c r="K100" s="826"/>
    </row>
    <row r="101" spans="1:12" s="290" customFormat="1" ht="13.8" thickBot="1" x14ac:dyDescent="0.35">
      <c r="B101" s="360" t="s">
        <v>863</v>
      </c>
      <c r="C101" s="835" t="s">
        <v>1140</v>
      </c>
      <c r="D101" s="835"/>
      <c r="E101" s="835"/>
      <c r="F101" s="835"/>
      <c r="G101" s="835"/>
      <c r="H101" s="835"/>
      <c r="I101" s="835"/>
      <c r="J101" s="835"/>
      <c r="K101" s="836"/>
    </row>
    <row r="102" spans="1:12" s="290" customFormat="1" x14ac:dyDescent="0.3">
      <c r="C102" s="522"/>
      <c r="D102" s="522"/>
      <c r="E102" s="522"/>
      <c r="F102" s="522"/>
      <c r="G102" s="522"/>
      <c r="H102" s="522"/>
      <c r="I102" s="522"/>
      <c r="J102" s="522"/>
      <c r="K102" s="522"/>
    </row>
    <row r="103" spans="1:12" s="290" customFormat="1" x14ac:dyDescent="0.3">
      <c r="C103" s="522"/>
      <c r="D103" s="522"/>
      <c r="E103" s="522"/>
      <c r="F103" s="522"/>
      <c r="G103" s="522"/>
      <c r="H103" s="522"/>
      <c r="I103" s="522"/>
      <c r="J103" s="522"/>
      <c r="K103" s="522"/>
    </row>
    <row r="104" spans="1:12" ht="13.8" thickBot="1" x14ac:dyDescent="0.3">
      <c r="A104" s="440" t="s">
        <v>1098</v>
      </c>
      <c r="B104" s="511" t="s">
        <v>1247</v>
      </c>
      <c r="C104" s="513"/>
      <c r="D104" s="513"/>
      <c r="E104" s="513"/>
      <c r="F104" s="513"/>
      <c r="G104" s="513"/>
      <c r="H104" s="513"/>
      <c r="I104" s="513"/>
      <c r="J104" s="513"/>
      <c r="K104" s="513"/>
      <c r="L104" s="513"/>
    </row>
    <row r="105" spans="1:12" ht="13.8" thickBot="1" x14ac:dyDescent="0.3">
      <c r="A105" s="440"/>
      <c r="B105" s="1044" t="s">
        <v>1060</v>
      </c>
      <c r="C105" s="1045"/>
      <c r="D105" s="1045"/>
      <c r="E105" s="1045"/>
      <c r="F105" s="1045"/>
      <c r="G105" s="1045"/>
      <c r="H105" s="1045"/>
      <c r="I105" s="1045"/>
      <c r="J105" s="1045"/>
      <c r="K105" s="1046"/>
      <c r="L105" s="441"/>
    </row>
    <row r="106" spans="1:12" ht="13.8" thickBot="1" x14ac:dyDescent="0.3">
      <c r="A106" s="440"/>
      <c r="B106" s="448" t="s">
        <v>594</v>
      </c>
      <c r="C106" s="1047" t="s">
        <v>1246</v>
      </c>
      <c r="D106" s="1047"/>
      <c r="E106" s="1047"/>
      <c r="F106" s="1047"/>
      <c r="G106" s="1047"/>
      <c r="H106" s="1047"/>
      <c r="I106" s="1047"/>
      <c r="J106" s="1047"/>
      <c r="K106" s="1048"/>
      <c r="L106" s="441"/>
    </row>
    <row r="107" spans="1:12" s="290" customFormat="1" ht="13.8" thickBot="1" x14ac:dyDescent="0.35">
      <c r="A107" s="445"/>
      <c r="B107" s="1038" t="s">
        <v>1109</v>
      </c>
      <c r="C107" s="1039"/>
      <c r="D107" s="1039"/>
      <c r="E107" s="1039"/>
      <c r="F107" s="1039"/>
      <c r="G107" s="1039"/>
      <c r="H107" s="1039"/>
      <c r="I107" s="1039"/>
      <c r="J107" s="1039"/>
      <c r="K107" s="1040"/>
      <c r="L107" s="445"/>
    </row>
    <row r="108" spans="1:12" s="290" customFormat="1" x14ac:dyDescent="0.3">
      <c r="A108" s="445"/>
      <c r="B108" s="449" t="s">
        <v>1110</v>
      </c>
      <c r="C108" s="992" t="s">
        <v>1111</v>
      </c>
      <c r="D108" s="992"/>
      <c r="E108" s="992"/>
      <c r="F108" s="992"/>
      <c r="G108" s="992"/>
      <c r="H108" s="992"/>
      <c r="I108" s="992"/>
      <c r="J108" s="992"/>
      <c r="K108" s="450" t="s">
        <v>35</v>
      </c>
      <c r="L108" s="445"/>
    </row>
    <row r="109" spans="1:12" s="290" customFormat="1" x14ac:dyDescent="0.3">
      <c r="A109" s="465"/>
      <c r="B109" s="459"/>
      <c r="C109" s="1041" t="s">
        <v>1206</v>
      </c>
      <c r="D109" s="1042"/>
      <c r="E109" s="1042"/>
      <c r="F109" s="1042"/>
      <c r="G109" s="1042"/>
      <c r="H109" s="1042"/>
      <c r="I109" s="1042"/>
      <c r="J109" s="1043"/>
      <c r="K109" s="466"/>
      <c r="L109" s="445"/>
    </row>
    <row r="110" spans="1:12" s="290" customFormat="1" x14ac:dyDescent="0.3">
      <c r="A110" s="445"/>
      <c r="B110" s="451" t="s">
        <v>1112</v>
      </c>
      <c r="C110" s="991" t="s">
        <v>1118</v>
      </c>
      <c r="D110" s="991"/>
      <c r="E110" s="991"/>
      <c r="F110" s="991"/>
      <c r="G110" s="991"/>
      <c r="H110" s="991"/>
      <c r="I110" s="991"/>
      <c r="J110" s="991"/>
      <c r="K110" s="452" t="s">
        <v>35</v>
      </c>
      <c r="L110" s="445"/>
    </row>
    <row r="111" spans="1:12" s="290" customFormat="1" x14ac:dyDescent="0.3">
      <c r="A111" s="445"/>
      <c r="B111" s="451" t="s">
        <v>1113</v>
      </c>
      <c r="C111" s="991" t="s">
        <v>1119</v>
      </c>
      <c r="D111" s="991"/>
      <c r="E111" s="991"/>
      <c r="F111" s="991"/>
      <c r="G111" s="991"/>
      <c r="H111" s="991"/>
      <c r="I111" s="991"/>
      <c r="J111" s="991"/>
      <c r="K111" s="452" t="s">
        <v>35</v>
      </c>
      <c r="L111" s="445"/>
    </row>
    <row r="112" spans="1:12" s="290" customFormat="1" x14ac:dyDescent="0.3">
      <c r="A112" s="445"/>
      <c r="B112" s="451" t="s">
        <v>1114</v>
      </c>
      <c r="C112" s="991" t="s">
        <v>1120</v>
      </c>
      <c r="D112" s="991"/>
      <c r="E112" s="991"/>
      <c r="F112" s="991"/>
      <c r="G112" s="991"/>
      <c r="H112" s="991"/>
      <c r="I112" s="991"/>
      <c r="J112" s="991"/>
      <c r="K112" s="452" t="s">
        <v>35</v>
      </c>
      <c r="L112" s="445"/>
    </row>
    <row r="113" spans="1:12" s="290" customFormat="1" ht="27" customHeight="1" x14ac:dyDescent="0.3">
      <c r="A113" s="445"/>
      <c r="B113" s="451" t="s">
        <v>1115</v>
      </c>
      <c r="C113" s="991" t="s">
        <v>1121</v>
      </c>
      <c r="D113" s="991"/>
      <c r="E113" s="991"/>
      <c r="F113" s="991"/>
      <c r="G113" s="991"/>
      <c r="H113" s="991"/>
      <c r="I113" s="991"/>
      <c r="J113" s="991"/>
      <c r="K113" s="452" t="s">
        <v>35</v>
      </c>
      <c r="L113" s="445"/>
    </row>
    <row r="114" spans="1:12" s="290" customFormat="1" x14ac:dyDescent="0.3">
      <c r="A114" s="445"/>
      <c r="B114" s="451" t="s">
        <v>1116</v>
      </c>
      <c r="C114" s="991" t="s">
        <v>1272</v>
      </c>
      <c r="D114" s="991"/>
      <c r="E114" s="991"/>
      <c r="F114" s="991"/>
      <c r="G114" s="991"/>
      <c r="H114" s="991"/>
      <c r="I114" s="991"/>
      <c r="J114" s="991"/>
      <c r="K114" s="452" t="s">
        <v>35</v>
      </c>
      <c r="L114" s="445"/>
    </row>
    <row r="115" spans="1:12" s="290" customFormat="1" ht="13.8" thickBot="1" x14ac:dyDescent="0.35">
      <c r="A115" s="445"/>
      <c r="B115" s="453" t="s">
        <v>1117</v>
      </c>
      <c r="C115" s="990" t="s">
        <v>1122</v>
      </c>
      <c r="D115" s="990"/>
      <c r="E115" s="990"/>
      <c r="F115" s="990"/>
      <c r="G115" s="990"/>
      <c r="H115" s="990"/>
      <c r="I115" s="990"/>
      <c r="J115" s="990"/>
      <c r="K115" s="454" t="s">
        <v>35</v>
      </c>
      <c r="L115" s="445"/>
    </row>
    <row r="116" spans="1:12" s="290" customFormat="1" ht="13.8" thickBot="1" x14ac:dyDescent="0.35">
      <c r="A116" s="445"/>
      <c r="B116" s="455"/>
      <c r="C116" s="1021" t="s">
        <v>1123</v>
      </c>
      <c r="D116" s="1022"/>
      <c r="E116" s="1022"/>
      <c r="F116" s="1022"/>
      <c r="G116" s="1022"/>
      <c r="H116" s="1022"/>
      <c r="I116" s="1022"/>
      <c r="J116" s="1023"/>
      <c r="K116" s="456" t="str">
        <f>IF(OR(K108="Yes",K110="Yes",K111="Yes",K112="Yes",K113="Yes",K114="Yes",K115="Yes"),"Yes","No")</f>
        <v>No</v>
      </c>
      <c r="L116" s="445"/>
    </row>
    <row r="117" spans="1:12" ht="13.8" thickBot="1" x14ac:dyDescent="0.3">
      <c r="A117" s="440"/>
      <c r="B117" s="1024" t="s">
        <v>1061</v>
      </c>
      <c r="C117" s="1024"/>
      <c r="D117" s="1024"/>
      <c r="E117" s="1024"/>
      <c r="F117" s="1024"/>
      <c r="G117" s="1024" t="s">
        <v>1062</v>
      </c>
      <c r="H117" s="1024"/>
      <c r="I117" s="1024"/>
      <c r="J117" s="1024"/>
      <c r="K117" s="1024"/>
      <c r="L117" s="441"/>
    </row>
    <row r="118" spans="1:12" ht="27" thickBot="1" x14ac:dyDescent="0.3">
      <c r="A118" s="440"/>
      <c r="B118" s="408" t="s">
        <v>26</v>
      </c>
      <c r="C118" s="394" t="s">
        <v>553</v>
      </c>
      <c r="D118" s="394" t="s">
        <v>19</v>
      </c>
      <c r="E118" s="394" t="s">
        <v>25</v>
      </c>
      <c r="F118" s="409" t="s">
        <v>554</v>
      </c>
      <c r="G118" s="393" t="s">
        <v>1063</v>
      </c>
      <c r="H118" s="394" t="s">
        <v>1064</v>
      </c>
      <c r="I118" s="395" t="s">
        <v>1065</v>
      </c>
      <c r="J118" s="395" t="s">
        <v>1066</v>
      </c>
      <c r="K118" s="396" t="s">
        <v>1067</v>
      </c>
      <c r="L118" s="441"/>
    </row>
    <row r="119" spans="1:12" ht="15" thickBot="1" x14ac:dyDescent="0.3">
      <c r="A119" s="440"/>
      <c r="B119" s="476" t="s">
        <v>621</v>
      </c>
      <c r="C119" s="477" t="s">
        <v>619</v>
      </c>
      <c r="D119" s="477" t="s">
        <v>621</v>
      </c>
      <c r="E119" s="477" t="s">
        <v>619</v>
      </c>
      <c r="F119" s="478" t="s">
        <v>621</v>
      </c>
      <c r="G119" s="479" t="s">
        <v>619</v>
      </c>
      <c r="H119" s="477" t="s">
        <v>621</v>
      </c>
      <c r="I119" s="477" t="s">
        <v>621</v>
      </c>
      <c r="J119" s="477" t="s">
        <v>619</v>
      </c>
      <c r="K119" s="478" t="s">
        <v>621</v>
      </c>
      <c r="L119" s="441"/>
    </row>
    <row r="120" spans="1:12" ht="13.8" thickBot="1" x14ac:dyDescent="0.3">
      <c r="A120" s="440"/>
      <c r="B120" s="1025" t="s">
        <v>1068</v>
      </c>
      <c r="C120" s="1026"/>
      <c r="D120" s="1026"/>
      <c r="E120" s="1026"/>
      <c r="F120" s="1026"/>
      <c r="G120" s="1026"/>
      <c r="H120" s="1026"/>
      <c r="I120" s="1026"/>
      <c r="J120" s="1026"/>
      <c r="K120" s="1027"/>
      <c r="L120" s="441"/>
    </row>
    <row r="121" spans="1:12" ht="27" thickBot="1" x14ac:dyDescent="0.3">
      <c r="A121" s="440"/>
      <c r="B121" s="467" t="s">
        <v>1124</v>
      </c>
      <c r="C121" s="1059" t="s">
        <v>31</v>
      </c>
      <c r="D121" s="1059"/>
      <c r="E121" s="1059"/>
      <c r="F121" s="1059"/>
      <c r="G121" s="1059"/>
      <c r="H121" s="1059"/>
      <c r="I121" s="468" t="s">
        <v>1125</v>
      </c>
      <c r="J121" s="1060" t="s">
        <v>1074</v>
      </c>
      <c r="K121" s="1061"/>
      <c r="L121" s="441"/>
    </row>
    <row r="122" spans="1:12" x14ac:dyDescent="0.25">
      <c r="A122" s="440"/>
      <c r="B122" s="449" t="s">
        <v>644</v>
      </c>
      <c r="C122" s="992" t="s">
        <v>640</v>
      </c>
      <c r="D122" s="992"/>
      <c r="E122" s="992"/>
      <c r="F122" s="992"/>
      <c r="G122" s="992"/>
      <c r="H122" s="992"/>
      <c r="I122" s="472" t="s">
        <v>35</v>
      </c>
      <c r="J122" s="1051" t="s">
        <v>863</v>
      </c>
      <c r="K122" s="1052"/>
      <c r="L122" s="441"/>
    </row>
    <row r="123" spans="1:12" ht="54" customHeight="1" thickBot="1" x14ac:dyDescent="0.3">
      <c r="A123" s="440"/>
      <c r="B123" s="453" t="s">
        <v>1238</v>
      </c>
      <c r="C123" s="990" t="s">
        <v>1239</v>
      </c>
      <c r="D123" s="990"/>
      <c r="E123" s="990"/>
      <c r="F123" s="990"/>
      <c r="G123" s="990"/>
      <c r="H123" s="990"/>
      <c r="I123" s="461" t="s">
        <v>35</v>
      </c>
      <c r="J123" s="1053" t="s">
        <v>863</v>
      </c>
      <c r="K123" s="1054"/>
      <c r="L123" s="441"/>
    </row>
    <row r="124" spans="1:12" ht="27" thickBot="1" x14ac:dyDescent="0.3">
      <c r="A124" s="440"/>
      <c r="B124" s="469" t="s">
        <v>1072</v>
      </c>
      <c r="C124" s="1055" t="s">
        <v>1200</v>
      </c>
      <c r="D124" s="1056"/>
      <c r="E124" s="469" t="s">
        <v>1070</v>
      </c>
      <c r="F124" s="470" t="s">
        <v>1134</v>
      </c>
      <c r="G124" s="1057" t="s">
        <v>1131</v>
      </c>
      <c r="H124" s="1058"/>
      <c r="I124" s="469" t="s">
        <v>1130</v>
      </c>
      <c r="J124" s="1055" t="s">
        <v>1133</v>
      </c>
      <c r="K124" s="1056"/>
      <c r="L124" s="441"/>
    </row>
    <row r="125" spans="1:12" ht="13.8" thickBot="1" x14ac:dyDescent="0.3">
      <c r="A125" s="440"/>
      <c r="B125" s="1011" t="s">
        <v>1076</v>
      </c>
      <c r="C125" s="1012"/>
      <c r="D125" s="1012"/>
      <c r="E125" s="1012"/>
      <c r="F125" s="1012"/>
      <c r="G125" s="1012"/>
      <c r="H125" s="1012"/>
      <c r="I125" s="1012"/>
      <c r="J125" s="1012"/>
      <c r="K125" s="1013"/>
      <c r="L125" s="441"/>
    </row>
    <row r="126" spans="1:12" ht="13.8" thickBot="1" x14ac:dyDescent="0.3">
      <c r="A126" s="440"/>
      <c r="B126" s="464" t="s">
        <v>863</v>
      </c>
      <c r="C126" s="1091" t="s">
        <v>863</v>
      </c>
      <c r="D126" s="1092"/>
      <c r="E126" s="1092"/>
      <c r="F126" s="1092"/>
      <c r="G126" s="1092"/>
      <c r="H126" s="1092"/>
      <c r="I126" s="1092"/>
      <c r="J126" s="1092"/>
      <c r="K126" s="1093"/>
      <c r="L126" s="441"/>
    </row>
    <row r="127" spans="1:12" ht="13.8" thickBot="1" x14ac:dyDescent="0.3">
      <c r="A127" s="440"/>
      <c r="B127" s="1011" t="s">
        <v>1077</v>
      </c>
      <c r="C127" s="1012"/>
      <c r="D127" s="1012"/>
      <c r="E127" s="1012"/>
      <c r="F127" s="1012"/>
      <c r="G127" s="1012"/>
      <c r="H127" s="1012"/>
      <c r="I127" s="1012"/>
      <c r="J127" s="1012"/>
      <c r="K127" s="1013"/>
      <c r="L127" s="441"/>
    </row>
    <row r="128" spans="1:12" ht="27" customHeight="1" thickBot="1" x14ac:dyDescent="0.3">
      <c r="A128" s="440"/>
      <c r="B128" s="448" t="s">
        <v>699</v>
      </c>
      <c r="C128" s="1062" t="s">
        <v>1243</v>
      </c>
      <c r="D128" s="1036"/>
      <c r="E128" s="1036"/>
      <c r="F128" s="1036"/>
      <c r="G128" s="1036"/>
      <c r="H128" s="1036"/>
      <c r="I128" s="1036"/>
      <c r="J128" s="1036"/>
      <c r="K128" s="1037"/>
      <c r="L128" s="441"/>
    </row>
    <row r="129" spans="1:12" s="290" customFormat="1" ht="13.8" thickBot="1" x14ac:dyDescent="0.35">
      <c r="B129" s="824" t="s">
        <v>1139</v>
      </c>
      <c r="C129" s="825"/>
      <c r="D129" s="825"/>
      <c r="E129" s="825"/>
      <c r="F129" s="825"/>
      <c r="G129" s="825"/>
      <c r="H129" s="825"/>
      <c r="I129" s="825"/>
      <c r="J129" s="825"/>
      <c r="K129" s="826"/>
    </row>
    <row r="130" spans="1:12" s="290" customFormat="1" ht="13.8" thickBot="1" x14ac:dyDescent="0.35">
      <c r="B130" s="360" t="s">
        <v>863</v>
      </c>
      <c r="C130" s="835" t="s">
        <v>1140</v>
      </c>
      <c r="D130" s="835"/>
      <c r="E130" s="835"/>
      <c r="F130" s="835"/>
      <c r="G130" s="835"/>
      <c r="H130" s="835"/>
      <c r="I130" s="835"/>
      <c r="J130" s="835"/>
      <c r="K130" s="836"/>
    </row>
    <row r="131" spans="1:12" x14ac:dyDescent="0.25">
      <c r="A131" s="440"/>
      <c r="B131" s="441"/>
      <c r="C131" s="441"/>
      <c r="D131" s="441"/>
      <c r="E131" s="441"/>
      <c r="F131" s="441"/>
      <c r="G131" s="441"/>
      <c r="H131" s="441"/>
      <c r="I131" s="441"/>
      <c r="J131" s="441"/>
      <c r="K131" s="441"/>
      <c r="L131" s="441"/>
    </row>
    <row r="132" spans="1:12" ht="13.8" thickBot="1" x14ac:dyDescent="0.3">
      <c r="A132" s="440"/>
      <c r="B132" s="441"/>
      <c r="C132" s="441"/>
      <c r="D132" s="441"/>
      <c r="E132" s="441"/>
      <c r="F132" s="441"/>
      <c r="G132" s="441"/>
      <c r="H132" s="441"/>
      <c r="I132" s="441"/>
      <c r="J132" s="441"/>
      <c r="K132" s="441"/>
      <c r="L132" s="441"/>
    </row>
    <row r="133" spans="1:12" ht="13.8" thickBot="1" x14ac:dyDescent="0.3">
      <c r="A133" s="440"/>
      <c r="B133" s="1044" t="s">
        <v>1060</v>
      </c>
      <c r="C133" s="1045"/>
      <c r="D133" s="1045"/>
      <c r="E133" s="1045"/>
      <c r="F133" s="1045"/>
      <c r="G133" s="1045"/>
      <c r="H133" s="1045"/>
      <c r="I133" s="1045"/>
      <c r="J133" s="1045"/>
      <c r="K133" s="1046"/>
      <c r="L133" s="441"/>
    </row>
    <row r="134" spans="1:12" ht="13.8" thickBot="1" x14ac:dyDescent="0.3">
      <c r="A134" s="440"/>
      <c r="B134" s="448" t="s">
        <v>595</v>
      </c>
      <c r="C134" s="1047" t="s">
        <v>1237</v>
      </c>
      <c r="D134" s="1047"/>
      <c r="E134" s="1047"/>
      <c r="F134" s="1047"/>
      <c r="G134" s="1047"/>
      <c r="H134" s="1047"/>
      <c r="I134" s="1047"/>
      <c r="J134" s="1047"/>
      <c r="K134" s="1048"/>
      <c r="L134" s="441"/>
    </row>
    <row r="135" spans="1:12" s="290" customFormat="1" ht="13.8" thickBot="1" x14ac:dyDescent="0.35">
      <c r="A135" s="445"/>
      <c r="B135" s="1038" t="s">
        <v>1109</v>
      </c>
      <c r="C135" s="1039"/>
      <c r="D135" s="1039"/>
      <c r="E135" s="1039"/>
      <c r="F135" s="1039"/>
      <c r="G135" s="1039"/>
      <c r="H135" s="1039"/>
      <c r="I135" s="1039"/>
      <c r="J135" s="1039"/>
      <c r="K135" s="1040"/>
      <c r="L135" s="445"/>
    </row>
    <row r="136" spans="1:12" s="290" customFormat="1" x14ac:dyDescent="0.3">
      <c r="A136" s="445"/>
      <c r="B136" s="449" t="s">
        <v>1110</v>
      </c>
      <c r="C136" s="992" t="s">
        <v>1111</v>
      </c>
      <c r="D136" s="992"/>
      <c r="E136" s="992"/>
      <c r="F136" s="992"/>
      <c r="G136" s="992"/>
      <c r="H136" s="992"/>
      <c r="I136" s="992"/>
      <c r="J136" s="992"/>
      <c r="K136" s="450" t="s">
        <v>35</v>
      </c>
      <c r="L136" s="445"/>
    </row>
    <row r="137" spans="1:12" s="290" customFormat="1" x14ac:dyDescent="0.3">
      <c r="A137" s="465"/>
      <c r="B137" s="459"/>
      <c r="C137" s="1041" t="s">
        <v>1206</v>
      </c>
      <c r="D137" s="1042"/>
      <c r="E137" s="1042"/>
      <c r="F137" s="1042"/>
      <c r="G137" s="1042"/>
      <c r="H137" s="1042"/>
      <c r="I137" s="1042"/>
      <c r="J137" s="1043"/>
      <c r="K137" s="466"/>
      <c r="L137" s="445"/>
    </row>
    <row r="138" spans="1:12" s="290" customFormat="1" x14ac:dyDescent="0.3">
      <c r="A138" s="445"/>
      <c r="B138" s="451" t="s">
        <v>1112</v>
      </c>
      <c r="C138" s="991" t="s">
        <v>1118</v>
      </c>
      <c r="D138" s="991"/>
      <c r="E138" s="991"/>
      <c r="F138" s="991"/>
      <c r="G138" s="991"/>
      <c r="H138" s="991"/>
      <c r="I138" s="991"/>
      <c r="J138" s="991"/>
      <c r="K138" s="452" t="s">
        <v>35</v>
      </c>
      <c r="L138" s="445"/>
    </row>
    <row r="139" spans="1:12" s="290" customFormat="1" x14ac:dyDescent="0.3">
      <c r="A139" s="445"/>
      <c r="B139" s="451" t="s">
        <v>1113</v>
      </c>
      <c r="C139" s="991" t="s">
        <v>1119</v>
      </c>
      <c r="D139" s="991"/>
      <c r="E139" s="991"/>
      <c r="F139" s="991"/>
      <c r="G139" s="991"/>
      <c r="H139" s="991"/>
      <c r="I139" s="991"/>
      <c r="J139" s="991"/>
      <c r="K139" s="452" t="s">
        <v>35</v>
      </c>
      <c r="L139" s="445"/>
    </row>
    <row r="140" spans="1:12" s="290" customFormat="1" x14ac:dyDescent="0.3">
      <c r="A140" s="445"/>
      <c r="B140" s="451" t="s">
        <v>1114</v>
      </c>
      <c r="C140" s="991" t="s">
        <v>1120</v>
      </c>
      <c r="D140" s="991"/>
      <c r="E140" s="991"/>
      <c r="F140" s="991"/>
      <c r="G140" s="991"/>
      <c r="H140" s="991"/>
      <c r="I140" s="991"/>
      <c r="J140" s="991"/>
      <c r="K140" s="452" t="s">
        <v>35</v>
      </c>
      <c r="L140" s="445"/>
    </row>
    <row r="141" spans="1:12" s="290" customFormat="1" ht="27" customHeight="1" x14ac:dyDescent="0.3">
      <c r="A141" s="445"/>
      <c r="B141" s="451" t="s">
        <v>1115</v>
      </c>
      <c r="C141" s="991" t="s">
        <v>1121</v>
      </c>
      <c r="D141" s="991"/>
      <c r="E141" s="991"/>
      <c r="F141" s="991"/>
      <c r="G141" s="991"/>
      <c r="H141" s="991"/>
      <c r="I141" s="991"/>
      <c r="J141" s="991"/>
      <c r="K141" s="452" t="s">
        <v>35</v>
      </c>
      <c r="L141" s="445"/>
    </row>
    <row r="142" spans="1:12" s="290" customFormat="1" x14ac:dyDescent="0.3">
      <c r="A142" s="445"/>
      <c r="B142" s="451" t="s">
        <v>1116</v>
      </c>
      <c r="C142" s="991" t="s">
        <v>1272</v>
      </c>
      <c r="D142" s="991"/>
      <c r="E142" s="991"/>
      <c r="F142" s="991"/>
      <c r="G142" s="991"/>
      <c r="H142" s="991"/>
      <c r="I142" s="991"/>
      <c r="J142" s="991"/>
      <c r="K142" s="452" t="s">
        <v>35</v>
      </c>
      <c r="L142" s="445"/>
    </row>
    <row r="143" spans="1:12" s="290" customFormat="1" ht="13.8" thickBot="1" x14ac:dyDescent="0.35">
      <c r="A143" s="445"/>
      <c r="B143" s="453" t="s">
        <v>1117</v>
      </c>
      <c r="C143" s="990" t="s">
        <v>1122</v>
      </c>
      <c r="D143" s="990"/>
      <c r="E143" s="990"/>
      <c r="F143" s="990"/>
      <c r="G143" s="990"/>
      <c r="H143" s="990"/>
      <c r="I143" s="990"/>
      <c r="J143" s="990"/>
      <c r="K143" s="454" t="s">
        <v>35</v>
      </c>
      <c r="L143" s="445"/>
    </row>
    <row r="144" spans="1:12" s="290" customFormat="1" ht="13.8" thickBot="1" x14ac:dyDescent="0.35">
      <c r="A144" s="445"/>
      <c r="B144" s="455"/>
      <c r="C144" s="1021" t="s">
        <v>1123</v>
      </c>
      <c r="D144" s="1022"/>
      <c r="E144" s="1022"/>
      <c r="F144" s="1022"/>
      <c r="G144" s="1022"/>
      <c r="H144" s="1022"/>
      <c r="I144" s="1022"/>
      <c r="J144" s="1023"/>
      <c r="K144" s="456" t="str">
        <f>IF(OR(K136="Yes",K138="Yes",K139="Yes",K140="Yes",K141="Yes",K142="Yes",K143="Yes"),"Yes","No")</f>
        <v>No</v>
      </c>
      <c r="L144" s="445"/>
    </row>
    <row r="145" spans="1:12" ht="13.8" thickBot="1" x14ac:dyDescent="0.3">
      <c r="A145" s="440"/>
      <c r="B145" s="1024" t="s">
        <v>1061</v>
      </c>
      <c r="C145" s="1024"/>
      <c r="D145" s="1024"/>
      <c r="E145" s="1024"/>
      <c r="F145" s="1024"/>
      <c r="G145" s="1024" t="s">
        <v>1062</v>
      </c>
      <c r="H145" s="1024"/>
      <c r="I145" s="1024"/>
      <c r="J145" s="1024"/>
      <c r="K145" s="1024"/>
      <c r="L145" s="441"/>
    </row>
    <row r="146" spans="1:12" ht="27" thickBot="1" x14ac:dyDescent="0.3">
      <c r="A146" s="440"/>
      <c r="B146" s="408" t="s">
        <v>26</v>
      </c>
      <c r="C146" s="394" t="s">
        <v>553</v>
      </c>
      <c r="D146" s="394" t="s">
        <v>19</v>
      </c>
      <c r="E146" s="394" t="s">
        <v>25</v>
      </c>
      <c r="F146" s="409" t="s">
        <v>554</v>
      </c>
      <c r="G146" s="393" t="s">
        <v>1063</v>
      </c>
      <c r="H146" s="394" t="s">
        <v>1064</v>
      </c>
      <c r="I146" s="395" t="s">
        <v>1065</v>
      </c>
      <c r="J146" s="395" t="s">
        <v>1066</v>
      </c>
      <c r="K146" s="396" t="s">
        <v>1067</v>
      </c>
      <c r="L146" s="441"/>
    </row>
    <row r="147" spans="1:12" ht="15" thickBot="1" x14ac:dyDescent="0.3">
      <c r="A147" s="440"/>
      <c r="B147" s="476" t="s">
        <v>621</v>
      </c>
      <c r="C147" s="477" t="s">
        <v>619</v>
      </c>
      <c r="D147" s="477" t="s">
        <v>621</v>
      </c>
      <c r="E147" s="477" t="s">
        <v>619</v>
      </c>
      <c r="F147" s="478" t="s">
        <v>621</v>
      </c>
      <c r="G147" s="479" t="s">
        <v>619</v>
      </c>
      <c r="H147" s="477" t="s">
        <v>621</v>
      </c>
      <c r="I147" s="477" t="s">
        <v>621</v>
      </c>
      <c r="J147" s="477" t="s">
        <v>619</v>
      </c>
      <c r="K147" s="478" t="s">
        <v>621</v>
      </c>
      <c r="L147" s="441"/>
    </row>
    <row r="148" spans="1:12" ht="13.8" thickBot="1" x14ac:dyDescent="0.3">
      <c r="A148" s="440"/>
      <c r="B148" s="1025" t="s">
        <v>1068</v>
      </c>
      <c r="C148" s="1026"/>
      <c r="D148" s="1026"/>
      <c r="E148" s="1026"/>
      <c r="F148" s="1026"/>
      <c r="G148" s="1026"/>
      <c r="H148" s="1026"/>
      <c r="I148" s="1026"/>
      <c r="J148" s="1026"/>
      <c r="K148" s="1027"/>
      <c r="L148" s="441"/>
    </row>
    <row r="149" spans="1:12" ht="27" thickBot="1" x14ac:dyDescent="0.3">
      <c r="A149" s="440"/>
      <c r="B149" s="457" t="s">
        <v>1124</v>
      </c>
      <c r="C149" s="1028" t="s">
        <v>31</v>
      </c>
      <c r="D149" s="1028"/>
      <c r="E149" s="1028"/>
      <c r="F149" s="1028"/>
      <c r="G149" s="1028"/>
      <c r="H149" s="1028"/>
      <c r="I149" s="458" t="s">
        <v>1125</v>
      </c>
      <c r="J149" s="1029" t="s">
        <v>1074</v>
      </c>
      <c r="K149" s="1030"/>
      <c r="L149" s="441"/>
    </row>
    <row r="150" spans="1:12" ht="39.9" customHeight="1" thickBot="1" x14ac:dyDescent="0.3">
      <c r="A150" s="440"/>
      <c r="B150" s="578" t="s">
        <v>1241</v>
      </c>
      <c r="C150" s="1031" t="s">
        <v>1240</v>
      </c>
      <c r="D150" s="1031"/>
      <c r="E150" s="1031"/>
      <c r="F150" s="1031"/>
      <c r="G150" s="1031"/>
      <c r="H150" s="1031"/>
      <c r="I150" s="579" t="s">
        <v>35</v>
      </c>
      <c r="J150" s="1032" t="s">
        <v>863</v>
      </c>
      <c r="K150" s="1033"/>
      <c r="L150" s="513"/>
    </row>
    <row r="151" spans="1:12" ht="27" thickBot="1" x14ac:dyDescent="0.3">
      <c r="A151" s="440"/>
      <c r="B151" s="462" t="s">
        <v>1072</v>
      </c>
      <c r="C151" s="1034" t="s">
        <v>1200</v>
      </c>
      <c r="D151" s="1035"/>
      <c r="E151" s="462" t="s">
        <v>1070</v>
      </c>
      <c r="F151" s="463" t="s">
        <v>1134</v>
      </c>
      <c r="G151" s="1036" t="s">
        <v>1131</v>
      </c>
      <c r="H151" s="1037"/>
      <c r="I151" s="462" t="s">
        <v>1130</v>
      </c>
      <c r="J151" s="1034" t="s">
        <v>1133</v>
      </c>
      <c r="K151" s="1035"/>
      <c r="L151" s="441"/>
    </row>
    <row r="152" spans="1:12" ht="13.8" thickBot="1" x14ac:dyDescent="0.3">
      <c r="A152" s="440"/>
      <c r="B152" s="1011" t="s">
        <v>1076</v>
      </c>
      <c r="C152" s="1012"/>
      <c r="D152" s="1012"/>
      <c r="E152" s="1012"/>
      <c r="F152" s="1012"/>
      <c r="G152" s="1012"/>
      <c r="H152" s="1012"/>
      <c r="I152" s="1012"/>
      <c r="J152" s="1012"/>
      <c r="K152" s="1013"/>
      <c r="L152" s="441"/>
    </row>
    <row r="153" spans="1:12" ht="13.8" thickBot="1" x14ac:dyDescent="0.3">
      <c r="A153" s="440"/>
      <c r="B153" s="464" t="s">
        <v>863</v>
      </c>
      <c r="C153" s="1091" t="s">
        <v>863</v>
      </c>
      <c r="D153" s="1092"/>
      <c r="E153" s="1092"/>
      <c r="F153" s="1092"/>
      <c r="G153" s="1092"/>
      <c r="H153" s="1092"/>
      <c r="I153" s="1092"/>
      <c r="J153" s="1092"/>
      <c r="K153" s="1093"/>
      <c r="L153" s="441"/>
    </row>
    <row r="154" spans="1:12" ht="13.8" thickBot="1" x14ac:dyDescent="0.3">
      <c r="A154" s="440"/>
      <c r="B154" s="1017" t="s">
        <v>1077</v>
      </c>
      <c r="C154" s="1018"/>
      <c r="D154" s="1018"/>
      <c r="E154" s="1018"/>
      <c r="F154" s="1018"/>
      <c r="G154" s="1018"/>
      <c r="H154" s="1018"/>
      <c r="I154" s="1018"/>
      <c r="J154" s="1018"/>
      <c r="K154" s="1019"/>
      <c r="L154" s="441"/>
    </row>
    <row r="155" spans="1:12" ht="27" customHeight="1" x14ac:dyDescent="0.25">
      <c r="A155" s="440"/>
      <c r="B155" s="449" t="s">
        <v>1242</v>
      </c>
      <c r="C155" s="992" t="s">
        <v>1244</v>
      </c>
      <c r="D155" s="992"/>
      <c r="E155" s="992"/>
      <c r="F155" s="992"/>
      <c r="G155" s="992"/>
      <c r="H155" s="992"/>
      <c r="I155" s="992"/>
      <c r="J155" s="992"/>
      <c r="K155" s="1020"/>
      <c r="L155" s="441"/>
    </row>
    <row r="156" spans="1:12" ht="27" customHeight="1" thickBot="1" x14ac:dyDescent="0.3">
      <c r="A156" s="440"/>
      <c r="B156" s="453" t="s">
        <v>1245</v>
      </c>
      <c r="C156" s="990" t="s">
        <v>1265</v>
      </c>
      <c r="D156" s="990"/>
      <c r="E156" s="990"/>
      <c r="F156" s="990"/>
      <c r="G156" s="990"/>
      <c r="H156" s="990"/>
      <c r="I156" s="990"/>
      <c r="J156" s="990"/>
      <c r="K156" s="1076"/>
      <c r="L156" s="441"/>
    </row>
    <row r="157" spans="1:12" s="290" customFormat="1" ht="13.8" thickBot="1" x14ac:dyDescent="0.35">
      <c r="B157" s="824" t="s">
        <v>1139</v>
      </c>
      <c r="C157" s="825"/>
      <c r="D157" s="825"/>
      <c r="E157" s="825"/>
      <c r="F157" s="825"/>
      <c r="G157" s="825"/>
      <c r="H157" s="825"/>
      <c r="I157" s="825"/>
      <c r="J157" s="825"/>
      <c r="K157" s="826"/>
    </row>
    <row r="158" spans="1:12" s="290" customFormat="1" ht="13.8" thickBot="1" x14ac:dyDescent="0.35">
      <c r="B158" s="360" t="s">
        <v>863</v>
      </c>
      <c r="C158" s="835" t="s">
        <v>1140</v>
      </c>
      <c r="D158" s="835"/>
      <c r="E158" s="835"/>
      <c r="F158" s="835"/>
      <c r="G158" s="835"/>
      <c r="H158" s="835"/>
      <c r="I158" s="835"/>
      <c r="J158" s="835"/>
      <c r="K158" s="836"/>
    </row>
    <row r="161" spans="1:11" ht="13.8" thickBot="1" x14ac:dyDescent="0.3">
      <c r="A161" s="390" t="s">
        <v>1101</v>
      </c>
      <c r="B161" s="440" t="s">
        <v>1429</v>
      </c>
    </row>
    <row r="162" spans="1:11" ht="13.8" thickBot="1" x14ac:dyDescent="0.3">
      <c r="B162" s="1044" t="s">
        <v>1060</v>
      </c>
      <c r="C162" s="1045"/>
      <c r="D162" s="1045"/>
      <c r="E162" s="1045"/>
      <c r="F162" s="1045"/>
      <c r="G162" s="1045"/>
      <c r="H162" s="1045"/>
      <c r="I162" s="1045"/>
      <c r="J162" s="1045"/>
      <c r="K162" s="1046"/>
    </row>
    <row r="163" spans="1:11" ht="13.8" thickBot="1" x14ac:dyDescent="0.3">
      <c r="B163" s="448" t="s">
        <v>1430</v>
      </c>
      <c r="C163" s="1047" t="s">
        <v>1431</v>
      </c>
      <c r="D163" s="1047"/>
      <c r="E163" s="1047"/>
      <c r="F163" s="1047"/>
      <c r="G163" s="1047"/>
      <c r="H163" s="1047"/>
      <c r="I163" s="1047"/>
      <c r="J163" s="1047"/>
      <c r="K163" s="1048"/>
    </row>
    <row r="164" spans="1:11" ht="13.8" thickBot="1" x14ac:dyDescent="0.3">
      <c r="B164" s="1038" t="s">
        <v>1109</v>
      </c>
      <c r="C164" s="1039"/>
      <c r="D164" s="1039"/>
      <c r="E164" s="1039"/>
      <c r="F164" s="1039"/>
      <c r="G164" s="1039"/>
      <c r="H164" s="1039"/>
      <c r="I164" s="1039"/>
      <c r="J164" s="1039"/>
      <c r="K164" s="1040"/>
    </row>
    <row r="165" spans="1:11" x14ac:dyDescent="0.25">
      <c r="B165" s="449" t="s">
        <v>1110</v>
      </c>
      <c r="C165" s="992" t="s">
        <v>1111</v>
      </c>
      <c r="D165" s="992"/>
      <c r="E165" s="992"/>
      <c r="F165" s="992"/>
      <c r="G165" s="992"/>
      <c r="H165" s="992"/>
      <c r="I165" s="992"/>
      <c r="J165" s="992"/>
      <c r="K165" s="450" t="s">
        <v>35</v>
      </c>
    </row>
    <row r="166" spans="1:11" x14ac:dyDescent="0.25">
      <c r="B166" s="459"/>
      <c r="C166" s="1041" t="s">
        <v>1206</v>
      </c>
      <c r="D166" s="1042"/>
      <c r="E166" s="1042"/>
      <c r="F166" s="1042"/>
      <c r="G166" s="1042"/>
      <c r="H166" s="1042"/>
      <c r="I166" s="1042"/>
      <c r="J166" s="1043"/>
      <c r="K166" s="466"/>
    </row>
    <row r="167" spans="1:11" x14ac:dyDescent="0.25">
      <c r="B167" s="451" t="s">
        <v>1112</v>
      </c>
      <c r="C167" s="991" t="s">
        <v>1118</v>
      </c>
      <c r="D167" s="991"/>
      <c r="E167" s="991"/>
      <c r="F167" s="991"/>
      <c r="G167" s="991"/>
      <c r="H167" s="991"/>
      <c r="I167" s="991"/>
      <c r="J167" s="991"/>
      <c r="K167" s="452" t="s">
        <v>35</v>
      </c>
    </row>
    <row r="168" spans="1:11" x14ac:dyDescent="0.25">
      <c r="B168" s="451" t="s">
        <v>1113</v>
      </c>
      <c r="C168" s="991" t="s">
        <v>1119</v>
      </c>
      <c r="D168" s="991"/>
      <c r="E168" s="991"/>
      <c r="F168" s="991"/>
      <c r="G168" s="991"/>
      <c r="H168" s="991"/>
      <c r="I168" s="991"/>
      <c r="J168" s="991"/>
      <c r="K168" s="452" t="s">
        <v>35</v>
      </c>
    </row>
    <row r="169" spans="1:11" x14ac:dyDescent="0.25">
      <c r="B169" s="451" t="s">
        <v>1114</v>
      </c>
      <c r="C169" s="991" t="s">
        <v>1120</v>
      </c>
      <c r="D169" s="991"/>
      <c r="E169" s="991"/>
      <c r="F169" s="991"/>
      <c r="G169" s="991"/>
      <c r="H169" s="991"/>
      <c r="I169" s="991"/>
      <c r="J169" s="991"/>
      <c r="K169" s="452" t="s">
        <v>35</v>
      </c>
    </row>
    <row r="170" spans="1:11" x14ac:dyDescent="0.25">
      <c r="B170" s="451" t="s">
        <v>1115</v>
      </c>
      <c r="C170" s="991" t="s">
        <v>1121</v>
      </c>
      <c r="D170" s="991"/>
      <c r="E170" s="991"/>
      <c r="F170" s="991"/>
      <c r="G170" s="991"/>
      <c r="H170" s="991"/>
      <c r="I170" s="991"/>
      <c r="J170" s="991"/>
      <c r="K170" s="452" t="s">
        <v>35</v>
      </c>
    </row>
    <row r="171" spans="1:11" x14ac:dyDescent="0.25">
      <c r="B171" s="451" t="s">
        <v>1116</v>
      </c>
      <c r="C171" s="991" t="s">
        <v>1272</v>
      </c>
      <c r="D171" s="991"/>
      <c r="E171" s="991"/>
      <c r="F171" s="991"/>
      <c r="G171" s="991"/>
      <c r="H171" s="991"/>
      <c r="I171" s="991"/>
      <c r="J171" s="991"/>
      <c r="K171" s="452" t="s">
        <v>35</v>
      </c>
    </row>
    <row r="172" spans="1:11" ht="13.8" thickBot="1" x14ac:dyDescent="0.3">
      <c r="B172" s="453" t="s">
        <v>1117</v>
      </c>
      <c r="C172" s="990" t="s">
        <v>1122</v>
      </c>
      <c r="D172" s="990"/>
      <c r="E172" s="990"/>
      <c r="F172" s="990"/>
      <c r="G172" s="990"/>
      <c r="H172" s="990"/>
      <c r="I172" s="990"/>
      <c r="J172" s="990"/>
      <c r="K172" s="454" t="s">
        <v>35</v>
      </c>
    </row>
    <row r="173" spans="1:11" ht="13.8" thickBot="1" x14ac:dyDescent="0.3">
      <c r="B173" s="455"/>
      <c r="C173" s="1021" t="s">
        <v>1123</v>
      </c>
      <c r="D173" s="1022"/>
      <c r="E173" s="1022"/>
      <c r="F173" s="1022"/>
      <c r="G173" s="1022"/>
      <c r="H173" s="1022"/>
      <c r="I173" s="1022"/>
      <c r="J173" s="1023"/>
      <c r="K173" s="456" t="str">
        <f>IF(OR(K165="Yes",K167="Yes",K168="Yes",K169="Yes",K170="Yes",K171="Yes",K172="Yes"),"Yes","No")</f>
        <v>No</v>
      </c>
    </row>
    <row r="174" spans="1:11" ht="13.8" thickBot="1" x14ac:dyDescent="0.3">
      <c r="B174" s="1024" t="s">
        <v>1061</v>
      </c>
      <c r="C174" s="1024"/>
      <c r="D174" s="1024"/>
      <c r="E174" s="1024"/>
      <c r="F174" s="1024"/>
      <c r="G174" s="1024" t="s">
        <v>1062</v>
      </c>
      <c r="H174" s="1024"/>
      <c r="I174" s="1024"/>
      <c r="J174" s="1024"/>
      <c r="K174" s="1024"/>
    </row>
    <row r="175" spans="1:11" ht="27" thickBot="1" x14ac:dyDescent="0.3">
      <c r="B175" s="408" t="s">
        <v>26</v>
      </c>
      <c r="C175" s="394" t="s">
        <v>553</v>
      </c>
      <c r="D175" s="394" t="s">
        <v>19</v>
      </c>
      <c r="E175" s="394" t="s">
        <v>554</v>
      </c>
      <c r="F175" s="409" t="s">
        <v>1262</v>
      </c>
      <c r="G175" s="393" t="s">
        <v>1063</v>
      </c>
      <c r="H175" s="394" t="s">
        <v>1064</v>
      </c>
      <c r="I175" s="395" t="s">
        <v>1065</v>
      </c>
      <c r="J175" s="395" t="s">
        <v>1066</v>
      </c>
      <c r="K175" s="396" t="s">
        <v>1067</v>
      </c>
    </row>
    <row r="176" spans="1:11" ht="15" thickBot="1" x14ac:dyDescent="0.3">
      <c r="B176" s="476" t="s">
        <v>621</v>
      </c>
      <c r="C176" s="477" t="s">
        <v>619</v>
      </c>
      <c r="D176" s="477" t="s">
        <v>621</v>
      </c>
      <c r="E176" s="477" t="s">
        <v>619</v>
      </c>
      <c r="F176" s="478" t="s">
        <v>619</v>
      </c>
      <c r="G176" s="479" t="s">
        <v>619</v>
      </c>
      <c r="H176" s="477" t="s">
        <v>619</v>
      </c>
      <c r="I176" s="477" t="s">
        <v>621</v>
      </c>
      <c r="J176" s="477" t="s">
        <v>619</v>
      </c>
      <c r="K176" s="478" t="s">
        <v>621</v>
      </c>
    </row>
    <row r="177" spans="2:11" ht="13.8" thickBot="1" x14ac:dyDescent="0.3">
      <c r="B177" s="1025" t="s">
        <v>1068</v>
      </c>
      <c r="C177" s="1026"/>
      <c r="D177" s="1026"/>
      <c r="E177" s="1026"/>
      <c r="F177" s="1026"/>
      <c r="G177" s="1026"/>
      <c r="H177" s="1026"/>
      <c r="I177" s="1026"/>
      <c r="J177" s="1026"/>
      <c r="K177" s="1027"/>
    </row>
    <row r="178" spans="2:11" ht="27" thickBot="1" x14ac:dyDescent="0.3">
      <c r="B178" s="457" t="s">
        <v>1124</v>
      </c>
      <c r="C178" s="1028" t="s">
        <v>31</v>
      </c>
      <c r="D178" s="1028"/>
      <c r="E178" s="1028"/>
      <c r="F178" s="1028"/>
      <c r="G178" s="1028"/>
      <c r="H178" s="1028"/>
      <c r="I178" s="458" t="s">
        <v>1125</v>
      </c>
      <c r="J178" s="1029" t="s">
        <v>1074</v>
      </c>
      <c r="K178" s="1030"/>
    </row>
    <row r="179" spans="2:11" ht="13.8" thickBot="1" x14ac:dyDescent="0.3">
      <c r="B179" s="578" t="s">
        <v>1432</v>
      </c>
      <c r="C179" s="1031" t="s">
        <v>1433</v>
      </c>
      <c r="D179" s="1031"/>
      <c r="E179" s="1031"/>
      <c r="F179" s="1031"/>
      <c r="G179" s="1031"/>
      <c r="H179" s="1031"/>
      <c r="I179" s="579" t="s">
        <v>37</v>
      </c>
      <c r="J179" s="1032" t="s">
        <v>1811</v>
      </c>
      <c r="K179" s="1033"/>
    </row>
    <row r="180" spans="2:11" ht="27" thickBot="1" x14ac:dyDescent="0.3">
      <c r="B180" s="462" t="s">
        <v>1072</v>
      </c>
      <c r="C180" s="1034" t="s">
        <v>1200</v>
      </c>
      <c r="D180" s="1035"/>
      <c r="E180" s="462" t="s">
        <v>1070</v>
      </c>
      <c r="F180" s="463" t="s">
        <v>1134</v>
      </c>
      <c r="G180" s="1036" t="s">
        <v>1131</v>
      </c>
      <c r="H180" s="1037"/>
      <c r="I180" s="462" t="s">
        <v>1130</v>
      </c>
      <c r="J180" s="1034" t="s">
        <v>1133</v>
      </c>
      <c r="K180" s="1035"/>
    </row>
    <row r="181" spans="2:11" ht="13.8" thickBot="1" x14ac:dyDescent="0.3">
      <c r="B181" s="1011" t="s">
        <v>1076</v>
      </c>
      <c r="C181" s="1012"/>
      <c r="D181" s="1012"/>
      <c r="E181" s="1012"/>
      <c r="F181" s="1012"/>
      <c r="G181" s="1012"/>
      <c r="H181" s="1012"/>
      <c r="I181" s="1012"/>
      <c r="J181" s="1012"/>
      <c r="K181" s="1013"/>
    </row>
    <row r="182" spans="2:11" ht="13.8" thickBot="1" x14ac:dyDescent="0.3">
      <c r="B182" s="577" t="s">
        <v>1432</v>
      </c>
      <c r="C182" s="1014" t="s">
        <v>1434</v>
      </c>
      <c r="D182" s="1015"/>
      <c r="E182" s="1015"/>
      <c r="F182" s="1015"/>
      <c r="G182" s="1015"/>
      <c r="H182" s="1015"/>
      <c r="I182" s="1015"/>
      <c r="J182" s="1015"/>
      <c r="K182" s="1016"/>
    </row>
    <row r="183" spans="2:11" ht="13.8" thickBot="1" x14ac:dyDescent="0.3">
      <c r="B183" s="1017" t="s">
        <v>1077</v>
      </c>
      <c r="C183" s="1018"/>
      <c r="D183" s="1018"/>
      <c r="E183" s="1018"/>
      <c r="F183" s="1018"/>
      <c r="G183" s="1018"/>
      <c r="H183" s="1018"/>
      <c r="I183" s="1018"/>
      <c r="J183" s="1018"/>
      <c r="K183" s="1019"/>
    </row>
    <row r="184" spans="2:11" ht="25.2" customHeight="1" thickBot="1" x14ac:dyDescent="0.3">
      <c r="B184" s="449" t="s">
        <v>1435</v>
      </c>
      <c r="C184" s="992" t="s">
        <v>1436</v>
      </c>
      <c r="D184" s="992"/>
      <c r="E184" s="992"/>
      <c r="F184" s="992"/>
      <c r="G184" s="992"/>
      <c r="H184" s="992"/>
      <c r="I184" s="992"/>
      <c r="J184" s="992"/>
      <c r="K184" s="1020"/>
    </row>
    <row r="185" spans="2:11" ht="13.8" thickBot="1" x14ac:dyDescent="0.3">
      <c r="B185" s="824" t="s">
        <v>1139</v>
      </c>
      <c r="C185" s="825"/>
      <c r="D185" s="825"/>
      <c r="E185" s="825"/>
      <c r="F185" s="825"/>
      <c r="G185" s="825"/>
      <c r="H185" s="825"/>
      <c r="I185" s="825"/>
      <c r="J185" s="825"/>
      <c r="K185" s="826"/>
    </row>
    <row r="186" spans="2:11" ht="13.8" thickBot="1" x14ac:dyDescent="0.3">
      <c r="B186" s="360" t="s">
        <v>863</v>
      </c>
      <c r="C186" s="835" t="s">
        <v>1140</v>
      </c>
      <c r="D186" s="835"/>
      <c r="E186" s="835"/>
      <c r="F186" s="835"/>
      <c r="G186" s="835"/>
      <c r="H186" s="835"/>
      <c r="I186" s="835"/>
      <c r="J186" s="835"/>
      <c r="K186" s="836"/>
    </row>
  </sheetData>
  <autoFilter ref="A2:L158" xr:uid="{00000000-0009-0000-0000-00000D000000}"/>
  <mergeCells count="189">
    <mergeCell ref="B145:F145"/>
    <mergeCell ref="G145:K145"/>
    <mergeCell ref="B148:K148"/>
    <mergeCell ref="C149:H149"/>
    <mergeCell ref="J149:K149"/>
    <mergeCell ref="C140:J140"/>
    <mergeCell ref="C141:J141"/>
    <mergeCell ref="C142:J142"/>
    <mergeCell ref="C143:J143"/>
    <mergeCell ref="C144:J144"/>
    <mergeCell ref="C156:K156"/>
    <mergeCell ref="B152:K152"/>
    <mergeCell ref="C153:K153"/>
    <mergeCell ref="B154:K154"/>
    <mergeCell ref="C155:K155"/>
    <mergeCell ref="C150:H150"/>
    <mergeCell ref="J150:K150"/>
    <mergeCell ref="C151:D151"/>
    <mergeCell ref="G151:H151"/>
    <mergeCell ref="J151:K151"/>
    <mergeCell ref="C113:J113"/>
    <mergeCell ref="C114:J114"/>
    <mergeCell ref="C115:J115"/>
    <mergeCell ref="C116:J116"/>
    <mergeCell ref="C136:J136"/>
    <mergeCell ref="C137:J137"/>
    <mergeCell ref="C138:J138"/>
    <mergeCell ref="C139:J139"/>
    <mergeCell ref="B133:K133"/>
    <mergeCell ref="C134:K134"/>
    <mergeCell ref="B125:K125"/>
    <mergeCell ref="C126:K126"/>
    <mergeCell ref="B127:K127"/>
    <mergeCell ref="C128:K128"/>
    <mergeCell ref="B135:K135"/>
    <mergeCell ref="B129:K129"/>
    <mergeCell ref="C130:K130"/>
    <mergeCell ref="C65:K65"/>
    <mergeCell ref="C76:J76"/>
    <mergeCell ref="C97:K97"/>
    <mergeCell ref="B105:K105"/>
    <mergeCell ref="C106:K106"/>
    <mergeCell ref="C96:K96"/>
    <mergeCell ref="C98:K98"/>
    <mergeCell ref="B92:K92"/>
    <mergeCell ref="B95:K95"/>
    <mergeCell ref="C75:J75"/>
    <mergeCell ref="C77:J77"/>
    <mergeCell ref="C78:J78"/>
    <mergeCell ref="B74:K74"/>
    <mergeCell ref="C83:J83"/>
    <mergeCell ref="C73:K73"/>
    <mergeCell ref="B84:F84"/>
    <mergeCell ref="C90:H90"/>
    <mergeCell ref="C66:K66"/>
    <mergeCell ref="B100:K100"/>
    <mergeCell ref="C101:K101"/>
    <mergeCell ref="C99:K99"/>
    <mergeCell ref="J29:K29"/>
    <mergeCell ref="B22:F22"/>
    <mergeCell ref="G22:K22"/>
    <mergeCell ref="C35:K35"/>
    <mergeCell ref="C51:J51"/>
    <mergeCell ref="C52:J52"/>
    <mergeCell ref="B43:K43"/>
    <mergeCell ref="C44:J44"/>
    <mergeCell ref="C46:J46"/>
    <mergeCell ref="C47:J47"/>
    <mergeCell ref="C48:J48"/>
    <mergeCell ref="C49:J49"/>
    <mergeCell ref="C50:J50"/>
    <mergeCell ref="C36:K36"/>
    <mergeCell ref="C45:J45"/>
    <mergeCell ref="B25:K25"/>
    <mergeCell ref="C28:H28"/>
    <mergeCell ref="J28:K28"/>
    <mergeCell ref="C30:D30"/>
    <mergeCell ref="G30:H30"/>
    <mergeCell ref="J30:K30"/>
    <mergeCell ref="B33:K33"/>
    <mergeCell ref="C34:K34"/>
    <mergeCell ref="B37:K37"/>
    <mergeCell ref="B5:D5"/>
    <mergeCell ref="B6:D6"/>
    <mergeCell ref="B7:D7"/>
    <mergeCell ref="B11:K11"/>
    <mergeCell ref="C12:K12"/>
    <mergeCell ref="C32:K32"/>
    <mergeCell ref="B41:K41"/>
    <mergeCell ref="C42:K42"/>
    <mergeCell ref="J60:K60"/>
    <mergeCell ref="B13:K13"/>
    <mergeCell ref="C14:J14"/>
    <mergeCell ref="C15:J15"/>
    <mergeCell ref="C16:J16"/>
    <mergeCell ref="C17:J17"/>
    <mergeCell ref="C18:J18"/>
    <mergeCell ref="C19:J19"/>
    <mergeCell ref="C20:J20"/>
    <mergeCell ref="C21:J21"/>
    <mergeCell ref="C26:H26"/>
    <mergeCell ref="J26:K26"/>
    <mergeCell ref="C27:H27"/>
    <mergeCell ref="J27:K27"/>
    <mergeCell ref="B31:K31"/>
    <mergeCell ref="C29:H29"/>
    <mergeCell ref="C60:D60"/>
    <mergeCell ref="G60:H60"/>
    <mergeCell ref="B61:K61"/>
    <mergeCell ref="B56:K56"/>
    <mergeCell ref="C57:H57"/>
    <mergeCell ref="J57:K57"/>
    <mergeCell ref="C58:H58"/>
    <mergeCell ref="J58:K58"/>
    <mergeCell ref="C62:K62"/>
    <mergeCell ref="C38:K38"/>
    <mergeCell ref="C93:K93"/>
    <mergeCell ref="C94:K94"/>
    <mergeCell ref="B63:K63"/>
    <mergeCell ref="C64:K64"/>
    <mergeCell ref="C68:K68"/>
    <mergeCell ref="B72:K72"/>
    <mergeCell ref="B53:F53"/>
    <mergeCell ref="G53:K53"/>
    <mergeCell ref="G84:K84"/>
    <mergeCell ref="B87:K87"/>
    <mergeCell ref="C79:J79"/>
    <mergeCell ref="C80:J80"/>
    <mergeCell ref="C81:J81"/>
    <mergeCell ref="C82:J82"/>
    <mergeCell ref="C91:D91"/>
    <mergeCell ref="G91:H91"/>
    <mergeCell ref="J91:K91"/>
    <mergeCell ref="C88:H88"/>
    <mergeCell ref="J88:K88"/>
    <mergeCell ref="C89:H89"/>
    <mergeCell ref="C59:H59"/>
    <mergeCell ref="J59:K59"/>
    <mergeCell ref="B67:K67"/>
    <mergeCell ref="B157:K157"/>
    <mergeCell ref="C158:K158"/>
    <mergeCell ref="B162:K162"/>
    <mergeCell ref="C163:K163"/>
    <mergeCell ref="J89:K89"/>
    <mergeCell ref="J90:K90"/>
    <mergeCell ref="B107:K107"/>
    <mergeCell ref="C108:J108"/>
    <mergeCell ref="C109:J109"/>
    <mergeCell ref="C110:J110"/>
    <mergeCell ref="C111:J111"/>
    <mergeCell ref="C122:H122"/>
    <mergeCell ref="J122:K122"/>
    <mergeCell ref="C123:H123"/>
    <mergeCell ref="J123:K123"/>
    <mergeCell ref="C124:D124"/>
    <mergeCell ref="G124:H124"/>
    <mergeCell ref="J124:K124"/>
    <mergeCell ref="B117:F117"/>
    <mergeCell ref="G117:K117"/>
    <mergeCell ref="B120:K120"/>
    <mergeCell ref="C121:H121"/>
    <mergeCell ref="J121:K121"/>
    <mergeCell ref="C112:J112"/>
    <mergeCell ref="B164:K164"/>
    <mergeCell ref="C165:J165"/>
    <mergeCell ref="C166:J166"/>
    <mergeCell ref="C167:J167"/>
    <mergeCell ref="C168:J168"/>
    <mergeCell ref="C169:J169"/>
    <mergeCell ref="C170:J170"/>
    <mergeCell ref="C171:J171"/>
    <mergeCell ref="C172:J172"/>
    <mergeCell ref="B181:K181"/>
    <mergeCell ref="C182:K182"/>
    <mergeCell ref="B183:K183"/>
    <mergeCell ref="C184:K184"/>
    <mergeCell ref="B185:K185"/>
    <mergeCell ref="C186:K186"/>
    <mergeCell ref="C173:J173"/>
    <mergeCell ref="B174:F174"/>
    <mergeCell ref="G174:K174"/>
    <mergeCell ref="B177:K177"/>
    <mergeCell ref="C178:H178"/>
    <mergeCell ref="J178:K178"/>
    <mergeCell ref="C179:H179"/>
    <mergeCell ref="J179:K179"/>
    <mergeCell ref="C180:D180"/>
    <mergeCell ref="G180:H180"/>
    <mergeCell ref="J180:K180"/>
  </mergeCells>
  <dataValidations count="1">
    <dataValidation type="list" allowBlank="1" showInputMessage="1" showErrorMessage="1" sqref="J30:K30 J60:K60 J91:K91 J124:K124 J151:K151 F30 F60 F91 F124 F151 J180:K180 F180" xr:uid="{00000000-0002-0000-0D00-000001000000}">
      <formula1>#REF!</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C49F8-15E1-47D0-86FE-6E2059E21070}">
  <dimension ref="A2:K64"/>
  <sheetViews>
    <sheetView topLeftCell="A2" workbookViewId="0"/>
  </sheetViews>
  <sheetFormatPr defaultRowHeight="14.4" x14ac:dyDescent="0.3"/>
  <cols>
    <col min="1" max="1" width="4.6640625" customWidth="1"/>
    <col min="2" max="8" width="15.6640625"/>
    <col min="9" max="9" width="16.88671875" customWidth="1"/>
    <col min="10" max="11" width="15.6640625"/>
  </cols>
  <sheetData>
    <row r="2" spans="1:11" x14ac:dyDescent="0.3">
      <c r="B2" s="442" t="s">
        <v>1270</v>
      </c>
      <c r="C2" s="441"/>
      <c r="D2" s="441"/>
      <c r="E2" s="441"/>
      <c r="F2" s="441"/>
    </row>
    <row r="3" spans="1:11" x14ac:dyDescent="0.3">
      <c r="B3" s="442" t="s">
        <v>1796</v>
      </c>
      <c r="C3" s="441"/>
      <c r="D3" s="441"/>
      <c r="E3" s="441"/>
      <c r="F3" s="441"/>
    </row>
    <row r="4" spans="1:11" ht="15" thickBot="1" x14ac:dyDescent="0.35">
      <c r="B4" s="441"/>
      <c r="C4" s="441"/>
      <c r="D4" s="441"/>
      <c r="E4" s="441"/>
      <c r="F4" s="441"/>
    </row>
    <row r="5" spans="1:11" ht="15" thickBot="1" x14ac:dyDescent="0.35">
      <c r="B5" s="1065" t="s">
        <v>23</v>
      </c>
      <c r="C5" s="1066"/>
      <c r="D5" s="1067"/>
      <c r="E5" s="443"/>
      <c r="F5" s="444" t="s">
        <v>647</v>
      </c>
    </row>
    <row r="6" spans="1:11" ht="15" thickBot="1" x14ac:dyDescent="0.35">
      <c r="B6" s="1068" t="s">
        <v>860</v>
      </c>
      <c r="C6" s="1069"/>
      <c r="D6" s="1069"/>
      <c r="E6" s="446"/>
      <c r="F6" s="444" t="s">
        <v>615</v>
      </c>
    </row>
    <row r="7" spans="1:11" ht="15" thickBot="1" x14ac:dyDescent="0.35">
      <c r="B7" s="1070" t="s">
        <v>1075</v>
      </c>
      <c r="C7" s="1071"/>
      <c r="D7" s="1072"/>
      <c r="E7" s="446"/>
      <c r="F7" s="357">
        <v>5175000</v>
      </c>
    </row>
    <row r="9" spans="1:11" x14ac:dyDescent="0.3">
      <c r="A9" s="440"/>
      <c r="B9" s="447" t="s">
        <v>508</v>
      </c>
    </row>
    <row r="10" spans="1:11" ht="15" thickBot="1" x14ac:dyDescent="0.35">
      <c r="A10" s="440" t="s">
        <v>1097</v>
      </c>
      <c r="B10" s="440" t="s">
        <v>1734</v>
      </c>
    </row>
    <row r="11" spans="1:11" ht="15" thickBot="1" x14ac:dyDescent="0.35">
      <c r="B11" s="1044" t="s">
        <v>1060</v>
      </c>
      <c r="C11" s="1045"/>
      <c r="D11" s="1045"/>
      <c r="E11" s="1045"/>
      <c r="F11" s="1045"/>
      <c r="G11" s="1045"/>
      <c r="H11" s="1045"/>
      <c r="I11" s="1045"/>
      <c r="J11" s="1045"/>
      <c r="K11" s="1046"/>
    </row>
    <row r="12" spans="1:11" ht="15" thickBot="1" x14ac:dyDescent="0.35">
      <c r="B12" s="448" t="s">
        <v>1733</v>
      </c>
      <c r="C12" s="1047" t="s">
        <v>1755</v>
      </c>
      <c r="D12" s="1047"/>
      <c r="E12" s="1047"/>
      <c r="F12" s="1047"/>
      <c r="G12" s="1047"/>
      <c r="H12" s="1047"/>
      <c r="I12" s="1047"/>
      <c r="J12" s="1047"/>
      <c r="K12" s="1048"/>
    </row>
    <row r="13" spans="1:11" ht="15" thickBot="1" x14ac:dyDescent="0.35">
      <c r="B13" s="1038" t="s">
        <v>1109</v>
      </c>
      <c r="C13" s="1039"/>
      <c r="D13" s="1039"/>
      <c r="E13" s="1039"/>
      <c r="F13" s="1039"/>
      <c r="G13" s="1039"/>
      <c r="H13" s="1039"/>
      <c r="I13" s="1039"/>
      <c r="J13" s="1039"/>
      <c r="K13" s="1040"/>
    </row>
    <row r="14" spans="1:11" x14ac:dyDescent="0.3">
      <c r="B14" s="449" t="s">
        <v>1110</v>
      </c>
      <c r="C14" s="992" t="s">
        <v>1111</v>
      </c>
      <c r="D14" s="992"/>
      <c r="E14" s="992"/>
      <c r="F14" s="992"/>
      <c r="G14" s="992"/>
      <c r="H14" s="992"/>
      <c r="I14" s="992"/>
      <c r="J14" s="992"/>
      <c r="K14" s="450" t="s">
        <v>35</v>
      </c>
    </row>
    <row r="15" spans="1:11" x14ac:dyDescent="0.3">
      <c r="B15" s="451" t="s">
        <v>1112</v>
      </c>
      <c r="C15" s="991" t="s">
        <v>1118</v>
      </c>
      <c r="D15" s="991"/>
      <c r="E15" s="991"/>
      <c r="F15" s="991"/>
      <c r="G15" s="991"/>
      <c r="H15" s="991"/>
      <c r="I15" s="991"/>
      <c r="J15" s="991"/>
      <c r="K15" s="452" t="s">
        <v>35</v>
      </c>
    </row>
    <row r="16" spans="1:11" x14ac:dyDescent="0.3">
      <c r="B16" s="451" t="s">
        <v>1113</v>
      </c>
      <c r="C16" s="991" t="s">
        <v>1119</v>
      </c>
      <c r="D16" s="991"/>
      <c r="E16" s="991"/>
      <c r="F16" s="991"/>
      <c r="G16" s="991"/>
      <c r="H16" s="991"/>
      <c r="I16" s="991"/>
      <c r="J16" s="991"/>
      <c r="K16" s="452" t="s">
        <v>35</v>
      </c>
    </row>
    <row r="17" spans="2:11" x14ac:dyDescent="0.3">
      <c r="B17" s="451" t="s">
        <v>1114</v>
      </c>
      <c r="C17" s="991" t="s">
        <v>1120</v>
      </c>
      <c r="D17" s="991"/>
      <c r="E17" s="991"/>
      <c r="F17" s="991"/>
      <c r="G17" s="991"/>
      <c r="H17" s="991"/>
      <c r="I17" s="991"/>
      <c r="J17" s="991"/>
      <c r="K17" s="452" t="s">
        <v>35</v>
      </c>
    </row>
    <row r="18" spans="2:11" x14ac:dyDescent="0.3">
      <c r="B18" s="451" t="s">
        <v>1115</v>
      </c>
      <c r="C18" s="991" t="s">
        <v>1121</v>
      </c>
      <c r="D18" s="991"/>
      <c r="E18" s="991"/>
      <c r="F18" s="991"/>
      <c r="G18" s="991"/>
      <c r="H18" s="991"/>
      <c r="I18" s="991"/>
      <c r="J18" s="991"/>
      <c r="K18" s="452" t="s">
        <v>35</v>
      </c>
    </row>
    <row r="19" spans="2:11" x14ac:dyDescent="0.3">
      <c r="B19" s="451" t="s">
        <v>1116</v>
      </c>
      <c r="C19" s="991" t="s">
        <v>1272</v>
      </c>
      <c r="D19" s="991"/>
      <c r="E19" s="991"/>
      <c r="F19" s="991"/>
      <c r="G19" s="991"/>
      <c r="H19" s="991"/>
      <c r="I19" s="991"/>
      <c r="J19" s="991"/>
      <c r="K19" s="452" t="s">
        <v>35</v>
      </c>
    </row>
    <row r="20" spans="2:11" ht="15" thickBot="1" x14ac:dyDescent="0.35">
      <c r="B20" s="453" t="s">
        <v>1117</v>
      </c>
      <c r="C20" s="990" t="s">
        <v>1122</v>
      </c>
      <c r="D20" s="990"/>
      <c r="E20" s="990"/>
      <c r="F20" s="990"/>
      <c r="G20" s="990"/>
      <c r="H20" s="990"/>
      <c r="I20" s="990"/>
      <c r="J20" s="990"/>
      <c r="K20" s="454" t="s">
        <v>35</v>
      </c>
    </row>
    <row r="21" spans="2:11" ht="15" thickBot="1" x14ac:dyDescent="0.35">
      <c r="B21" s="455"/>
      <c r="C21" s="1021" t="s">
        <v>1123</v>
      </c>
      <c r="D21" s="1022"/>
      <c r="E21" s="1022"/>
      <c r="F21" s="1022"/>
      <c r="G21" s="1022"/>
      <c r="H21" s="1022"/>
      <c r="I21" s="1022"/>
      <c r="J21" s="1023"/>
      <c r="K21" s="456" t="str">
        <f>IF(OR(K14="Yes",K15="Yes",K16="Yes",K17="Yes",K18="Yes",K19="Yes",K20="Yes"),"Yes","No")</f>
        <v>No</v>
      </c>
    </row>
    <row r="22" spans="2:11" ht="15" thickBot="1" x14ac:dyDescent="0.35">
      <c r="B22" s="1024" t="s">
        <v>1061</v>
      </c>
      <c r="C22" s="1024"/>
      <c r="D22" s="1024"/>
      <c r="E22" s="1024"/>
      <c r="F22" s="1024"/>
      <c r="G22" s="1024" t="s">
        <v>1062</v>
      </c>
      <c r="H22" s="1024"/>
      <c r="I22" s="1024"/>
      <c r="J22" s="1024"/>
      <c r="K22" s="1024"/>
    </row>
    <row r="23" spans="2:11" ht="27" thickBot="1" x14ac:dyDescent="0.35">
      <c r="B23" s="408" t="s">
        <v>26</v>
      </c>
      <c r="C23" s="394" t="s">
        <v>553</v>
      </c>
      <c r="D23" s="394" t="s">
        <v>19</v>
      </c>
      <c r="E23" s="394" t="s">
        <v>25</v>
      </c>
      <c r="F23" s="409" t="s">
        <v>554</v>
      </c>
      <c r="G23" s="393" t="s">
        <v>1063</v>
      </c>
      <c r="H23" s="394" t="s">
        <v>1064</v>
      </c>
      <c r="I23" s="395" t="s">
        <v>1065</v>
      </c>
      <c r="J23" s="395" t="s">
        <v>1066</v>
      </c>
      <c r="K23" s="396" t="s">
        <v>1067</v>
      </c>
    </row>
    <row r="24" spans="2:11" ht="15.6" thickBot="1" x14ac:dyDescent="0.35">
      <c r="B24" s="476" t="s">
        <v>619</v>
      </c>
      <c r="C24" s="477" t="s">
        <v>619</v>
      </c>
      <c r="D24" s="477" t="s">
        <v>619</v>
      </c>
      <c r="E24" s="477" t="s">
        <v>619</v>
      </c>
      <c r="F24" s="478" t="s">
        <v>619</v>
      </c>
      <c r="G24" s="479" t="s">
        <v>619</v>
      </c>
      <c r="H24" s="477" t="s">
        <v>621</v>
      </c>
      <c r="I24" s="477" t="s">
        <v>621</v>
      </c>
      <c r="J24" s="477" t="s">
        <v>621</v>
      </c>
      <c r="K24" s="478" t="s">
        <v>621</v>
      </c>
    </row>
    <row r="25" spans="2:11" ht="15" thickBot="1" x14ac:dyDescent="0.35">
      <c r="B25" s="1025" t="s">
        <v>1068</v>
      </c>
      <c r="C25" s="1026"/>
      <c r="D25" s="1026"/>
      <c r="E25" s="1026"/>
      <c r="F25" s="1026"/>
      <c r="G25" s="1026"/>
      <c r="H25" s="1026"/>
      <c r="I25" s="1026"/>
      <c r="J25" s="1026"/>
      <c r="K25" s="1027"/>
    </row>
    <row r="26" spans="2:11" ht="27" thickBot="1" x14ac:dyDescent="0.35">
      <c r="B26" s="467" t="s">
        <v>1124</v>
      </c>
      <c r="C26" s="1059" t="s">
        <v>31</v>
      </c>
      <c r="D26" s="1059"/>
      <c r="E26" s="1059"/>
      <c r="F26" s="1059"/>
      <c r="G26" s="1059"/>
      <c r="H26" s="1059"/>
      <c r="I26" s="468" t="s">
        <v>1125</v>
      </c>
      <c r="J26" s="1060" t="s">
        <v>1074</v>
      </c>
      <c r="K26" s="1061"/>
    </row>
    <row r="27" spans="2:11" ht="27.6" customHeight="1" x14ac:dyDescent="0.3">
      <c r="B27" s="449" t="s">
        <v>1735</v>
      </c>
      <c r="C27" s="992" t="s">
        <v>1737</v>
      </c>
      <c r="D27" s="992"/>
      <c r="E27" s="992"/>
      <c r="F27" s="992"/>
      <c r="G27" s="992"/>
      <c r="H27" s="992"/>
      <c r="I27" s="472" t="s">
        <v>35</v>
      </c>
      <c r="J27" s="1051" t="s">
        <v>863</v>
      </c>
      <c r="K27" s="1052"/>
    </row>
    <row r="28" spans="2:11" ht="27" thickBot="1" x14ac:dyDescent="0.35">
      <c r="B28" s="469" t="s">
        <v>1072</v>
      </c>
      <c r="C28" s="1055" t="s">
        <v>1260</v>
      </c>
      <c r="D28" s="1056"/>
      <c r="E28" s="469" t="s">
        <v>1070</v>
      </c>
      <c r="F28" s="470" t="s">
        <v>1134</v>
      </c>
      <c r="G28" s="1057" t="s">
        <v>1131</v>
      </c>
      <c r="H28" s="1058"/>
      <c r="I28" s="469" t="s">
        <v>1130</v>
      </c>
      <c r="J28" s="1055" t="s">
        <v>1133</v>
      </c>
      <c r="K28" s="1056"/>
    </row>
    <row r="29" spans="2:11" ht="15" thickBot="1" x14ac:dyDescent="0.35">
      <c r="B29" s="1011" t="s">
        <v>1076</v>
      </c>
      <c r="C29" s="1012"/>
      <c r="D29" s="1012"/>
      <c r="E29" s="1012"/>
      <c r="F29" s="1012"/>
      <c r="G29" s="1012"/>
      <c r="H29" s="1012"/>
      <c r="I29" s="1012"/>
      <c r="J29" s="1012"/>
      <c r="K29" s="1013"/>
    </row>
    <row r="30" spans="2:11" ht="15" thickBot="1" x14ac:dyDescent="0.35">
      <c r="B30" s="512" t="s">
        <v>863</v>
      </c>
      <c r="C30" s="830" t="s">
        <v>863</v>
      </c>
      <c r="D30" s="816"/>
      <c r="E30" s="816"/>
      <c r="F30" s="816"/>
      <c r="G30" s="816"/>
      <c r="H30" s="816"/>
      <c r="I30" s="816"/>
      <c r="J30" s="816"/>
      <c r="K30" s="817"/>
    </row>
    <row r="31" spans="2:11" ht="15" thickBot="1" x14ac:dyDescent="0.35">
      <c r="B31" s="1017" t="s">
        <v>1077</v>
      </c>
      <c r="C31" s="1018"/>
      <c r="D31" s="1018"/>
      <c r="E31" s="1018"/>
      <c r="F31" s="1018"/>
      <c r="G31" s="1018"/>
      <c r="H31" s="1018"/>
      <c r="I31" s="1018"/>
      <c r="J31" s="1018"/>
      <c r="K31" s="1019"/>
    </row>
    <row r="32" spans="2:11" ht="30" customHeight="1" x14ac:dyDescent="0.3">
      <c r="B32" s="449" t="s">
        <v>1736</v>
      </c>
      <c r="C32" s="992" t="s">
        <v>1740</v>
      </c>
      <c r="D32" s="992"/>
      <c r="E32" s="992"/>
      <c r="F32" s="992"/>
      <c r="G32" s="992"/>
      <c r="H32" s="992"/>
      <c r="I32" s="992"/>
      <c r="J32" s="992"/>
      <c r="K32" s="1020"/>
    </row>
    <row r="33" spans="1:11" ht="43.95" customHeight="1" x14ac:dyDescent="0.3">
      <c r="B33" s="451" t="s">
        <v>1738</v>
      </c>
      <c r="C33" s="991" t="s">
        <v>1739</v>
      </c>
      <c r="D33" s="991"/>
      <c r="E33" s="991"/>
      <c r="F33" s="991"/>
      <c r="G33" s="991"/>
      <c r="H33" s="991"/>
      <c r="I33" s="991"/>
      <c r="J33" s="991"/>
      <c r="K33" s="1075"/>
    </row>
    <row r="34" spans="1:11" ht="28.95" customHeight="1" x14ac:dyDescent="0.3">
      <c r="B34" s="460" t="s">
        <v>1741</v>
      </c>
      <c r="C34" s="1084" t="s">
        <v>1742</v>
      </c>
      <c r="D34" s="1084"/>
      <c r="E34" s="1084"/>
      <c r="F34" s="1084"/>
      <c r="G34" s="1084"/>
      <c r="H34" s="1084"/>
      <c r="I34" s="1084"/>
      <c r="J34" s="1084"/>
      <c r="K34" s="1085"/>
    </row>
    <row r="35" spans="1:11" ht="21" customHeight="1" thickBot="1" x14ac:dyDescent="0.35">
      <c r="B35" s="453" t="s">
        <v>1743</v>
      </c>
      <c r="C35" s="990" t="s">
        <v>1744</v>
      </c>
      <c r="D35" s="990"/>
      <c r="E35" s="990"/>
      <c r="F35" s="990"/>
      <c r="G35" s="990"/>
      <c r="H35" s="990"/>
      <c r="I35" s="990"/>
      <c r="J35" s="990"/>
      <c r="K35" s="1076"/>
    </row>
    <row r="36" spans="1:11" ht="15" thickBot="1" x14ac:dyDescent="0.35">
      <c r="B36" s="1081" t="s">
        <v>1139</v>
      </c>
      <c r="C36" s="1082"/>
      <c r="D36" s="1082"/>
      <c r="E36" s="1082"/>
      <c r="F36" s="1082"/>
      <c r="G36" s="1082"/>
      <c r="H36" s="1082"/>
      <c r="I36" s="1082"/>
      <c r="J36" s="1082"/>
      <c r="K36" s="1083"/>
    </row>
    <row r="37" spans="1:11" ht="15" thickBot="1" x14ac:dyDescent="0.35">
      <c r="B37" s="512" t="s">
        <v>863</v>
      </c>
      <c r="C37" s="835" t="s">
        <v>1140</v>
      </c>
      <c r="D37" s="835"/>
      <c r="E37" s="835"/>
      <c r="F37" s="835"/>
      <c r="G37" s="835"/>
      <c r="H37" s="835"/>
      <c r="I37" s="835"/>
      <c r="J37" s="835"/>
      <c r="K37" s="836"/>
    </row>
    <row r="39" spans="1:11" ht="15" thickBot="1" x14ac:dyDescent="0.35">
      <c r="A39" s="440" t="s">
        <v>1095</v>
      </c>
      <c r="B39" s="440" t="s">
        <v>1752</v>
      </c>
    </row>
    <row r="40" spans="1:11" ht="15" thickBot="1" x14ac:dyDescent="0.35">
      <c r="B40" s="1044" t="s">
        <v>1060</v>
      </c>
      <c r="C40" s="1045"/>
      <c r="D40" s="1045"/>
      <c r="E40" s="1045"/>
      <c r="F40" s="1045"/>
      <c r="G40" s="1045"/>
      <c r="H40" s="1045"/>
      <c r="I40" s="1045"/>
      <c r="J40" s="1045"/>
      <c r="K40" s="1046"/>
    </row>
    <row r="41" spans="1:11" ht="15" thickBot="1" x14ac:dyDescent="0.35">
      <c r="B41" s="448" t="s">
        <v>1753</v>
      </c>
      <c r="C41" s="1047" t="s">
        <v>1758</v>
      </c>
      <c r="D41" s="1047"/>
      <c r="E41" s="1047"/>
      <c r="F41" s="1047"/>
      <c r="G41" s="1047"/>
      <c r="H41" s="1047"/>
      <c r="I41" s="1047"/>
      <c r="J41" s="1047"/>
      <c r="K41" s="1048"/>
    </row>
    <row r="42" spans="1:11" ht="15" thickBot="1" x14ac:dyDescent="0.35">
      <c r="B42" s="1038" t="s">
        <v>1109</v>
      </c>
      <c r="C42" s="1039"/>
      <c r="D42" s="1039"/>
      <c r="E42" s="1039"/>
      <c r="F42" s="1039"/>
      <c r="G42" s="1039"/>
      <c r="H42" s="1039"/>
      <c r="I42" s="1039"/>
      <c r="J42" s="1039"/>
      <c r="K42" s="1040"/>
    </row>
    <row r="43" spans="1:11" x14ac:dyDescent="0.3">
      <c r="B43" s="449" t="s">
        <v>1110</v>
      </c>
      <c r="C43" s="992" t="s">
        <v>1111</v>
      </c>
      <c r="D43" s="992"/>
      <c r="E43" s="992"/>
      <c r="F43" s="992"/>
      <c r="G43" s="992"/>
      <c r="H43" s="992"/>
      <c r="I43" s="992"/>
      <c r="J43" s="992"/>
      <c r="K43" s="450" t="s">
        <v>35</v>
      </c>
    </row>
    <row r="44" spans="1:11" x14ac:dyDescent="0.3">
      <c r="B44" s="451" t="s">
        <v>1112</v>
      </c>
      <c r="C44" s="991" t="s">
        <v>1118</v>
      </c>
      <c r="D44" s="991"/>
      <c r="E44" s="991"/>
      <c r="F44" s="991"/>
      <c r="G44" s="991"/>
      <c r="H44" s="991"/>
      <c r="I44" s="991"/>
      <c r="J44" s="991"/>
      <c r="K44" s="452" t="s">
        <v>35</v>
      </c>
    </row>
    <row r="45" spans="1:11" x14ac:dyDescent="0.3">
      <c r="B45" s="451" t="s">
        <v>1113</v>
      </c>
      <c r="C45" s="991" t="s">
        <v>1119</v>
      </c>
      <c r="D45" s="991"/>
      <c r="E45" s="991"/>
      <c r="F45" s="991"/>
      <c r="G45" s="991"/>
      <c r="H45" s="991"/>
      <c r="I45" s="991"/>
      <c r="J45" s="991"/>
      <c r="K45" s="452" t="s">
        <v>35</v>
      </c>
    </row>
    <row r="46" spans="1:11" x14ac:dyDescent="0.3">
      <c r="B46" s="451" t="s">
        <v>1114</v>
      </c>
      <c r="C46" s="991" t="s">
        <v>1120</v>
      </c>
      <c r="D46" s="991"/>
      <c r="E46" s="991"/>
      <c r="F46" s="991"/>
      <c r="G46" s="991"/>
      <c r="H46" s="991"/>
      <c r="I46" s="991"/>
      <c r="J46" s="991"/>
      <c r="K46" s="452" t="s">
        <v>35</v>
      </c>
    </row>
    <row r="47" spans="1:11" x14ac:dyDescent="0.3">
      <c r="B47" s="451" t="s">
        <v>1115</v>
      </c>
      <c r="C47" s="991" t="s">
        <v>1121</v>
      </c>
      <c r="D47" s="991"/>
      <c r="E47" s="991"/>
      <c r="F47" s="991"/>
      <c r="G47" s="991"/>
      <c r="H47" s="991"/>
      <c r="I47" s="991"/>
      <c r="J47" s="991"/>
      <c r="K47" s="452" t="s">
        <v>35</v>
      </c>
    </row>
    <row r="48" spans="1:11" x14ac:dyDescent="0.3">
      <c r="B48" s="451" t="s">
        <v>1116</v>
      </c>
      <c r="C48" s="991" t="s">
        <v>1272</v>
      </c>
      <c r="D48" s="991"/>
      <c r="E48" s="991"/>
      <c r="F48" s="991"/>
      <c r="G48" s="991"/>
      <c r="H48" s="991"/>
      <c r="I48" s="991"/>
      <c r="J48" s="991"/>
      <c r="K48" s="452" t="s">
        <v>35</v>
      </c>
    </row>
    <row r="49" spans="2:11" ht="15" thickBot="1" x14ac:dyDescent="0.35">
      <c r="B49" s="453" t="s">
        <v>1117</v>
      </c>
      <c r="C49" s="990" t="s">
        <v>1122</v>
      </c>
      <c r="D49" s="990"/>
      <c r="E49" s="990"/>
      <c r="F49" s="990"/>
      <c r="G49" s="990"/>
      <c r="H49" s="990"/>
      <c r="I49" s="990"/>
      <c r="J49" s="990"/>
      <c r="K49" s="454" t="s">
        <v>35</v>
      </c>
    </row>
    <row r="50" spans="2:11" ht="15" thickBot="1" x14ac:dyDescent="0.35">
      <c r="B50" s="455"/>
      <c r="C50" s="1021" t="s">
        <v>1123</v>
      </c>
      <c r="D50" s="1022"/>
      <c r="E50" s="1022"/>
      <c r="F50" s="1022"/>
      <c r="G50" s="1022"/>
      <c r="H50" s="1022"/>
      <c r="I50" s="1022"/>
      <c r="J50" s="1023"/>
      <c r="K50" s="456" t="str">
        <f>IF(OR(K43="Yes",K44="Yes",K45="Yes",K46="Yes",K47="Yes",K48="Yes",K49="Yes"),"Yes","No")</f>
        <v>No</v>
      </c>
    </row>
    <row r="51" spans="2:11" ht="15" thickBot="1" x14ac:dyDescent="0.35">
      <c r="B51" s="1024" t="s">
        <v>1061</v>
      </c>
      <c r="C51" s="1024"/>
      <c r="D51" s="1024"/>
      <c r="E51" s="1024"/>
      <c r="F51" s="1024"/>
      <c r="G51" s="1024" t="s">
        <v>1062</v>
      </c>
      <c r="H51" s="1024"/>
      <c r="I51" s="1024"/>
      <c r="J51" s="1024"/>
      <c r="K51" s="1024"/>
    </row>
    <row r="52" spans="2:11" ht="27" thickBot="1" x14ac:dyDescent="0.35">
      <c r="B52" s="408" t="s">
        <v>26</v>
      </c>
      <c r="C52" s="394" t="s">
        <v>553</v>
      </c>
      <c r="D52" s="394" t="s">
        <v>19</v>
      </c>
      <c r="E52" s="394" t="s">
        <v>25</v>
      </c>
      <c r="F52" s="409" t="s">
        <v>554</v>
      </c>
      <c r="G52" s="393" t="s">
        <v>1063</v>
      </c>
      <c r="H52" s="394" t="s">
        <v>1064</v>
      </c>
      <c r="I52" s="395" t="s">
        <v>1065</v>
      </c>
      <c r="J52" s="395" t="s">
        <v>1066</v>
      </c>
      <c r="K52" s="396" t="s">
        <v>1067</v>
      </c>
    </row>
    <row r="53" spans="2:11" ht="15.6" thickBot="1" x14ac:dyDescent="0.35">
      <c r="B53" s="476" t="s">
        <v>619</v>
      </c>
      <c r="C53" s="477" t="s">
        <v>619</v>
      </c>
      <c r="D53" s="477" t="s">
        <v>621</v>
      </c>
      <c r="E53" s="477" t="s">
        <v>621</v>
      </c>
      <c r="F53" s="478" t="s">
        <v>621</v>
      </c>
      <c r="G53" s="479" t="s">
        <v>619</v>
      </c>
      <c r="H53" s="477" t="s">
        <v>621</v>
      </c>
      <c r="I53" s="477" t="s">
        <v>621</v>
      </c>
      <c r="J53" s="477" t="s">
        <v>621</v>
      </c>
      <c r="K53" s="478" t="s">
        <v>621</v>
      </c>
    </row>
    <row r="54" spans="2:11" ht="15" thickBot="1" x14ac:dyDescent="0.35">
      <c r="B54" s="1025" t="s">
        <v>1068</v>
      </c>
      <c r="C54" s="1026"/>
      <c r="D54" s="1026"/>
      <c r="E54" s="1026"/>
      <c r="F54" s="1026"/>
      <c r="G54" s="1026"/>
      <c r="H54" s="1026"/>
      <c r="I54" s="1026"/>
      <c r="J54" s="1026"/>
      <c r="K54" s="1027"/>
    </row>
    <row r="55" spans="2:11" ht="27" thickBot="1" x14ac:dyDescent="0.35">
      <c r="B55" s="467" t="s">
        <v>1124</v>
      </c>
      <c r="C55" s="1059" t="s">
        <v>31</v>
      </c>
      <c r="D55" s="1059"/>
      <c r="E55" s="1059"/>
      <c r="F55" s="1059"/>
      <c r="G55" s="1059"/>
      <c r="H55" s="1059"/>
      <c r="I55" s="468" t="s">
        <v>1125</v>
      </c>
      <c r="J55" s="1060" t="s">
        <v>1074</v>
      </c>
      <c r="K55" s="1061"/>
    </row>
    <row r="56" spans="2:11" ht="40.950000000000003" customHeight="1" x14ac:dyDescent="0.3">
      <c r="B56" s="449" t="s">
        <v>1756</v>
      </c>
      <c r="C56" s="992" t="s">
        <v>1757</v>
      </c>
      <c r="D56" s="992"/>
      <c r="E56" s="992"/>
      <c r="F56" s="992"/>
      <c r="G56" s="992"/>
      <c r="H56" s="992"/>
      <c r="I56" s="472" t="s">
        <v>35</v>
      </c>
      <c r="J56" s="1051" t="s">
        <v>863</v>
      </c>
      <c r="K56" s="1052"/>
    </row>
    <row r="57" spans="2:11" ht="27" thickBot="1" x14ac:dyDescent="0.35">
      <c r="B57" s="469" t="s">
        <v>1072</v>
      </c>
      <c r="C57" s="1055" t="s">
        <v>1260</v>
      </c>
      <c r="D57" s="1056"/>
      <c r="E57" s="469" t="s">
        <v>1070</v>
      </c>
      <c r="F57" s="470" t="s">
        <v>1134</v>
      </c>
      <c r="G57" s="1057" t="s">
        <v>1131</v>
      </c>
      <c r="H57" s="1058"/>
      <c r="I57" s="469" t="s">
        <v>1130</v>
      </c>
      <c r="J57" s="1055" t="s">
        <v>1133</v>
      </c>
      <c r="K57" s="1056"/>
    </row>
    <row r="58" spans="2:11" ht="15" thickBot="1" x14ac:dyDescent="0.35">
      <c r="B58" s="1011" t="s">
        <v>1076</v>
      </c>
      <c r="C58" s="1012"/>
      <c r="D58" s="1012"/>
      <c r="E58" s="1012"/>
      <c r="F58" s="1012"/>
      <c r="G58" s="1012"/>
      <c r="H58" s="1012"/>
      <c r="I58" s="1012"/>
      <c r="J58" s="1012"/>
      <c r="K58" s="1013"/>
    </row>
    <row r="59" spans="2:11" ht="15" thickBot="1" x14ac:dyDescent="0.35">
      <c r="B59" s="512" t="s">
        <v>863</v>
      </c>
      <c r="C59" s="830" t="s">
        <v>863</v>
      </c>
      <c r="D59" s="816"/>
      <c r="E59" s="816"/>
      <c r="F59" s="816"/>
      <c r="G59" s="816"/>
      <c r="H59" s="816"/>
      <c r="I59" s="816"/>
      <c r="J59" s="816"/>
      <c r="K59" s="817"/>
    </row>
    <row r="60" spans="2:11" ht="15" thickBot="1" x14ac:dyDescent="0.35">
      <c r="B60" s="1017" t="s">
        <v>1077</v>
      </c>
      <c r="C60" s="1018"/>
      <c r="D60" s="1018"/>
      <c r="E60" s="1018"/>
      <c r="F60" s="1018"/>
      <c r="G60" s="1018"/>
      <c r="H60" s="1018"/>
      <c r="I60" s="1018"/>
      <c r="J60" s="1018"/>
      <c r="K60" s="1019"/>
    </row>
    <row r="61" spans="2:11" ht="31.2" customHeight="1" x14ac:dyDescent="0.3">
      <c r="B61" s="574" t="s">
        <v>1754</v>
      </c>
      <c r="C61" s="1094" t="s">
        <v>1759</v>
      </c>
      <c r="D61" s="1094"/>
      <c r="E61" s="1094"/>
      <c r="F61" s="1094"/>
      <c r="G61" s="1094"/>
      <c r="H61" s="1094"/>
      <c r="I61" s="1094"/>
      <c r="J61" s="1094"/>
      <c r="K61" s="1095"/>
    </row>
    <row r="62" spans="2:11" ht="18" customHeight="1" x14ac:dyDescent="0.3">
      <c r="B62" s="451" t="s">
        <v>1760</v>
      </c>
      <c r="C62" s="991" t="s">
        <v>1761</v>
      </c>
      <c r="D62" s="991"/>
      <c r="E62" s="991"/>
      <c r="F62" s="991"/>
      <c r="G62" s="991"/>
      <c r="H62" s="991"/>
      <c r="I62" s="991"/>
      <c r="J62" s="991"/>
      <c r="K62" s="1075"/>
    </row>
    <row r="63" spans="2:11" ht="15" thickBot="1" x14ac:dyDescent="0.35">
      <c r="B63" s="1081" t="s">
        <v>1139</v>
      </c>
      <c r="C63" s="1082"/>
      <c r="D63" s="1082"/>
      <c r="E63" s="1082"/>
      <c r="F63" s="1082"/>
      <c r="G63" s="1082"/>
      <c r="H63" s="1082"/>
      <c r="I63" s="1082"/>
      <c r="J63" s="1082"/>
      <c r="K63" s="1083"/>
    </row>
    <row r="64" spans="2:11" ht="15" thickBot="1" x14ac:dyDescent="0.35">
      <c r="B64" s="512" t="s">
        <v>863</v>
      </c>
      <c r="C64" s="835" t="s">
        <v>1140</v>
      </c>
      <c r="D64" s="835"/>
      <c r="E64" s="835"/>
      <c r="F64" s="835"/>
      <c r="G64" s="835"/>
      <c r="H64" s="835"/>
      <c r="I64" s="835"/>
      <c r="J64" s="835"/>
      <c r="K64" s="836"/>
    </row>
  </sheetData>
  <mergeCells count="61">
    <mergeCell ref="B63:K63"/>
    <mergeCell ref="C64:K64"/>
    <mergeCell ref="C62:K62"/>
    <mergeCell ref="B58:K58"/>
    <mergeCell ref="C59:K59"/>
    <mergeCell ref="B60:K60"/>
    <mergeCell ref="C61:K61"/>
    <mergeCell ref="C57:D57"/>
    <mergeCell ref="G57:H57"/>
    <mergeCell ref="J57:K57"/>
    <mergeCell ref="C46:J46"/>
    <mergeCell ref="C47:J47"/>
    <mergeCell ref="C48:J48"/>
    <mergeCell ref="C49:J49"/>
    <mergeCell ref="C50:J50"/>
    <mergeCell ref="B51:F51"/>
    <mergeCell ref="G51:K51"/>
    <mergeCell ref="B54:K54"/>
    <mergeCell ref="C55:H55"/>
    <mergeCell ref="J55:K55"/>
    <mergeCell ref="C56:H56"/>
    <mergeCell ref="J56:K56"/>
    <mergeCell ref="C45:J45"/>
    <mergeCell ref="C32:K32"/>
    <mergeCell ref="C33:K33"/>
    <mergeCell ref="C34:K34"/>
    <mergeCell ref="B36:K36"/>
    <mergeCell ref="C37:K37"/>
    <mergeCell ref="C35:K35"/>
    <mergeCell ref="B40:K40"/>
    <mergeCell ref="C41:K41"/>
    <mergeCell ref="B42:K42"/>
    <mergeCell ref="C43:J43"/>
    <mergeCell ref="C44:J44"/>
    <mergeCell ref="B31:K31"/>
    <mergeCell ref="C27:H27"/>
    <mergeCell ref="J27:K27"/>
    <mergeCell ref="C20:J20"/>
    <mergeCell ref="C21:J21"/>
    <mergeCell ref="B22:F22"/>
    <mergeCell ref="G22:K22"/>
    <mergeCell ref="B25:K25"/>
    <mergeCell ref="C26:H26"/>
    <mergeCell ref="J26:K26"/>
    <mergeCell ref="C28:D28"/>
    <mergeCell ref="G28:H28"/>
    <mergeCell ref="J28:K28"/>
    <mergeCell ref="B29:K29"/>
    <mergeCell ref="C30:K30"/>
    <mergeCell ref="C19:J19"/>
    <mergeCell ref="B5:D5"/>
    <mergeCell ref="B6:D6"/>
    <mergeCell ref="B7:D7"/>
    <mergeCell ref="B11:K11"/>
    <mergeCell ref="C12:K12"/>
    <mergeCell ref="B13:K13"/>
    <mergeCell ref="C14:J14"/>
    <mergeCell ref="C15:J15"/>
    <mergeCell ref="C16:J16"/>
    <mergeCell ref="C17:J17"/>
    <mergeCell ref="C18:J18"/>
  </mergeCells>
  <dataValidations count="1">
    <dataValidation type="list" allowBlank="1" showInputMessage="1" showErrorMessage="1" sqref="J28:K28 F28 J57:K57 F57" xr:uid="{D851589D-CC91-4E4B-B1E4-5BB91367A09D}">
      <formula1>#REF!</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C7FEA-7C20-4D4C-8C8E-70679A25C144}">
  <dimension ref="A2:T117"/>
  <sheetViews>
    <sheetView workbookViewId="0"/>
  </sheetViews>
  <sheetFormatPr defaultColWidth="9.109375" defaultRowHeight="13.2" x14ac:dyDescent="0.25"/>
  <cols>
    <col min="1" max="1" width="3.109375" style="289" bestFit="1" customWidth="1"/>
    <col min="2" max="8" width="15.6640625" style="289" customWidth="1"/>
    <col min="9" max="9" width="16.88671875" style="289" customWidth="1"/>
    <col min="10" max="11" width="15.6640625" style="289" customWidth="1"/>
    <col min="12" max="16" width="9.109375" style="289"/>
    <col min="17" max="17" width="14.33203125" style="289" bestFit="1" customWidth="1"/>
    <col min="18" max="16384" width="9.109375" style="289"/>
  </cols>
  <sheetData>
    <row r="2" spans="1:11" x14ac:dyDescent="0.25">
      <c r="B2" s="353" t="s">
        <v>1270</v>
      </c>
    </row>
    <row r="3" spans="1:11" x14ac:dyDescent="0.25">
      <c r="B3" s="353" t="s">
        <v>1796</v>
      </c>
    </row>
    <row r="4" spans="1:11" ht="13.8" thickBot="1" x14ac:dyDescent="0.3"/>
    <row r="5" spans="1:11" ht="13.8" thickBot="1" x14ac:dyDescent="0.3">
      <c r="B5" s="837" t="s">
        <v>23</v>
      </c>
      <c r="C5" s="838"/>
      <c r="D5" s="839"/>
      <c r="E5" s="405"/>
      <c r="F5" s="355" t="s">
        <v>1012</v>
      </c>
      <c r="G5" s="290"/>
      <c r="H5" s="290"/>
      <c r="I5" s="290"/>
    </row>
    <row r="6" spans="1:11" ht="13.8" thickBot="1" x14ac:dyDescent="0.3">
      <c r="B6" s="837" t="s">
        <v>860</v>
      </c>
      <c r="C6" s="838"/>
      <c r="D6" s="839"/>
      <c r="E6" s="356"/>
      <c r="F6" s="355" t="s">
        <v>615</v>
      </c>
    </row>
    <row r="7" spans="1:11" ht="13.8" thickBot="1" x14ac:dyDescent="0.3">
      <c r="B7" s="919" t="s">
        <v>1075</v>
      </c>
      <c r="C7" s="920"/>
      <c r="D7" s="920"/>
      <c r="E7" s="356"/>
      <c r="F7" s="357">
        <v>5175000</v>
      </c>
    </row>
    <row r="9" spans="1:11" x14ac:dyDescent="0.25">
      <c r="B9" s="406" t="s">
        <v>508</v>
      </c>
    </row>
    <row r="10" spans="1:11" ht="13.8" thickBot="1" x14ac:dyDescent="0.3">
      <c r="A10" s="407" t="s">
        <v>1088</v>
      </c>
      <c r="B10" s="390" t="s">
        <v>1010</v>
      </c>
    </row>
    <row r="11" spans="1:11" ht="13.8" thickBot="1" x14ac:dyDescent="0.3">
      <c r="B11" s="921" t="s">
        <v>1060</v>
      </c>
      <c r="C11" s="922"/>
      <c r="D11" s="922"/>
      <c r="E11" s="922"/>
      <c r="F11" s="922"/>
      <c r="G11" s="922"/>
      <c r="H11" s="922"/>
      <c r="I11" s="922"/>
      <c r="J11" s="922"/>
      <c r="K11" s="923"/>
    </row>
    <row r="12" spans="1:11" ht="13.8" thickBot="1" x14ac:dyDescent="0.3">
      <c r="B12" s="360" t="s">
        <v>1017</v>
      </c>
      <c r="C12" s="810" t="s">
        <v>1023</v>
      </c>
      <c r="D12" s="810"/>
      <c r="E12" s="810"/>
      <c r="F12" s="810"/>
      <c r="G12" s="810"/>
      <c r="H12" s="810"/>
      <c r="I12" s="810"/>
      <c r="J12" s="810"/>
      <c r="K12" s="811"/>
    </row>
    <row r="13" spans="1:11" s="290" customFormat="1" ht="13.8" thickBot="1" x14ac:dyDescent="0.35">
      <c r="B13" s="929" t="s">
        <v>1109</v>
      </c>
      <c r="C13" s="930"/>
      <c r="D13" s="930"/>
      <c r="E13" s="930"/>
      <c r="F13" s="930"/>
      <c r="G13" s="930"/>
      <c r="H13" s="930"/>
      <c r="I13" s="930"/>
      <c r="J13" s="930"/>
      <c r="K13" s="931"/>
    </row>
    <row r="14" spans="1:11" s="290" customFormat="1" x14ac:dyDescent="0.3">
      <c r="B14" s="361" t="s">
        <v>1110</v>
      </c>
      <c r="C14" s="812" t="s">
        <v>1111</v>
      </c>
      <c r="D14" s="812"/>
      <c r="E14" s="812"/>
      <c r="F14" s="812"/>
      <c r="G14" s="812"/>
      <c r="H14" s="812"/>
      <c r="I14" s="812"/>
      <c r="J14" s="812"/>
      <c r="K14" s="362" t="s">
        <v>35</v>
      </c>
    </row>
    <row r="15" spans="1:11" s="290" customFormat="1" x14ac:dyDescent="0.3">
      <c r="A15" s="352"/>
      <c r="B15" s="363"/>
      <c r="C15" s="804" t="s">
        <v>1206</v>
      </c>
      <c r="D15" s="805"/>
      <c r="E15" s="805"/>
      <c r="F15" s="805"/>
      <c r="G15" s="805"/>
      <c r="H15" s="805"/>
      <c r="I15" s="805"/>
      <c r="J15" s="806"/>
      <c r="K15" s="364"/>
    </row>
    <row r="16" spans="1:11" s="290" customFormat="1" x14ac:dyDescent="0.3">
      <c r="B16" s="365" t="s">
        <v>1112</v>
      </c>
      <c r="C16" s="813" t="s">
        <v>1118</v>
      </c>
      <c r="D16" s="813"/>
      <c r="E16" s="813"/>
      <c r="F16" s="813"/>
      <c r="G16" s="813"/>
      <c r="H16" s="813"/>
      <c r="I16" s="813"/>
      <c r="J16" s="813"/>
      <c r="K16" s="366" t="s">
        <v>35</v>
      </c>
    </row>
    <row r="17" spans="1:11" s="290" customFormat="1" x14ac:dyDescent="0.3">
      <c r="B17" s="365" t="s">
        <v>1113</v>
      </c>
      <c r="C17" s="813" t="s">
        <v>1119</v>
      </c>
      <c r="D17" s="813"/>
      <c r="E17" s="813"/>
      <c r="F17" s="813"/>
      <c r="G17" s="813"/>
      <c r="H17" s="813"/>
      <c r="I17" s="813"/>
      <c r="J17" s="813"/>
      <c r="K17" s="366" t="s">
        <v>35</v>
      </c>
    </row>
    <row r="18" spans="1:11" s="290" customFormat="1" x14ac:dyDescent="0.3">
      <c r="B18" s="365" t="s">
        <v>1114</v>
      </c>
      <c r="C18" s="813" t="s">
        <v>1120</v>
      </c>
      <c r="D18" s="813"/>
      <c r="E18" s="813"/>
      <c r="F18" s="813"/>
      <c r="G18" s="813"/>
      <c r="H18" s="813"/>
      <c r="I18" s="813"/>
      <c r="J18" s="813"/>
      <c r="K18" s="366" t="s">
        <v>35</v>
      </c>
    </row>
    <row r="19" spans="1:11" s="290" customFormat="1" ht="27" customHeight="1" x14ac:dyDescent="0.3">
      <c r="B19" s="365" t="s">
        <v>1115</v>
      </c>
      <c r="C19" s="813" t="s">
        <v>1121</v>
      </c>
      <c r="D19" s="813"/>
      <c r="E19" s="813"/>
      <c r="F19" s="813"/>
      <c r="G19" s="813"/>
      <c r="H19" s="813"/>
      <c r="I19" s="813"/>
      <c r="J19" s="813"/>
      <c r="K19" s="366" t="s">
        <v>35</v>
      </c>
    </row>
    <row r="20" spans="1:11" s="290" customFormat="1" x14ac:dyDescent="0.3">
      <c r="B20" s="365" t="s">
        <v>1116</v>
      </c>
      <c r="C20" s="813" t="s">
        <v>1272</v>
      </c>
      <c r="D20" s="813"/>
      <c r="E20" s="813"/>
      <c r="F20" s="813"/>
      <c r="G20" s="813"/>
      <c r="H20" s="813"/>
      <c r="I20" s="813"/>
      <c r="J20" s="813"/>
      <c r="K20" s="366" t="s">
        <v>35</v>
      </c>
    </row>
    <row r="21" spans="1:11" s="290" customFormat="1" ht="13.8" thickBot="1" x14ac:dyDescent="0.35">
      <c r="B21" s="367" t="s">
        <v>1117</v>
      </c>
      <c r="C21" s="831" t="s">
        <v>1122</v>
      </c>
      <c r="D21" s="831"/>
      <c r="E21" s="831"/>
      <c r="F21" s="831"/>
      <c r="G21" s="831"/>
      <c r="H21" s="831"/>
      <c r="I21" s="831"/>
      <c r="J21" s="831"/>
      <c r="K21" s="368" t="s">
        <v>35</v>
      </c>
    </row>
    <row r="22" spans="1:11" s="290" customFormat="1" ht="13.8" thickBot="1" x14ac:dyDescent="0.35">
      <c r="B22" s="391"/>
      <c r="C22" s="915" t="s">
        <v>1123</v>
      </c>
      <c r="D22" s="916"/>
      <c r="E22" s="916"/>
      <c r="F22" s="916"/>
      <c r="G22" s="916"/>
      <c r="H22" s="916"/>
      <c r="I22" s="916"/>
      <c r="J22" s="917"/>
      <c r="K22" s="392" t="str">
        <f>IF(OR(K14="Yes",K16="Yes",K17="Yes",K18="Yes",K19="Yes",K20="Yes",K21="Yes"),"Yes","No")</f>
        <v>No</v>
      </c>
    </row>
    <row r="23" spans="1:11" ht="13.8" thickBot="1" x14ac:dyDescent="0.3">
      <c r="B23" s="924" t="s">
        <v>1061</v>
      </c>
      <c r="C23" s="924"/>
      <c r="D23" s="924"/>
      <c r="E23" s="924"/>
      <c r="F23" s="924"/>
      <c r="G23" s="924" t="s">
        <v>1062</v>
      </c>
      <c r="H23" s="924"/>
      <c r="I23" s="924"/>
      <c r="J23" s="924"/>
      <c r="K23" s="924"/>
    </row>
    <row r="24" spans="1:11" ht="27" thickBot="1" x14ac:dyDescent="0.3">
      <c r="B24" s="408" t="s">
        <v>26</v>
      </c>
      <c r="C24" s="394" t="s">
        <v>553</v>
      </c>
      <c r="D24" s="394" t="s">
        <v>19</v>
      </c>
      <c r="E24" s="394" t="s">
        <v>25</v>
      </c>
      <c r="F24" s="409" t="s">
        <v>1438</v>
      </c>
      <c r="G24" s="393" t="s">
        <v>1063</v>
      </c>
      <c r="H24" s="394" t="s">
        <v>1064</v>
      </c>
      <c r="I24" s="395" t="s">
        <v>1065</v>
      </c>
      <c r="J24" s="395" t="s">
        <v>1066</v>
      </c>
      <c r="K24" s="396" t="s">
        <v>1067</v>
      </c>
    </row>
    <row r="25" spans="1:11" ht="15" thickBot="1" x14ac:dyDescent="0.3">
      <c r="B25" s="490" t="s">
        <v>619</v>
      </c>
      <c r="C25" s="491" t="s">
        <v>619</v>
      </c>
      <c r="D25" s="491" t="s">
        <v>621</v>
      </c>
      <c r="E25" s="491" t="s">
        <v>619</v>
      </c>
      <c r="F25" s="492" t="s">
        <v>619</v>
      </c>
      <c r="G25" s="491" t="s">
        <v>619</v>
      </c>
      <c r="H25" s="491" t="s">
        <v>619</v>
      </c>
      <c r="I25" s="491" t="s">
        <v>621</v>
      </c>
      <c r="J25" s="491" t="s">
        <v>621</v>
      </c>
      <c r="K25" s="492" t="s">
        <v>621</v>
      </c>
    </row>
    <row r="26" spans="1:11" ht="13.8" thickBot="1" x14ac:dyDescent="0.3">
      <c r="A26" s="390"/>
      <c r="B26" s="807" t="s">
        <v>1068</v>
      </c>
      <c r="C26" s="808"/>
      <c r="D26" s="808"/>
      <c r="E26" s="808"/>
      <c r="F26" s="808"/>
      <c r="G26" s="808"/>
      <c r="H26" s="808"/>
      <c r="I26" s="808"/>
      <c r="J26" s="808"/>
      <c r="K26" s="809"/>
    </row>
    <row r="27" spans="1:11" ht="27" thickBot="1" x14ac:dyDescent="0.3">
      <c r="A27" s="390"/>
      <c r="B27" s="437" t="s">
        <v>1124</v>
      </c>
      <c r="C27" s="1006" t="s">
        <v>31</v>
      </c>
      <c r="D27" s="1006"/>
      <c r="E27" s="1006"/>
      <c r="F27" s="1006"/>
      <c r="G27" s="1006"/>
      <c r="H27" s="1006"/>
      <c r="I27" s="480" t="s">
        <v>1125</v>
      </c>
      <c r="J27" s="1007" t="s">
        <v>1074</v>
      </c>
      <c r="K27" s="1008"/>
    </row>
    <row r="28" spans="1:11" ht="27" customHeight="1" x14ac:dyDescent="0.25">
      <c r="A28" s="390"/>
      <c r="B28" s="361" t="s">
        <v>1025</v>
      </c>
      <c r="C28" s="812" t="s">
        <v>1343</v>
      </c>
      <c r="D28" s="812"/>
      <c r="E28" s="812"/>
      <c r="F28" s="812"/>
      <c r="G28" s="812"/>
      <c r="H28" s="812"/>
      <c r="I28" s="483" t="s">
        <v>35</v>
      </c>
      <c r="J28" s="995" t="s">
        <v>863</v>
      </c>
      <c r="K28" s="996"/>
    </row>
    <row r="29" spans="1:11" ht="66" customHeight="1" x14ac:dyDescent="0.25">
      <c r="A29" s="390"/>
      <c r="B29" s="365" t="s">
        <v>1253</v>
      </c>
      <c r="C29" s="813" t="s">
        <v>1252</v>
      </c>
      <c r="D29" s="813"/>
      <c r="E29" s="813"/>
      <c r="F29" s="813"/>
      <c r="G29" s="813"/>
      <c r="H29" s="813"/>
      <c r="I29" s="482" t="s">
        <v>35</v>
      </c>
      <c r="J29" s="1004" t="s">
        <v>863</v>
      </c>
      <c r="K29" s="1005"/>
    </row>
    <row r="30" spans="1:11" ht="27" customHeight="1" x14ac:dyDescent="0.25">
      <c r="A30" s="390"/>
      <c r="B30" s="365" t="s">
        <v>1254</v>
      </c>
      <c r="C30" s="813" t="s">
        <v>1256</v>
      </c>
      <c r="D30" s="813"/>
      <c r="E30" s="813"/>
      <c r="F30" s="813"/>
      <c r="G30" s="813"/>
      <c r="H30" s="813"/>
      <c r="I30" s="482" t="s">
        <v>35</v>
      </c>
      <c r="J30" s="1004" t="s">
        <v>863</v>
      </c>
      <c r="K30" s="1005"/>
    </row>
    <row r="31" spans="1:11" ht="27" customHeight="1" thickBot="1" x14ac:dyDescent="0.3">
      <c r="A31" s="390"/>
      <c r="B31" s="367" t="s">
        <v>1255</v>
      </c>
      <c r="C31" s="831" t="s">
        <v>1257</v>
      </c>
      <c r="D31" s="831"/>
      <c r="E31" s="831"/>
      <c r="F31" s="831"/>
      <c r="G31" s="831"/>
      <c r="H31" s="831"/>
      <c r="I31" s="424" t="s">
        <v>37</v>
      </c>
      <c r="J31" s="949" t="s">
        <v>1832</v>
      </c>
      <c r="K31" s="950"/>
    </row>
    <row r="32" spans="1:11" ht="27" thickBot="1" x14ac:dyDescent="0.3">
      <c r="A32" s="390"/>
      <c r="B32" s="439" t="s">
        <v>1072</v>
      </c>
      <c r="C32" s="1100" t="s">
        <v>1694</v>
      </c>
      <c r="D32" s="1101"/>
      <c r="E32" s="439" t="s">
        <v>1070</v>
      </c>
      <c r="F32" s="481" t="s">
        <v>1134</v>
      </c>
      <c r="G32" s="887" t="s">
        <v>1202</v>
      </c>
      <c r="H32" s="888"/>
      <c r="I32" s="439" t="s">
        <v>1130</v>
      </c>
      <c r="J32" s="870" t="s">
        <v>1133</v>
      </c>
      <c r="K32" s="871"/>
    </row>
    <row r="33" spans="1:11" ht="13.8" thickBot="1" x14ac:dyDescent="0.3">
      <c r="B33" s="938" t="s">
        <v>1076</v>
      </c>
      <c r="C33" s="939"/>
      <c r="D33" s="939"/>
      <c r="E33" s="939"/>
      <c r="F33" s="939"/>
      <c r="G33" s="939"/>
      <c r="H33" s="939"/>
      <c r="I33" s="939"/>
      <c r="J33" s="939"/>
      <c r="K33" s="940"/>
    </row>
    <row r="34" spans="1:11" ht="28.2" customHeight="1" thickBot="1" x14ac:dyDescent="0.3">
      <c r="B34" s="486" t="s">
        <v>1255</v>
      </c>
      <c r="C34" s="830" t="s">
        <v>1834</v>
      </c>
      <c r="D34" s="816"/>
      <c r="E34" s="816"/>
      <c r="F34" s="816"/>
      <c r="G34" s="816"/>
      <c r="H34" s="816"/>
      <c r="I34" s="816"/>
      <c r="J34" s="816"/>
      <c r="K34" s="817"/>
    </row>
    <row r="35" spans="1:11" ht="13.8" thickBot="1" x14ac:dyDescent="0.3">
      <c r="B35" s="912" t="s">
        <v>1077</v>
      </c>
      <c r="C35" s="913"/>
      <c r="D35" s="913"/>
      <c r="E35" s="913"/>
      <c r="F35" s="913"/>
      <c r="G35" s="913"/>
      <c r="H35" s="913"/>
      <c r="I35" s="913"/>
      <c r="J35" s="913"/>
      <c r="K35" s="914"/>
    </row>
    <row r="36" spans="1:11" x14ac:dyDescent="0.25">
      <c r="B36" s="487" t="s">
        <v>1028</v>
      </c>
      <c r="C36" s="1096" t="s">
        <v>1032</v>
      </c>
      <c r="D36" s="1096"/>
      <c r="E36" s="1096"/>
      <c r="F36" s="1096"/>
      <c r="G36" s="1096"/>
      <c r="H36" s="1096"/>
      <c r="I36" s="1096"/>
      <c r="J36" s="1096"/>
      <c r="K36" s="1097"/>
    </row>
    <row r="37" spans="1:11" x14ac:dyDescent="0.25">
      <c r="B37" s="488" t="s">
        <v>1029</v>
      </c>
      <c r="C37" s="1102" t="s">
        <v>1033</v>
      </c>
      <c r="D37" s="1102"/>
      <c r="E37" s="1102"/>
      <c r="F37" s="1102"/>
      <c r="G37" s="1102"/>
      <c r="H37" s="1102"/>
      <c r="I37" s="1102"/>
      <c r="J37" s="1102"/>
      <c r="K37" s="1103"/>
    </row>
    <row r="38" spans="1:11" ht="13.8" thickBot="1" x14ac:dyDescent="0.3">
      <c r="B38" s="367" t="s">
        <v>1258</v>
      </c>
      <c r="C38" s="831" t="s">
        <v>1347</v>
      </c>
      <c r="D38" s="831"/>
      <c r="E38" s="831"/>
      <c r="F38" s="831"/>
      <c r="G38" s="831"/>
      <c r="H38" s="831"/>
      <c r="I38" s="831"/>
      <c r="J38" s="831"/>
      <c r="K38" s="832"/>
    </row>
    <row r="40" spans="1:11" ht="13.8" thickBot="1" x14ac:dyDescent="0.3"/>
    <row r="41" spans="1:11" ht="13.8" thickBot="1" x14ac:dyDescent="0.3">
      <c r="B41" s="921" t="s">
        <v>1060</v>
      </c>
      <c r="C41" s="922"/>
      <c r="D41" s="922"/>
      <c r="E41" s="922"/>
      <c r="F41" s="922"/>
      <c r="G41" s="922"/>
      <c r="H41" s="922"/>
      <c r="I41" s="922"/>
      <c r="J41" s="922"/>
      <c r="K41" s="923"/>
    </row>
    <row r="42" spans="1:11" ht="13.8" thickBot="1" x14ac:dyDescent="0.3">
      <c r="B42" s="360" t="s">
        <v>1018</v>
      </c>
      <c r="C42" s="810" t="s">
        <v>1022</v>
      </c>
      <c r="D42" s="810"/>
      <c r="E42" s="810"/>
      <c r="F42" s="810"/>
      <c r="G42" s="810"/>
      <c r="H42" s="810"/>
      <c r="I42" s="810"/>
      <c r="J42" s="810"/>
      <c r="K42" s="811"/>
    </row>
    <row r="43" spans="1:11" s="290" customFormat="1" ht="13.8" thickBot="1" x14ac:dyDescent="0.35">
      <c r="B43" s="929" t="s">
        <v>1109</v>
      </c>
      <c r="C43" s="930"/>
      <c r="D43" s="930"/>
      <c r="E43" s="930"/>
      <c r="F43" s="930"/>
      <c r="G43" s="930"/>
      <c r="H43" s="930"/>
      <c r="I43" s="930"/>
      <c r="J43" s="930"/>
      <c r="K43" s="931"/>
    </row>
    <row r="44" spans="1:11" s="290" customFormat="1" x14ac:dyDescent="0.3">
      <c r="B44" s="361" t="s">
        <v>1110</v>
      </c>
      <c r="C44" s="812" t="s">
        <v>1111</v>
      </c>
      <c r="D44" s="812"/>
      <c r="E44" s="812"/>
      <c r="F44" s="812"/>
      <c r="G44" s="812"/>
      <c r="H44" s="812"/>
      <c r="I44" s="812"/>
      <c r="J44" s="812"/>
      <c r="K44" s="362" t="s">
        <v>35</v>
      </c>
    </row>
    <row r="45" spans="1:11" s="290" customFormat="1" x14ac:dyDescent="0.3">
      <c r="A45" s="352"/>
      <c r="B45" s="363"/>
      <c r="C45" s="804" t="s">
        <v>1206</v>
      </c>
      <c r="D45" s="805"/>
      <c r="E45" s="805"/>
      <c r="F45" s="805"/>
      <c r="G45" s="805"/>
      <c r="H45" s="805"/>
      <c r="I45" s="805"/>
      <c r="J45" s="806"/>
      <c r="K45" s="364"/>
    </row>
    <row r="46" spans="1:11" s="290" customFormat="1" x14ac:dyDescent="0.3">
      <c r="B46" s="365" t="s">
        <v>1112</v>
      </c>
      <c r="C46" s="813" t="s">
        <v>1118</v>
      </c>
      <c r="D46" s="813"/>
      <c r="E46" s="813"/>
      <c r="F46" s="813"/>
      <c r="G46" s="813"/>
      <c r="H46" s="813"/>
      <c r="I46" s="813"/>
      <c r="J46" s="813"/>
      <c r="K46" s="366" t="s">
        <v>35</v>
      </c>
    </row>
    <row r="47" spans="1:11" s="290" customFormat="1" x14ac:dyDescent="0.3">
      <c r="B47" s="365" t="s">
        <v>1113</v>
      </c>
      <c r="C47" s="813" t="s">
        <v>1119</v>
      </c>
      <c r="D47" s="813"/>
      <c r="E47" s="813"/>
      <c r="F47" s="813"/>
      <c r="G47" s="813"/>
      <c r="H47" s="813"/>
      <c r="I47" s="813"/>
      <c r="J47" s="813"/>
      <c r="K47" s="366" t="s">
        <v>35</v>
      </c>
    </row>
    <row r="48" spans="1:11" s="290" customFormat="1" x14ac:dyDescent="0.3">
      <c r="B48" s="365" t="s">
        <v>1114</v>
      </c>
      <c r="C48" s="813" t="s">
        <v>1120</v>
      </c>
      <c r="D48" s="813"/>
      <c r="E48" s="813"/>
      <c r="F48" s="813"/>
      <c r="G48" s="813"/>
      <c r="H48" s="813"/>
      <c r="I48" s="813"/>
      <c r="J48" s="813"/>
      <c r="K48" s="366" t="s">
        <v>35</v>
      </c>
    </row>
    <row r="49" spans="1:11" s="290" customFormat="1" ht="27" customHeight="1" x14ac:dyDescent="0.3">
      <c r="B49" s="365" t="s">
        <v>1115</v>
      </c>
      <c r="C49" s="813" t="s">
        <v>1121</v>
      </c>
      <c r="D49" s="813"/>
      <c r="E49" s="813"/>
      <c r="F49" s="813"/>
      <c r="G49" s="813"/>
      <c r="H49" s="813"/>
      <c r="I49" s="813"/>
      <c r="J49" s="813"/>
      <c r="K49" s="366" t="s">
        <v>35</v>
      </c>
    </row>
    <row r="50" spans="1:11" s="290" customFormat="1" x14ac:dyDescent="0.3">
      <c r="B50" s="365" t="s">
        <v>1116</v>
      </c>
      <c r="C50" s="813" t="s">
        <v>1272</v>
      </c>
      <c r="D50" s="813"/>
      <c r="E50" s="813"/>
      <c r="F50" s="813"/>
      <c r="G50" s="813"/>
      <c r="H50" s="813"/>
      <c r="I50" s="813"/>
      <c r="J50" s="813"/>
      <c r="K50" s="366" t="s">
        <v>35</v>
      </c>
    </row>
    <row r="51" spans="1:11" s="290" customFormat="1" ht="13.8" thickBot="1" x14ac:dyDescent="0.35">
      <c r="B51" s="367" t="s">
        <v>1117</v>
      </c>
      <c r="C51" s="831" t="s">
        <v>1122</v>
      </c>
      <c r="D51" s="831"/>
      <c r="E51" s="831"/>
      <c r="F51" s="831"/>
      <c r="G51" s="831"/>
      <c r="H51" s="831"/>
      <c r="I51" s="831"/>
      <c r="J51" s="831"/>
      <c r="K51" s="368" t="s">
        <v>35</v>
      </c>
    </row>
    <row r="52" spans="1:11" s="290" customFormat="1" ht="13.8" thickBot="1" x14ac:dyDescent="0.35">
      <c r="B52" s="391"/>
      <c r="C52" s="915" t="s">
        <v>1123</v>
      </c>
      <c r="D52" s="916"/>
      <c r="E52" s="916"/>
      <c r="F52" s="916"/>
      <c r="G52" s="916"/>
      <c r="H52" s="916"/>
      <c r="I52" s="916"/>
      <c r="J52" s="917"/>
      <c r="K52" s="392" t="str">
        <f>IF(OR(K44="Yes",K46="Yes",K47="Yes",K48="Yes",K49="Yes",K50="Yes",K51="Yes"),"Yes","No")</f>
        <v>No</v>
      </c>
    </row>
    <row r="53" spans="1:11" ht="13.8" thickBot="1" x14ac:dyDescent="0.3">
      <c r="B53" s="924" t="s">
        <v>1061</v>
      </c>
      <c r="C53" s="924"/>
      <c r="D53" s="924"/>
      <c r="E53" s="924"/>
      <c r="F53" s="924"/>
      <c r="G53" s="924" t="s">
        <v>1062</v>
      </c>
      <c r="H53" s="924"/>
      <c r="I53" s="924"/>
      <c r="J53" s="924"/>
      <c r="K53" s="924"/>
    </row>
    <row r="54" spans="1:11" ht="27" thickBot="1" x14ac:dyDescent="0.3">
      <c r="B54" s="408" t="s">
        <v>26</v>
      </c>
      <c r="C54" s="394" t="s">
        <v>553</v>
      </c>
      <c r="D54" s="394" t="s">
        <v>19</v>
      </c>
      <c r="E54" s="394" t="s">
        <v>25</v>
      </c>
      <c r="F54" s="409" t="s">
        <v>554</v>
      </c>
      <c r="G54" s="393" t="s">
        <v>1063</v>
      </c>
      <c r="H54" s="394" t="s">
        <v>1064</v>
      </c>
      <c r="I54" s="395" t="s">
        <v>1065</v>
      </c>
      <c r="J54" s="395" t="s">
        <v>1066</v>
      </c>
      <c r="K54" s="396" t="s">
        <v>1067</v>
      </c>
    </row>
    <row r="55" spans="1:11" ht="15" thickBot="1" x14ac:dyDescent="0.3">
      <c r="B55" s="490" t="s">
        <v>621</v>
      </c>
      <c r="C55" s="491" t="s">
        <v>619</v>
      </c>
      <c r="D55" s="491" t="s">
        <v>619</v>
      </c>
      <c r="E55" s="491" t="s">
        <v>619</v>
      </c>
      <c r="F55" s="492" t="s">
        <v>621</v>
      </c>
      <c r="G55" s="491" t="s">
        <v>619</v>
      </c>
      <c r="H55" s="491" t="s">
        <v>619</v>
      </c>
      <c r="I55" s="491" t="s">
        <v>621</v>
      </c>
      <c r="J55" s="491" t="s">
        <v>621</v>
      </c>
      <c r="K55" s="492" t="s">
        <v>621</v>
      </c>
    </row>
    <row r="56" spans="1:11" ht="13.8" thickBot="1" x14ac:dyDescent="0.3">
      <c r="A56" s="390"/>
      <c r="B56" s="807" t="s">
        <v>1068</v>
      </c>
      <c r="C56" s="808"/>
      <c r="D56" s="808"/>
      <c r="E56" s="808"/>
      <c r="F56" s="808"/>
      <c r="G56" s="808"/>
      <c r="H56" s="808"/>
      <c r="I56" s="808"/>
      <c r="J56" s="808"/>
      <c r="K56" s="809"/>
    </row>
    <row r="57" spans="1:11" ht="27" thickBot="1" x14ac:dyDescent="0.3">
      <c r="A57" s="390"/>
      <c r="B57" s="437" t="s">
        <v>1124</v>
      </c>
      <c r="C57" s="1006" t="s">
        <v>31</v>
      </c>
      <c r="D57" s="1006"/>
      <c r="E57" s="1006"/>
      <c r="F57" s="1006"/>
      <c r="G57" s="1006"/>
      <c r="H57" s="1006"/>
      <c r="I57" s="480" t="s">
        <v>1125</v>
      </c>
      <c r="J57" s="1007" t="s">
        <v>1074</v>
      </c>
      <c r="K57" s="1008"/>
    </row>
    <row r="58" spans="1:11" ht="27" customHeight="1" x14ac:dyDescent="0.25">
      <c r="A58" s="390"/>
      <c r="B58" s="361" t="s">
        <v>1025</v>
      </c>
      <c r="C58" s="812" t="s">
        <v>1026</v>
      </c>
      <c r="D58" s="812"/>
      <c r="E58" s="812"/>
      <c r="F58" s="812"/>
      <c r="G58" s="812"/>
      <c r="H58" s="812"/>
      <c r="I58" s="483" t="s">
        <v>35</v>
      </c>
      <c r="J58" s="995" t="s">
        <v>863</v>
      </c>
      <c r="K58" s="996"/>
    </row>
    <row r="59" spans="1:11" ht="39.9" customHeight="1" x14ac:dyDescent="0.25">
      <c r="A59" s="390"/>
      <c r="B59" s="365" t="s">
        <v>1250</v>
      </c>
      <c r="C59" s="813" t="s">
        <v>1251</v>
      </c>
      <c r="D59" s="813"/>
      <c r="E59" s="813"/>
      <c r="F59" s="813"/>
      <c r="G59" s="813"/>
      <c r="H59" s="813"/>
      <c r="I59" s="482" t="s">
        <v>35</v>
      </c>
      <c r="J59" s="1004" t="s">
        <v>863</v>
      </c>
      <c r="K59" s="1005"/>
    </row>
    <row r="60" spans="1:11" ht="66" customHeight="1" thickBot="1" x14ac:dyDescent="0.3">
      <c r="A60" s="390"/>
      <c r="B60" s="367" t="s">
        <v>1253</v>
      </c>
      <c r="C60" s="831" t="s">
        <v>1252</v>
      </c>
      <c r="D60" s="831"/>
      <c r="E60" s="831"/>
      <c r="F60" s="831"/>
      <c r="G60" s="831"/>
      <c r="H60" s="831"/>
      <c r="I60" s="424" t="s">
        <v>35</v>
      </c>
      <c r="J60" s="949" t="s">
        <v>863</v>
      </c>
      <c r="K60" s="950"/>
    </row>
    <row r="61" spans="1:11" ht="27" customHeight="1" thickBot="1" x14ac:dyDescent="0.3">
      <c r="A61" s="390"/>
      <c r="B61" s="439" t="s">
        <v>1072</v>
      </c>
      <c r="C61" s="1100" t="s">
        <v>1103</v>
      </c>
      <c r="D61" s="1101"/>
      <c r="E61" s="439" t="s">
        <v>1070</v>
      </c>
      <c r="F61" s="481" t="s">
        <v>1134</v>
      </c>
      <c r="G61" s="887" t="s">
        <v>1202</v>
      </c>
      <c r="H61" s="888"/>
      <c r="I61" s="439" t="s">
        <v>1130</v>
      </c>
      <c r="J61" s="870" t="s">
        <v>1133</v>
      </c>
      <c r="K61" s="871"/>
    </row>
    <row r="62" spans="1:11" ht="13.8" thickBot="1" x14ac:dyDescent="0.3">
      <c r="B62" s="938" t="s">
        <v>1076</v>
      </c>
      <c r="C62" s="939"/>
      <c r="D62" s="939"/>
      <c r="E62" s="939"/>
      <c r="F62" s="939"/>
      <c r="G62" s="939"/>
      <c r="H62" s="939"/>
      <c r="I62" s="939"/>
      <c r="J62" s="939"/>
      <c r="K62" s="940"/>
    </row>
    <row r="63" spans="1:11" ht="13.8" thickBot="1" x14ac:dyDescent="0.3">
      <c r="B63" s="403" t="s">
        <v>863</v>
      </c>
      <c r="C63" s="943" t="s">
        <v>863</v>
      </c>
      <c r="D63" s="943"/>
      <c r="E63" s="943"/>
      <c r="F63" s="943"/>
      <c r="G63" s="943"/>
      <c r="H63" s="943"/>
      <c r="I63" s="943"/>
      <c r="J63" s="943"/>
      <c r="K63" s="944"/>
    </row>
    <row r="64" spans="1:11" ht="13.8" thickBot="1" x14ac:dyDescent="0.3">
      <c r="B64" s="912" t="s">
        <v>1077</v>
      </c>
      <c r="C64" s="913"/>
      <c r="D64" s="913"/>
      <c r="E64" s="913"/>
      <c r="F64" s="913"/>
      <c r="G64" s="913"/>
      <c r="H64" s="913"/>
      <c r="I64" s="913"/>
      <c r="J64" s="913"/>
      <c r="K64" s="914"/>
    </row>
    <row r="65" spans="1:20" x14ac:dyDescent="0.25">
      <c r="B65" s="487" t="s">
        <v>1028</v>
      </c>
      <c r="C65" s="1096" t="s">
        <v>1032</v>
      </c>
      <c r="D65" s="1096"/>
      <c r="E65" s="1096"/>
      <c r="F65" s="1096"/>
      <c r="G65" s="1096"/>
      <c r="H65" s="1096"/>
      <c r="I65" s="1096"/>
      <c r="J65" s="1096"/>
      <c r="K65" s="1097"/>
    </row>
    <row r="66" spans="1:20" ht="13.8" thickBot="1" x14ac:dyDescent="0.3">
      <c r="B66" s="489" t="s">
        <v>1029</v>
      </c>
      <c r="C66" s="1098" t="s">
        <v>1033</v>
      </c>
      <c r="D66" s="1098"/>
      <c r="E66" s="1098"/>
      <c r="F66" s="1098"/>
      <c r="G66" s="1098"/>
      <c r="H66" s="1098"/>
      <c r="I66" s="1098"/>
      <c r="J66" s="1098"/>
      <c r="K66" s="1099"/>
    </row>
    <row r="69" spans="1:20" ht="13.8" thickBot="1" x14ac:dyDescent="0.3">
      <c r="A69" s="412" t="s">
        <v>1090</v>
      </c>
      <c r="B69" s="413" t="s">
        <v>1011</v>
      </c>
      <c r="C69" s="414"/>
      <c r="D69" s="414"/>
      <c r="E69" s="414"/>
      <c r="F69" s="414"/>
      <c r="G69" s="414"/>
      <c r="H69" s="414"/>
      <c r="I69" s="414"/>
      <c r="J69" s="414"/>
      <c r="K69" s="414"/>
      <c r="L69" s="414"/>
      <c r="M69" s="414"/>
      <c r="N69" s="414"/>
      <c r="O69" s="414"/>
      <c r="P69" s="414"/>
      <c r="Q69" s="414"/>
      <c r="R69" s="414"/>
      <c r="S69" s="414"/>
      <c r="T69" s="414"/>
    </row>
    <row r="70" spans="1:20" ht="13.8" thickBot="1" x14ac:dyDescent="0.3">
      <c r="B70" s="921" t="s">
        <v>1060</v>
      </c>
      <c r="C70" s="922"/>
      <c r="D70" s="922"/>
      <c r="E70" s="922"/>
      <c r="F70" s="922"/>
      <c r="G70" s="922"/>
      <c r="H70" s="922"/>
      <c r="I70" s="922"/>
      <c r="J70" s="922"/>
      <c r="K70" s="923"/>
    </row>
    <row r="71" spans="1:20" ht="13.8" thickBot="1" x14ac:dyDescent="0.3">
      <c r="B71" s="360" t="s">
        <v>1019</v>
      </c>
      <c r="C71" s="810" t="s">
        <v>1021</v>
      </c>
      <c r="D71" s="810"/>
      <c r="E71" s="810"/>
      <c r="F71" s="810"/>
      <c r="G71" s="810"/>
      <c r="H71" s="810"/>
      <c r="I71" s="810"/>
      <c r="J71" s="810"/>
      <c r="K71" s="811"/>
    </row>
    <row r="72" spans="1:20" s="290" customFormat="1" ht="13.8" thickBot="1" x14ac:dyDescent="0.35">
      <c r="B72" s="929" t="s">
        <v>1109</v>
      </c>
      <c r="C72" s="930"/>
      <c r="D72" s="930"/>
      <c r="E72" s="930"/>
      <c r="F72" s="930"/>
      <c r="G72" s="930"/>
      <c r="H72" s="930"/>
      <c r="I72" s="930"/>
      <c r="J72" s="930"/>
      <c r="K72" s="931"/>
    </row>
    <row r="73" spans="1:20" s="290" customFormat="1" x14ac:dyDescent="0.3">
      <c r="B73" s="361" t="s">
        <v>1110</v>
      </c>
      <c r="C73" s="812" t="s">
        <v>1111</v>
      </c>
      <c r="D73" s="812"/>
      <c r="E73" s="812"/>
      <c r="F73" s="812"/>
      <c r="G73" s="812"/>
      <c r="H73" s="812"/>
      <c r="I73" s="812"/>
      <c r="J73" s="812"/>
      <c r="K73" s="362" t="s">
        <v>35</v>
      </c>
    </row>
    <row r="74" spans="1:20" s="290" customFormat="1" x14ac:dyDescent="0.3">
      <c r="A74" s="352"/>
      <c r="B74" s="363"/>
      <c r="C74" s="804" t="s">
        <v>1206</v>
      </c>
      <c r="D74" s="805"/>
      <c r="E74" s="805"/>
      <c r="F74" s="805"/>
      <c r="G74" s="805"/>
      <c r="H74" s="805"/>
      <c r="I74" s="805"/>
      <c r="J74" s="806"/>
      <c r="K74" s="364"/>
    </row>
    <row r="75" spans="1:20" s="290" customFormat="1" x14ac:dyDescent="0.3">
      <c r="B75" s="365" t="s">
        <v>1112</v>
      </c>
      <c r="C75" s="813" t="s">
        <v>1118</v>
      </c>
      <c r="D75" s="813"/>
      <c r="E75" s="813"/>
      <c r="F75" s="813"/>
      <c r="G75" s="813"/>
      <c r="H75" s="813"/>
      <c r="I75" s="813"/>
      <c r="J75" s="813"/>
      <c r="K75" s="366" t="s">
        <v>35</v>
      </c>
    </row>
    <row r="76" spans="1:20" s="290" customFormat="1" x14ac:dyDescent="0.3">
      <c r="B76" s="365" t="s">
        <v>1113</v>
      </c>
      <c r="C76" s="813" t="s">
        <v>1119</v>
      </c>
      <c r="D76" s="813"/>
      <c r="E76" s="813"/>
      <c r="F76" s="813"/>
      <c r="G76" s="813"/>
      <c r="H76" s="813"/>
      <c r="I76" s="813"/>
      <c r="J76" s="813"/>
      <c r="K76" s="366" t="s">
        <v>35</v>
      </c>
    </row>
    <row r="77" spans="1:20" s="290" customFormat="1" x14ac:dyDescent="0.3">
      <c r="B77" s="365" t="s">
        <v>1114</v>
      </c>
      <c r="C77" s="813" t="s">
        <v>1120</v>
      </c>
      <c r="D77" s="813"/>
      <c r="E77" s="813"/>
      <c r="F77" s="813"/>
      <c r="G77" s="813"/>
      <c r="H77" s="813"/>
      <c r="I77" s="813"/>
      <c r="J77" s="813"/>
      <c r="K77" s="366" t="s">
        <v>35</v>
      </c>
    </row>
    <row r="78" spans="1:20" s="290" customFormat="1" ht="27" customHeight="1" x14ac:dyDescent="0.3">
      <c r="B78" s="365" t="s">
        <v>1115</v>
      </c>
      <c r="C78" s="813" t="s">
        <v>1121</v>
      </c>
      <c r="D78" s="813"/>
      <c r="E78" s="813"/>
      <c r="F78" s="813"/>
      <c r="G78" s="813"/>
      <c r="H78" s="813"/>
      <c r="I78" s="813"/>
      <c r="J78" s="813"/>
      <c r="K78" s="366" t="s">
        <v>35</v>
      </c>
    </row>
    <row r="79" spans="1:20" s="290" customFormat="1" x14ac:dyDescent="0.3">
      <c r="B79" s="365" t="s">
        <v>1116</v>
      </c>
      <c r="C79" s="813" t="s">
        <v>1272</v>
      </c>
      <c r="D79" s="813"/>
      <c r="E79" s="813"/>
      <c r="F79" s="813"/>
      <c r="G79" s="813"/>
      <c r="H79" s="813"/>
      <c r="I79" s="813"/>
      <c r="J79" s="813"/>
      <c r="K79" s="366" t="s">
        <v>35</v>
      </c>
    </row>
    <row r="80" spans="1:20" s="290" customFormat="1" ht="13.8" thickBot="1" x14ac:dyDescent="0.35">
      <c r="B80" s="367" t="s">
        <v>1117</v>
      </c>
      <c r="C80" s="831" t="s">
        <v>1122</v>
      </c>
      <c r="D80" s="831"/>
      <c r="E80" s="831"/>
      <c r="F80" s="831"/>
      <c r="G80" s="831"/>
      <c r="H80" s="831"/>
      <c r="I80" s="831"/>
      <c r="J80" s="831"/>
      <c r="K80" s="368" t="s">
        <v>35</v>
      </c>
    </row>
    <row r="81" spans="1:17" s="290" customFormat="1" ht="13.8" thickBot="1" x14ac:dyDescent="0.35">
      <c r="B81" s="391"/>
      <c r="C81" s="915" t="s">
        <v>1123</v>
      </c>
      <c r="D81" s="916"/>
      <c r="E81" s="916"/>
      <c r="F81" s="916"/>
      <c r="G81" s="916"/>
      <c r="H81" s="916"/>
      <c r="I81" s="916"/>
      <c r="J81" s="917"/>
      <c r="K81" s="392" t="str">
        <f>IF(OR(K73="Yes",K75="Yes",K76="Yes",K77="Yes",K78="Yes",K79="Yes",K80="Yes"),"Yes","No")</f>
        <v>No</v>
      </c>
    </row>
    <row r="82" spans="1:17" ht="13.8" thickBot="1" x14ac:dyDescent="0.3">
      <c r="B82" s="924" t="s">
        <v>1061</v>
      </c>
      <c r="C82" s="924"/>
      <c r="D82" s="924"/>
      <c r="E82" s="924"/>
      <c r="F82" s="924"/>
      <c r="G82" s="924" t="s">
        <v>1062</v>
      </c>
      <c r="H82" s="924"/>
      <c r="I82" s="924"/>
      <c r="J82" s="924"/>
      <c r="K82" s="924"/>
    </row>
    <row r="83" spans="1:17" ht="27" thickBot="1" x14ac:dyDescent="0.3">
      <c r="B83" s="408" t="s">
        <v>26</v>
      </c>
      <c r="C83" s="394" t="s">
        <v>553</v>
      </c>
      <c r="D83" s="394" t="s">
        <v>19</v>
      </c>
      <c r="E83" s="394" t="s">
        <v>25</v>
      </c>
      <c r="F83" s="409" t="s">
        <v>310</v>
      </c>
      <c r="G83" s="393" t="s">
        <v>1063</v>
      </c>
      <c r="H83" s="394" t="s">
        <v>1064</v>
      </c>
      <c r="I83" s="395" t="s">
        <v>1065</v>
      </c>
      <c r="J83" s="395" t="s">
        <v>1066</v>
      </c>
      <c r="K83" s="396" t="s">
        <v>1067</v>
      </c>
    </row>
    <row r="84" spans="1:17" ht="15" thickBot="1" x14ac:dyDescent="0.3">
      <c r="B84" s="490" t="s">
        <v>621</v>
      </c>
      <c r="C84" s="491" t="s">
        <v>619</v>
      </c>
      <c r="D84" s="491" t="s">
        <v>619</v>
      </c>
      <c r="E84" s="491" t="s">
        <v>621</v>
      </c>
      <c r="F84" s="492" t="s">
        <v>619</v>
      </c>
      <c r="G84" s="491" t="s">
        <v>619</v>
      </c>
      <c r="H84" s="491" t="s">
        <v>619</v>
      </c>
      <c r="I84" s="491" t="s">
        <v>621</v>
      </c>
      <c r="J84" s="491" t="s">
        <v>621</v>
      </c>
      <c r="K84" s="492" t="s">
        <v>621</v>
      </c>
      <c r="Q84" s="415"/>
    </row>
    <row r="85" spans="1:17" ht="13.8" thickBot="1" x14ac:dyDescent="0.3">
      <c r="A85" s="390"/>
      <c r="B85" s="807" t="s">
        <v>1068</v>
      </c>
      <c r="C85" s="808"/>
      <c r="D85" s="808"/>
      <c r="E85" s="808"/>
      <c r="F85" s="808"/>
      <c r="G85" s="808"/>
      <c r="H85" s="808"/>
      <c r="I85" s="808"/>
      <c r="J85" s="808"/>
      <c r="K85" s="809"/>
    </row>
    <row r="86" spans="1:17" ht="27" thickBot="1" x14ac:dyDescent="0.3">
      <c r="A86" s="390"/>
      <c r="B86" s="369" t="s">
        <v>1124</v>
      </c>
      <c r="C86" s="918" t="s">
        <v>31</v>
      </c>
      <c r="D86" s="918"/>
      <c r="E86" s="918"/>
      <c r="F86" s="918"/>
      <c r="G86" s="918"/>
      <c r="H86" s="918"/>
      <c r="I86" s="401" t="s">
        <v>1125</v>
      </c>
      <c r="J86" s="906" t="s">
        <v>1074</v>
      </c>
      <c r="K86" s="907"/>
    </row>
    <row r="87" spans="1:17" ht="13.8" thickBot="1" x14ac:dyDescent="0.3">
      <c r="A87" s="390"/>
      <c r="B87" s="363" t="s">
        <v>863</v>
      </c>
      <c r="C87" s="768" t="s">
        <v>863</v>
      </c>
      <c r="D87" s="768"/>
      <c r="E87" s="768"/>
      <c r="F87" s="768"/>
      <c r="G87" s="768"/>
      <c r="H87" s="768"/>
      <c r="I87" s="410" t="s">
        <v>35</v>
      </c>
      <c r="J87" s="761" t="s">
        <v>863</v>
      </c>
      <c r="K87" s="945"/>
    </row>
    <row r="88" spans="1:17" ht="27" thickBot="1" x14ac:dyDescent="0.3">
      <c r="A88" s="390"/>
      <c r="B88" s="383" t="s">
        <v>1072</v>
      </c>
      <c r="C88" s="861" t="s">
        <v>1103</v>
      </c>
      <c r="D88" s="862"/>
      <c r="E88" s="383" t="s">
        <v>1070</v>
      </c>
      <c r="F88" s="402" t="s">
        <v>1134</v>
      </c>
      <c r="G88" s="816" t="s">
        <v>1202</v>
      </c>
      <c r="H88" s="817"/>
      <c r="I88" s="383" t="s">
        <v>1130</v>
      </c>
      <c r="J88" s="814" t="s">
        <v>1133</v>
      </c>
      <c r="K88" s="815"/>
    </row>
    <row r="89" spans="1:17" ht="13.8" thickBot="1" x14ac:dyDescent="0.3">
      <c r="B89" s="938" t="s">
        <v>1076</v>
      </c>
      <c r="C89" s="939"/>
      <c r="D89" s="939"/>
      <c r="E89" s="939"/>
      <c r="F89" s="939"/>
      <c r="G89" s="939"/>
      <c r="H89" s="939"/>
      <c r="I89" s="939"/>
      <c r="J89" s="939"/>
      <c r="K89" s="940"/>
    </row>
    <row r="90" spans="1:17" ht="13.8" thickBot="1" x14ac:dyDescent="0.3">
      <c r="B90" s="403" t="s">
        <v>863</v>
      </c>
      <c r="C90" s="943" t="s">
        <v>863</v>
      </c>
      <c r="D90" s="943"/>
      <c r="E90" s="943"/>
      <c r="F90" s="943"/>
      <c r="G90" s="943"/>
      <c r="H90" s="943"/>
      <c r="I90" s="943"/>
      <c r="J90" s="943"/>
      <c r="K90" s="944"/>
    </row>
    <row r="91" spans="1:17" ht="13.8" thickBot="1" x14ac:dyDescent="0.3">
      <c r="B91" s="938" t="s">
        <v>1077</v>
      </c>
      <c r="C91" s="939"/>
      <c r="D91" s="939"/>
      <c r="E91" s="939"/>
      <c r="F91" s="939"/>
      <c r="G91" s="939"/>
      <c r="H91" s="939"/>
      <c r="I91" s="939"/>
      <c r="J91" s="939"/>
      <c r="K91" s="940"/>
    </row>
    <row r="92" spans="1:17" ht="13.8" thickBot="1" x14ac:dyDescent="0.3">
      <c r="B92" s="403" t="s">
        <v>1030</v>
      </c>
      <c r="C92" s="943" t="s">
        <v>1036</v>
      </c>
      <c r="D92" s="943"/>
      <c r="E92" s="943"/>
      <c r="F92" s="943"/>
      <c r="G92" s="943"/>
      <c r="H92" s="943"/>
      <c r="I92" s="943"/>
      <c r="J92" s="943"/>
      <c r="K92" s="944"/>
    </row>
    <row r="94" spans="1:17" ht="13.8" thickBot="1" x14ac:dyDescent="0.3"/>
    <row r="95" spans="1:17" ht="13.8" thickBot="1" x14ac:dyDescent="0.3">
      <c r="B95" s="921" t="s">
        <v>1060</v>
      </c>
      <c r="C95" s="922"/>
      <c r="D95" s="922"/>
      <c r="E95" s="922"/>
      <c r="F95" s="922"/>
      <c r="G95" s="922"/>
      <c r="H95" s="922"/>
      <c r="I95" s="922"/>
      <c r="J95" s="922"/>
      <c r="K95" s="923"/>
    </row>
    <row r="96" spans="1:17" ht="13.8" thickBot="1" x14ac:dyDescent="0.3">
      <c r="B96" s="360" t="s">
        <v>1020</v>
      </c>
      <c r="C96" s="810" t="s">
        <v>1024</v>
      </c>
      <c r="D96" s="810"/>
      <c r="E96" s="810"/>
      <c r="F96" s="810"/>
      <c r="G96" s="810"/>
      <c r="H96" s="810"/>
      <c r="I96" s="810"/>
      <c r="J96" s="810"/>
      <c r="K96" s="811"/>
    </row>
    <row r="97" spans="1:11" s="290" customFormat="1" ht="13.8" thickBot="1" x14ac:dyDescent="0.35">
      <c r="B97" s="929" t="s">
        <v>1109</v>
      </c>
      <c r="C97" s="930"/>
      <c r="D97" s="930"/>
      <c r="E97" s="930"/>
      <c r="F97" s="930"/>
      <c r="G97" s="930"/>
      <c r="H97" s="930"/>
      <c r="I97" s="930"/>
      <c r="J97" s="930"/>
      <c r="K97" s="931"/>
    </row>
    <row r="98" spans="1:11" s="290" customFormat="1" x14ac:dyDescent="0.3">
      <c r="B98" s="361" t="s">
        <v>1110</v>
      </c>
      <c r="C98" s="812" t="s">
        <v>1111</v>
      </c>
      <c r="D98" s="812"/>
      <c r="E98" s="812"/>
      <c r="F98" s="812"/>
      <c r="G98" s="812"/>
      <c r="H98" s="812"/>
      <c r="I98" s="812"/>
      <c r="J98" s="812"/>
      <c r="K98" s="362" t="s">
        <v>35</v>
      </c>
    </row>
    <row r="99" spans="1:11" s="290" customFormat="1" x14ac:dyDescent="0.3">
      <c r="A99" s="352"/>
      <c r="B99" s="363"/>
      <c r="C99" s="804" t="s">
        <v>1206</v>
      </c>
      <c r="D99" s="805"/>
      <c r="E99" s="805"/>
      <c r="F99" s="805"/>
      <c r="G99" s="805"/>
      <c r="H99" s="805"/>
      <c r="I99" s="805"/>
      <c r="J99" s="806"/>
      <c r="K99" s="364"/>
    </row>
    <row r="100" spans="1:11" s="290" customFormat="1" x14ac:dyDescent="0.3">
      <c r="B100" s="365" t="s">
        <v>1112</v>
      </c>
      <c r="C100" s="813" t="s">
        <v>1118</v>
      </c>
      <c r="D100" s="813"/>
      <c r="E100" s="813"/>
      <c r="F100" s="813"/>
      <c r="G100" s="813"/>
      <c r="H100" s="813"/>
      <c r="I100" s="813"/>
      <c r="J100" s="813"/>
      <c r="K100" s="366" t="s">
        <v>35</v>
      </c>
    </row>
    <row r="101" spans="1:11" s="290" customFormat="1" x14ac:dyDescent="0.3">
      <c r="B101" s="365" t="s">
        <v>1113</v>
      </c>
      <c r="C101" s="813" t="s">
        <v>1119</v>
      </c>
      <c r="D101" s="813"/>
      <c r="E101" s="813"/>
      <c r="F101" s="813"/>
      <c r="G101" s="813"/>
      <c r="H101" s="813"/>
      <c r="I101" s="813"/>
      <c r="J101" s="813"/>
      <c r="K101" s="366" t="s">
        <v>35</v>
      </c>
    </row>
    <row r="102" spans="1:11" s="290" customFormat="1" x14ac:dyDescent="0.3">
      <c r="B102" s="365" t="s">
        <v>1114</v>
      </c>
      <c r="C102" s="813" t="s">
        <v>1120</v>
      </c>
      <c r="D102" s="813"/>
      <c r="E102" s="813"/>
      <c r="F102" s="813"/>
      <c r="G102" s="813"/>
      <c r="H102" s="813"/>
      <c r="I102" s="813"/>
      <c r="J102" s="813"/>
      <c r="K102" s="366" t="s">
        <v>35</v>
      </c>
    </row>
    <row r="103" spans="1:11" s="290" customFormat="1" ht="27" customHeight="1" x14ac:dyDescent="0.3">
      <c r="B103" s="365" t="s">
        <v>1115</v>
      </c>
      <c r="C103" s="813" t="s">
        <v>1121</v>
      </c>
      <c r="D103" s="813"/>
      <c r="E103" s="813"/>
      <c r="F103" s="813"/>
      <c r="G103" s="813"/>
      <c r="H103" s="813"/>
      <c r="I103" s="813"/>
      <c r="J103" s="813"/>
      <c r="K103" s="366" t="s">
        <v>35</v>
      </c>
    </row>
    <row r="104" spans="1:11" s="290" customFormat="1" x14ac:dyDescent="0.3">
      <c r="B104" s="365" t="s">
        <v>1116</v>
      </c>
      <c r="C104" s="813" t="s">
        <v>1272</v>
      </c>
      <c r="D104" s="813"/>
      <c r="E104" s="813"/>
      <c r="F104" s="813"/>
      <c r="G104" s="813"/>
      <c r="H104" s="813"/>
      <c r="I104" s="813"/>
      <c r="J104" s="813"/>
      <c r="K104" s="366" t="s">
        <v>35</v>
      </c>
    </row>
    <row r="105" spans="1:11" s="290" customFormat="1" ht="13.8" thickBot="1" x14ac:dyDescent="0.35">
      <c r="B105" s="367" t="s">
        <v>1117</v>
      </c>
      <c r="C105" s="831" t="s">
        <v>1122</v>
      </c>
      <c r="D105" s="831"/>
      <c r="E105" s="831"/>
      <c r="F105" s="831"/>
      <c r="G105" s="831"/>
      <c r="H105" s="831"/>
      <c r="I105" s="831"/>
      <c r="J105" s="831"/>
      <c r="K105" s="368" t="s">
        <v>35</v>
      </c>
    </row>
    <row r="106" spans="1:11" s="290" customFormat="1" ht="13.8" thickBot="1" x14ac:dyDescent="0.35">
      <c r="B106" s="391"/>
      <c r="C106" s="915" t="s">
        <v>1123</v>
      </c>
      <c r="D106" s="916"/>
      <c r="E106" s="916"/>
      <c r="F106" s="916"/>
      <c r="G106" s="916"/>
      <c r="H106" s="916"/>
      <c r="I106" s="916"/>
      <c r="J106" s="917"/>
      <c r="K106" s="392" t="str">
        <f>IF(OR(K98="Yes",K100="Yes",K101="Yes",K102="Yes",K103="Yes",K104="Yes",K105="Yes"),"Yes","No")</f>
        <v>No</v>
      </c>
    </row>
    <row r="107" spans="1:11" ht="13.8" thickBot="1" x14ac:dyDescent="0.3">
      <c r="B107" s="924" t="s">
        <v>1061</v>
      </c>
      <c r="C107" s="924"/>
      <c r="D107" s="924"/>
      <c r="E107" s="924"/>
      <c r="F107" s="924"/>
      <c r="G107" s="924" t="s">
        <v>1062</v>
      </c>
      <c r="H107" s="924"/>
      <c r="I107" s="924"/>
      <c r="J107" s="924"/>
      <c r="K107" s="924"/>
    </row>
    <row r="108" spans="1:11" ht="27" thickBot="1" x14ac:dyDescent="0.3">
      <c r="B108" s="408" t="s">
        <v>26</v>
      </c>
      <c r="C108" s="394" t="s">
        <v>553</v>
      </c>
      <c r="D108" s="394" t="s">
        <v>19</v>
      </c>
      <c r="E108" s="394" t="s">
        <v>25</v>
      </c>
      <c r="F108" s="409" t="s">
        <v>554</v>
      </c>
      <c r="G108" s="393" t="s">
        <v>1063</v>
      </c>
      <c r="H108" s="394" t="s">
        <v>1064</v>
      </c>
      <c r="I108" s="395" t="s">
        <v>1065</v>
      </c>
      <c r="J108" s="395" t="s">
        <v>1066</v>
      </c>
      <c r="K108" s="396" t="s">
        <v>1067</v>
      </c>
    </row>
    <row r="109" spans="1:11" ht="15" thickBot="1" x14ac:dyDescent="0.3">
      <c r="B109" s="490" t="s">
        <v>621</v>
      </c>
      <c r="C109" s="491" t="s">
        <v>619</v>
      </c>
      <c r="D109" s="491" t="s">
        <v>619</v>
      </c>
      <c r="E109" s="491" t="s">
        <v>621</v>
      </c>
      <c r="F109" s="492" t="s">
        <v>621</v>
      </c>
      <c r="G109" s="491" t="s">
        <v>619</v>
      </c>
      <c r="H109" s="491" t="s">
        <v>619</v>
      </c>
      <c r="I109" s="491" t="s">
        <v>621</v>
      </c>
      <c r="J109" s="491" t="s">
        <v>621</v>
      </c>
      <c r="K109" s="492" t="s">
        <v>621</v>
      </c>
    </row>
    <row r="110" spans="1:11" ht="13.8" thickBot="1" x14ac:dyDescent="0.3">
      <c r="A110" s="390"/>
      <c r="B110" s="807" t="s">
        <v>1068</v>
      </c>
      <c r="C110" s="808"/>
      <c r="D110" s="808"/>
      <c r="E110" s="808"/>
      <c r="F110" s="808"/>
      <c r="G110" s="808"/>
      <c r="H110" s="808"/>
      <c r="I110" s="808"/>
      <c r="J110" s="808"/>
      <c r="K110" s="809"/>
    </row>
    <row r="111" spans="1:11" ht="27" thickBot="1" x14ac:dyDescent="0.3">
      <c r="A111" s="390"/>
      <c r="B111" s="369" t="s">
        <v>1124</v>
      </c>
      <c r="C111" s="918" t="s">
        <v>31</v>
      </c>
      <c r="D111" s="918"/>
      <c r="E111" s="918"/>
      <c r="F111" s="918"/>
      <c r="G111" s="918"/>
      <c r="H111" s="918"/>
      <c r="I111" s="401" t="s">
        <v>1125</v>
      </c>
      <c r="J111" s="906" t="s">
        <v>1074</v>
      </c>
      <c r="K111" s="907"/>
    </row>
    <row r="112" spans="1:11" ht="13.8" thickBot="1" x14ac:dyDescent="0.3">
      <c r="A112" s="390"/>
      <c r="B112" s="363" t="s">
        <v>863</v>
      </c>
      <c r="C112" s="768" t="s">
        <v>863</v>
      </c>
      <c r="D112" s="768"/>
      <c r="E112" s="768"/>
      <c r="F112" s="768"/>
      <c r="G112" s="768"/>
      <c r="H112" s="768"/>
      <c r="I112" s="410" t="s">
        <v>35</v>
      </c>
      <c r="J112" s="761" t="s">
        <v>863</v>
      </c>
      <c r="K112" s="945"/>
    </row>
    <row r="113" spans="1:11" ht="27" thickBot="1" x14ac:dyDescent="0.3">
      <c r="A113" s="390"/>
      <c r="B113" s="383" t="s">
        <v>1072</v>
      </c>
      <c r="C113" s="814" t="s">
        <v>1103</v>
      </c>
      <c r="D113" s="815"/>
      <c r="E113" s="383" t="s">
        <v>1070</v>
      </c>
      <c r="F113" s="402" t="s">
        <v>1134</v>
      </c>
      <c r="G113" s="816" t="s">
        <v>1202</v>
      </c>
      <c r="H113" s="817"/>
      <c r="I113" s="383" t="s">
        <v>1130</v>
      </c>
      <c r="J113" s="814" t="s">
        <v>1133</v>
      </c>
      <c r="K113" s="815"/>
    </row>
    <row r="114" spans="1:11" ht="13.8" thickBot="1" x14ac:dyDescent="0.3">
      <c r="B114" s="938" t="s">
        <v>1076</v>
      </c>
      <c r="C114" s="939"/>
      <c r="D114" s="939"/>
      <c r="E114" s="939"/>
      <c r="F114" s="939"/>
      <c r="G114" s="939"/>
      <c r="H114" s="939"/>
      <c r="I114" s="939"/>
      <c r="J114" s="939"/>
      <c r="K114" s="940"/>
    </row>
    <row r="115" spans="1:11" ht="13.8" thickBot="1" x14ac:dyDescent="0.3">
      <c r="B115" s="403" t="s">
        <v>863</v>
      </c>
      <c r="C115" s="943" t="s">
        <v>863</v>
      </c>
      <c r="D115" s="943"/>
      <c r="E115" s="943"/>
      <c r="F115" s="943"/>
      <c r="G115" s="943"/>
      <c r="H115" s="943"/>
      <c r="I115" s="943"/>
      <c r="J115" s="943"/>
      <c r="K115" s="944"/>
    </row>
    <row r="116" spans="1:11" ht="13.8" thickBot="1" x14ac:dyDescent="0.3">
      <c r="B116" s="938" t="s">
        <v>1077</v>
      </c>
      <c r="C116" s="939"/>
      <c r="D116" s="939"/>
      <c r="E116" s="939"/>
      <c r="F116" s="939"/>
      <c r="G116" s="939"/>
      <c r="H116" s="939"/>
      <c r="I116" s="939"/>
      <c r="J116" s="939"/>
      <c r="K116" s="940"/>
    </row>
    <row r="117" spans="1:11" ht="13.8" thickBot="1" x14ac:dyDescent="0.3">
      <c r="B117" s="403" t="s">
        <v>1031</v>
      </c>
      <c r="C117" s="943" t="s">
        <v>1038</v>
      </c>
      <c r="D117" s="943"/>
      <c r="E117" s="943"/>
      <c r="F117" s="943"/>
      <c r="G117" s="943"/>
      <c r="H117" s="943"/>
      <c r="I117" s="943"/>
      <c r="J117" s="943"/>
      <c r="K117" s="944"/>
    </row>
  </sheetData>
  <autoFilter ref="A2:T117" xr:uid="{00000000-0009-0000-0000-000010000000}"/>
  <mergeCells count="120">
    <mergeCell ref="B5:D5"/>
    <mergeCell ref="B6:D6"/>
    <mergeCell ref="B7:D7"/>
    <mergeCell ref="B11:K11"/>
    <mergeCell ref="C12:K12"/>
    <mergeCell ref="B13:K13"/>
    <mergeCell ref="C20:J20"/>
    <mergeCell ref="C21:J21"/>
    <mergeCell ref="C22:J22"/>
    <mergeCell ref="B23:F23"/>
    <mergeCell ref="G23:K23"/>
    <mergeCell ref="B26:K26"/>
    <mergeCell ref="C14:J14"/>
    <mergeCell ref="C15:J15"/>
    <mergeCell ref="C16:J16"/>
    <mergeCell ref="C17:J17"/>
    <mergeCell ref="C18:J18"/>
    <mergeCell ref="C19:J19"/>
    <mergeCell ref="C30:H30"/>
    <mergeCell ref="J30:K30"/>
    <mergeCell ref="C31:H31"/>
    <mergeCell ref="J31:K31"/>
    <mergeCell ref="C32:D32"/>
    <mergeCell ref="G32:H32"/>
    <mergeCell ref="J32:K32"/>
    <mergeCell ref="C27:H27"/>
    <mergeCell ref="J27:K27"/>
    <mergeCell ref="C28:H28"/>
    <mergeCell ref="J28:K28"/>
    <mergeCell ref="C29:H29"/>
    <mergeCell ref="J29:K29"/>
    <mergeCell ref="B41:K41"/>
    <mergeCell ref="C42:K42"/>
    <mergeCell ref="B43:K43"/>
    <mergeCell ref="C44:J44"/>
    <mergeCell ref="C45:J45"/>
    <mergeCell ref="C46:J46"/>
    <mergeCell ref="B33:K33"/>
    <mergeCell ref="C34:K34"/>
    <mergeCell ref="B35:K35"/>
    <mergeCell ref="C36:K36"/>
    <mergeCell ref="C37:K37"/>
    <mergeCell ref="C38:K38"/>
    <mergeCell ref="B53:F53"/>
    <mergeCell ref="G53:K53"/>
    <mergeCell ref="B56:K56"/>
    <mergeCell ref="C57:H57"/>
    <mergeCell ref="J57:K57"/>
    <mergeCell ref="C58:H58"/>
    <mergeCell ref="J58:K58"/>
    <mergeCell ref="C47:J47"/>
    <mergeCell ref="C48:J48"/>
    <mergeCell ref="C49:J49"/>
    <mergeCell ref="C50:J50"/>
    <mergeCell ref="C51:J51"/>
    <mergeCell ref="C52:J52"/>
    <mergeCell ref="B62:K62"/>
    <mergeCell ref="C63:K63"/>
    <mergeCell ref="B64:K64"/>
    <mergeCell ref="C65:K65"/>
    <mergeCell ref="C66:K66"/>
    <mergeCell ref="B70:K70"/>
    <mergeCell ref="C59:H59"/>
    <mergeCell ref="J59:K59"/>
    <mergeCell ref="C60:H60"/>
    <mergeCell ref="J60:K60"/>
    <mergeCell ref="C61:D61"/>
    <mergeCell ref="G61:H61"/>
    <mergeCell ref="J61:K61"/>
    <mergeCell ref="C77:J77"/>
    <mergeCell ref="C78:J78"/>
    <mergeCell ref="C79:J79"/>
    <mergeCell ref="C80:J80"/>
    <mergeCell ref="C81:J81"/>
    <mergeCell ref="B82:F82"/>
    <mergeCell ref="G82:K82"/>
    <mergeCell ref="C71:K71"/>
    <mergeCell ref="B72:K72"/>
    <mergeCell ref="C73:J73"/>
    <mergeCell ref="C74:J74"/>
    <mergeCell ref="C75:J75"/>
    <mergeCell ref="C76:J76"/>
    <mergeCell ref="B89:K89"/>
    <mergeCell ref="C90:K90"/>
    <mergeCell ref="B91:K91"/>
    <mergeCell ref="C92:K92"/>
    <mergeCell ref="B95:K95"/>
    <mergeCell ref="C96:K96"/>
    <mergeCell ref="B85:K85"/>
    <mergeCell ref="C86:H86"/>
    <mergeCell ref="J86:K86"/>
    <mergeCell ref="C87:H87"/>
    <mergeCell ref="J87:K87"/>
    <mergeCell ref="C88:D88"/>
    <mergeCell ref="G88:H88"/>
    <mergeCell ref="J88:K88"/>
    <mergeCell ref="C103:J103"/>
    <mergeCell ref="C104:J104"/>
    <mergeCell ref="C105:J105"/>
    <mergeCell ref="C106:J106"/>
    <mergeCell ref="B107:F107"/>
    <mergeCell ref="G107:K107"/>
    <mergeCell ref="B97:K97"/>
    <mergeCell ref="C98:J98"/>
    <mergeCell ref="C99:J99"/>
    <mergeCell ref="C100:J100"/>
    <mergeCell ref="C101:J101"/>
    <mergeCell ref="C102:J102"/>
    <mergeCell ref="B114:K114"/>
    <mergeCell ref="C115:K115"/>
    <mergeCell ref="B116:K116"/>
    <mergeCell ref="C117:K117"/>
    <mergeCell ref="B110:K110"/>
    <mergeCell ref="C111:H111"/>
    <mergeCell ref="J111:K111"/>
    <mergeCell ref="C112:H112"/>
    <mergeCell ref="J112:K112"/>
    <mergeCell ref="C113:D113"/>
    <mergeCell ref="G113:H113"/>
    <mergeCell ref="J113:K113"/>
  </mergeCells>
  <dataValidations count="1">
    <dataValidation type="list" allowBlank="1" showInputMessage="1" showErrorMessage="1" sqref="F32 F61 F88 F113 J32:K32 J61:K61 J88:K88 J113:K113" xr:uid="{8C5540D3-4CE5-414B-97DC-CD2D07DB8BD8}">
      <formula1>#REF!</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T190"/>
  <sheetViews>
    <sheetView workbookViewId="0"/>
  </sheetViews>
  <sheetFormatPr defaultColWidth="9.109375" defaultRowHeight="13.2" x14ac:dyDescent="0.3"/>
  <cols>
    <col min="1" max="1" width="4.6640625" style="290" customWidth="1"/>
    <col min="2" max="8" width="15.6640625" style="290"/>
    <col min="9" max="9" width="16.88671875" style="290" customWidth="1"/>
    <col min="10" max="11" width="15.6640625" style="290"/>
    <col min="12" max="16384" width="9.109375" style="290"/>
  </cols>
  <sheetData>
    <row r="2" spans="1:11" x14ac:dyDescent="0.3">
      <c r="B2" s="353" t="s">
        <v>1270</v>
      </c>
    </row>
    <row r="3" spans="1:11" x14ac:dyDescent="0.3">
      <c r="B3" s="353" t="s">
        <v>1796</v>
      </c>
    </row>
    <row r="4" spans="1:11" ht="13.8" thickBot="1" x14ac:dyDescent="0.35"/>
    <row r="5" spans="1:11" ht="13.8" thickBot="1" x14ac:dyDescent="0.35">
      <c r="B5" s="837" t="s">
        <v>23</v>
      </c>
      <c r="C5" s="838"/>
      <c r="D5" s="839"/>
      <c r="E5" s="354"/>
      <c r="F5" s="355" t="s">
        <v>1087</v>
      </c>
    </row>
    <row r="6" spans="1:11" ht="13.8" thickBot="1" x14ac:dyDescent="0.35">
      <c r="B6" s="840" t="s">
        <v>860</v>
      </c>
      <c r="C6" s="841"/>
      <c r="D6" s="841"/>
      <c r="E6" s="356"/>
      <c r="F6" s="355" t="s">
        <v>615</v>
      </c>
    </row>
    <row r="7" spans="1:11" ht="13.8" thickBot="1" x14ac:dyDescent="0.35">
      <c r="B7" s="1106" t="s">
        <v>1075</v>
      </c>
      <c r="C7" s="1106"/>
      <c r="D7" s="1106"/>
      <c r="E7" s="356"/>
      <c r="F7" s="357">
        <v>5175000</v>
      </c>
    </row>
    <row r="9" spans="1:11" x14ac:dyDescent="0.3">
      <c r="B9" s="353" t="s">
        <v>508</v>
      </c>
    </row>
    <row r="10" spans="1:11" ht="13.8" thickBot="1" x14ac:dyDescent="0.35">
      <c r="A10" s="358" t="s">
        <v>1088</v>
      </c>
      <c r="B10" s="359" t="s">
        <v>531</v>
      </c>
    </row>
    <row r="11" spans="1:11" ht="13.8" thickBot="1" x14ac:dyDescent="0.35">
      <c r="B11" s="807" t="s">
        <v>1060</v>
      </c>
      <c r="C11" s="808"/>
      <c r="D11" s="808"/>
      <c r="E11" s="808"/>
      <c r="F11" s="808"/>
      <c r="G11" s="808"/>
      <c r="H11" s="808"/>
      <c r="I11" s="808"/>
      <c r="J11" s="808"/>
      <c r="K11" s="809"/>
    </row>
    <row r="12" spans="1:11" ht="27" customHeight="1" thickBot="1" x14ac:dyDescent="0.35">
      <c r="B12" s="360" t="s">
        <v>597</v>
      </c>
      <c r="C12" s="810" t="s">
        <v>1425</v>
      </c>
      <c r="D12" s="810"/>
      <c r="E12" s="810"/>
      <c r="F12" s="810"/>
      <c r="G12" s="810"/>
      <c r="H12" s="810"/>
      <c r="I12" s="810"/>
      <c r="J12" s="810"/>
      <c r="K12" s="811"/>
    </row>
    <row r="13" spans="1:11" ht="13.8" thickBot="1" x14ac:dyDescent="0.35">
      <c r="B13" s="807" t="s">
        <v>1109</v>
      </c>
      <c r="C13" s="808"/>
      <c r="D13" s="808"/>
      <c r="E13" s="808"/>
      <c r="F13" s="808"/>
      <c r="G13" s="808"/>
      <c r="H13" s="808"/>
      <c r="I13" s="808"/>
      <c r="J13" s="808"/>
      <c r="K13" s="809"/>
    </row>
    <row r="14" spans="1:11" x14ac:dyDescent="0.3">
      <c r="B14" s="361" t="s">
        <v>1110</v>
      </c>
      <c r="C14" s="812" t="s">
        <v>1111</v>
      </c>
      <c r="D14" s="812"/>
      <c r="E14" s="812"/>
      <c r="F14" s="812"/>
      <c r="G14" s="812"/>
      <c r="H14" s="812"/>
      <c r="I14" s="812"/>
      <c r="J14" s="812"/>
      <c r="K14" s="362" t="s">
        <v>35</v>
      </c>
    </row>
    <row r="15" spans="1:11" x14ac:dyDescent="0.3">
      <c r="A15" s="352"/>
      <c r="B15" s="363"/>
      <c r="C15" s="804" t="s">
        <v>1206</v>
      </c>
      <c r="D15" s="805"/>
      <c r="E15" s="805"/>
      <c r="F15" s="805"/>
      <c r="G15" s="805"/>
      <c r="H15" s="805"/>
      <c r="I15" s="805"/>
      <c r="J15" s="806"/>
      <c r="K15" s="364"/>
    </row>
    <row r="16" spans="1:11" x14ac:dyDescent="0.3">
      <c r="B16" s="365" t="s">
        <v>1112</v>
      </c>
      <c r="C16" s="813" t="s">
        <v>1118</v>
      </c>
      <c r="D16" s="813"/>
      <c r="E16" s="813"/>
      <c r="F16" s="813"/>
      <c r="G16" s="813"/>
      <c r="H16" s="813"/>
      <c r="I16" s="813"/>
      <c r="J16" s="813"/>
      <c r="K16" s="366" t="s">
        <v>35</v>
      </c>
    </row>
    <row r="17" spans="1:11" x14ac:dyDescent="0.3">
      <c r="B17" s="365" t="s">
        <v>1113</v>
      </c>
      <c r="C17" s="813" t="s">
        <v>1119</v>
      </c>
      <c r="D17" s="813"/>
      <c r="E17" s="813"/>
      <c r="F17" s="813"/>
      <c r="G17" s="813"/>
      <c r="H17" s="813"/>
      <c r="I17" s="813"/>
      <c r="J17" s="813"/>
      <c r="K17" s="366" t="s">
        <v>35</v>
      </c>
    </row>
    <row r="18" spans="1:11" x14ac:dyDescent="0.3">
      <c r="B18" s="365" t="s">
        <v>1114</v>
      </c>
      <c r="C18" s="813" t="s">
        <v>1120</v>
      </c>
      <c r="D18" s="813"/>
      <c r="E18" s="813"/>
      <c r="F18" s="813"/>
      <c r="G18" s="813"/>
      <c r="H18" s="813"/>
      <c r="I18" s="813"/>
      <c r="J18" s="813"/>
      <c r="K18" s="366" t="s">
        <v>35</v>
      </c>
    </row>
    <row r="19" spans="1:11" ht="27" customHeight="1" x14ac:dyDescent="0.3">
      <c r="B19" s="365" t="s">
        <v>1115</v>
      </c>
      <c r="C19" s="813" t="s">
        <v>1121</v>
      </c>
      <c r="D19" s="813"/>
      <c r="E19" s="813"/>
      <c r="F19" s="813"/>
      <c r="G19" s="813"/>
      <c r="H19" s="813"/>
      <c r="I19" s="813"/>
      <c r="J19" s="813"/>
      <c r="K19" s="366" t="s">
        <v>35</v>
      </c>
    </row>
    <row r="20" spans="1:11" x14ac:dyDescent="0.3">
      <c r="B20" s="365" t="s">
        <v>1116</v>
      </c>
      <c r="C20" s="813" t="s">
        <v>1272</v>
      </c>
      <c r="D20" s="813"/>
      <c r="E20" s="813"/>
      <c r="F20" s="813"/>
      <c r="G20" s="813"/>
      <c r="H20" s="813"/>
      <c r="I20" s="813"/>
      <c r="J20" s="813"/>
      <c r="K20" s="366" t="s">
        <v>35</v>
      </c>
    </row>
    <row r="21" spans="1:11" ht="13.8" thickBot="1" x14ac:dyDescent="0.35">
      <c r="B21" s="367" t="s">
        <v>1117</v>
      </c>
      <c r="C21" s="831" t="s">
        <v>1122</v>
      </c>
      <c r="D21" s="831"/>
      <c r="E21" s="831"/>
      <c r="F21" s="831"/>
      <c r="G21" s="831"/>
      <c r="H21" s="831"/>
      <c r="I21" s="831"/>
      <c r="J21" s="831"/>
      <c r="K21" s="368" t="s">
        <v>35</v>
      </c>
    </row>
    <row r="22" spans="1:11" ht="13.8" thickBot="1" x14ac:dyDescent="0.35">
      <c r="B22" s="369"/>
      <c r="C22" s="833" t="s">
        <v>1123</v>
      </c>
      <c r="D22" s="833"/>
      <c r="E22" s="833"/>
      <c r="F22" s="833"/>
      <c r="G22" s="833"/>
      <c r="H22" s="833"/>
      <c r="I22" s="833"/>
      <c r="J22" s="833"/>
      <c r="K22" s="370" t="str">
        <f>IF(OR(K14="Yes",K16="Yes",K17="Yes",K18="Yes",K19="Yes",K20="Yes",K21="Yes"),"Yes","No")</f>
        <v>No</v>
      </c>
    </row>
    <row r="23" spans="1:11" ht="13.8" thickBot="1" x14ac:dyDescent="0.35">
      <c r="B23" s="834" t="s">
        <v>1061</v>
      </c>
      <c r="C23" s="834"/>
      <c r="D23" s="834"/>
      <c r="E23" s="834"/>
      <c r="F23" s="834"/>
      <c r="G23" s="834" t="s">
        <v>1062</v>
      </c>
      <c r="H23" s="834"/>
      <c r="I23" s="834"/>
      <c r="J23" s="834"/>
      <c r="K23" s="834"/>
    </row>
    <row r="24" spans="1:11"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1:11" ht="13.8" thickBot="1" x14ac:dyDescent="0.35">
      <c r="B25" s="433" t="s">
        <v>619</v>
      </c>
      <c r="C25" s="434" t="s">
        <v>619</v>
      </c>
      <c r="D25" s="434" t="s">
        <v>619</v>
      </c>
      <c r="E25" s="434" t="s">
        <v>619</v>
      </c>
      <c r="F25" s="435" t="s">
        <v>619</v>
      </c>
      <c r="G25" s="435" t="s">
        <v>619</v>
      </c>
      <c r="H25" s="434" t="s">
        <v>621</v>
      </c>
      <c r="I25" s="434" t="s">
        <v>621</v>
      </c>
      <c r="J25" s="434" t="s">
        <v>621</v>
      </c>
      <c r="K25" s="435" t="s">
        <v>621</v>
      </c>
    </row>
    <row r="26" spans="1:11" ht="13.8" thickBot="1" x14ac:dyDescent="0.35">
      <c r="B26" s="807" t="s">
        <v>1068</v>
      </c>
      <c r="C26" s="808"/>
      <c r="D26" s="808"/>
      <c r="E26" s="808"/>
      <c r="F26" s="808"/>
      <c r="G26" s="808"/>
      <c r="H26" s="808"/>
      <c r="I26" s="808"/>
      <c r="J26" s="808"/>
      <c r="K26" s="809"/>
    </row>
    <row r="27" spans="1:11" ht="27" thickBot="1" x14ac:dyDescent="0.35">
      <c r="B27" s="437" t="s">
        <v>1124</v>
      </c>
      <c r="C27" s="867" t="s">
        <v>31</v>
      </c>
      <c r="D27" s="867"/>
      <c r="E27" s="867"/>
      <c r="F27" s="867"/>
      <c r="G27" s="867"/>
      <c r="H27" s="867"/>
      <c r="I27" s="438" t="s">
        <v>1125</v>
      </c>
      <c r="J27" s="868" t="s">
        <v>1074</v>
      </c>
      <c r="K27" s="869"/>
    </row>
    <row r="28" spans="1:11" ht="27" customHeight="1" x14ac:dyDescent="0.3">
      <c r="B28" s="361" t="s">
        <v>648</v>
      </c>
      <c r="C28" s="812" t="s">
        <v>1156</v>
      </c>
      <c r="D28" s="812"/>
      <c r="E28" s="812"/>
      <c r="F28" s="812"/>
      <c r="G28" s="812"/>
      <c r="H28" s="812"/>
      <c r="I28" s="385" t="s">
        <v>37</v>
      </c>
      <c r="J28" s="846" t="s">
        <v>1797</v>
      </c>
      <c r="K28" s="847"/>
    </row>
    <row r="29" spans="1:11" ht="27" customHeight="1" x14ac:dyDescent="0.3">
      <c r="B29" s="365" t="s">
        <v>649</v>
      </c>
      <c r="C29" s="813" t="s">
        <v>921</v>
      </c>
      <c r="D29" s="813"/>
      <c r="E29" s="813"/>
      <c r="F29" s="813"/>
      <c r="G29" s="813"/>
      <c r="H29" s="813"/>
      <c r="I29" s="422" t="s">
        <v>35</v>
      </c>
      <c r="J29" s="813" t="s">
        <v>863</v>
      </c>
      <c r="K29" s="845"/>
    </row>
    <row r="30" spans="1:11" ht="39.9" customHeight="1" x14ac:dyDescent="0.3">
      <c r="A30" s="425"/>
      <c r="B30" s="365" t="s">
        <v>650</v>
      </c>
      <c r="C30" s="813" t="s">
        <v>1089</v>
      </c>
      <c r="D30" s="813"/>
      <c r="E30" s="813"/>
      <c r="F30" s="813"/>
      <c r="G30" s="813"/>
      <c r="H30" s="813"/>
      <c r="I30" s="422" t="s">
        <v>35</v>
      </c>
      <c r="J30" s="813" t="s">
        <v>863</v>
      </c>
      <c r="K30" s="845"/>
    </row>
    <row r="31" spans="1:11" ht="27" customHeight="1" thickBot="1" x14ac:dyDescent="0.35">
      <c r="B31" s="367" t="s">
        <v>1234</v>
      </c>
      <c r="C31" s="831" t="s">
        <v>1235</v>
      </c>
      <c r="D31" s="831"/>
      <c r="E31" s="831"/>
      <c r="F31" s="831"/>
      <c r="G31" s="831"/>
      <c r="H31" s="831"/>
      <c r="I31" s="386" t="s">
        <v>35</v>
      </c>
      <c r="J31" s="831" t="s">
        <v>863</v>
      </c>
      <c r="K31" s="832"/>
    </row>
    <row r="32" spans="1:11" ht="27" thickBot="1" x14ac:dyDescent="0.35">
      <c r="B32" s="439" t="s">
        <v>1072</v>
      </c>
      <c r="C32" s="870" t="s">
        <v>1108</v>
      </c>
      <c r="D32" s="871"/>
      <c r="E32" s="439" t="s">
        <v>1070</v>
      </c>
      <c r="F32" s="421" t="s">
        <v>1136</v>
      </c>
      <c r="G32" s="887" t="s">
        <v>1131</v>
      </c>
      <c r="H32" s="888"/>
      <c r="I32" s="439" t="s">
        <v>1130</v>
      </c>
      <c r="J32" s="870" t="s">
        <v>1133</v>
      </c>
      <c r="K32" s="871"/>
    </row>
    <row r="33" spans="1:11" ht="13.8" thickBot="1" x14ac:dyDescent="0.35">
      <c r="B33" s="824" t="s">
        <v>1076</v>
      </c>
      <c r="C33" s="825"/>
      <c r="D33" s="825"/>
      <c r="E33" s="825"/>
      <c r="F33" s="825"/>
      <c r="G33" s="825"/>
      <c r="H33" s="825"/>
      <c r="I33" s="825"/>
      <c r="J33" s="825"/>
      <c r="K33" s="826"/>
    </row>
    <row r="34" spans="1:11" ht="27" customHeight="1" thickBot="1" x14ac:dyDescent="0.35">
      <c r="B34" s="382" t="s">
        <v>648</v>
      </c>
      <c r="C34" s="830" t="s">
        <v>1823</v>
      </c>
      <c r="D34" s="816"/>
      <c r="E34" s="816"/>
      <c r="F34" s="816"/>
      <c r="G34" s="816"/>
      <c r="H34" s="816"/>
      <c r="I34" s="816"/>
      <c r="J34" s="816"/>
      <c r="K34" s="817"/>
    </row>
    <row r="35" spans="1:11" ht="13.8" thickBot="1" x14ac:dyDescent="0.35">
      <c r="B35" s="824" t="s">
        <v>1077</v>
      </c>
      <c r="C35" s="825"/>
      <c r="D35" s="825"/>
      <c r="E35" s="825"/>
      <c r="F35" s="825"/>
      <c r="G35" s="825"/>
      <c r="H35" s="825"/>
      <c r="I35" s="825"/>
      <c r="J35" s="825"/>
      <c r="K35" s="826"/>
    </row>
    <row r="36" spans="1:11" x14ac:dyDescent="0.3">
      <c r="B36" s="361" t="s">
        <v>700</v>
      </c>
      <c r="C36" s="951" t="s">
        <v>192</v>
      </c>
      <c r="D36" s="951"/>
      <c r="E36" s="951"/>
      <c r="F36" s="951"/>
      <c r="G36" s="951"/>
      <c r="H36" s="951"/>
      <c r="I36" s="951"/>
      <c r="J36" s="951"/>
      <c r="K36" s="952"/>
    </row>
    <row r="37" spans="1:11" x14ac:dyDescent="0.3">
      <c r="B37" s="365" t="s">
        <v>701</v>
      </c>
      <c r="C37" s="813" t="s">
        <v>1824</v>
      </c>
      <c r="D37" s="813"/>
      <c r="E37" s="813"/>
      <c r="F37" s="813"/>
      <c r="G37" s="813"/>
      <c r="H37" s="813"/>
      <c r="I37" s="813"/>
      <c r="J37" s="813"/>
      <c r="K37" s="845"/>
    </row>
    <row r="38" spans="1:11" ht="27" customHeight="1" thickBot="1" x14ac:dyDescent="0.35">
      <c r="B38" s="423" t="s">
        <v>702</v>
      </c>
      <c r="C38" s="767" t="s">
        <v>1157</v>
      </c>
      <c r="D38" s="767"/>
      <c r="E38" s="767"/>
      <c r="F38" s="767"/>
      <c r="G38" s="767"/>
      <c r="H38" s="767"/>
      <c r="I38" s="767"/>
      <c r="J38" s="767"/>
      <c r="K38" s="875"/>
    </row>
    <row r="39" spans="1:11" ht="13.8" thickBot="1" x14ac:dyDescent="0.35">
      <c r="B39" s="824" t="s">
        <v>1139</v>
      </c>
      <c r="C39" s="825"/>
      <c r="D39" s="825"/>
      <c r="E39" s="825"/>
      <c r="F39" s="825"/>
      <c r="G39" s="825"/>
      <c r="H39" s="825"/>
      <c r="I39" s="825"/>
      <c r="J39" s="825"/>
      <c r="K39" s="826"/>
    </row>
    <row r="40" spans="1:11" ht="13.8" thickBot="1" x14ac:dyDescent="0.35">
      <c r="B40" s="360" t="s">
        <v>863</v>
      </c>
      <c r="C40" s="835" t="s">
        <v>1140</v>
      </c>
      <c r="D40" s="835"/>
      <c r="E40" s="835"/>
      <c r="F40" s="835"/>
      <c r="G40" s="835"/>
      <c r="H40" s="835"/>
      <c r="I40" s="835"/>
      <c r="J40" s="835"/>
      <c r="K40" s="836"/>
    </row>
    <row r="42" spans="1:11" ht="13.8" thickBot="1" x14ac:dyDescent="0.35"/>
    <row r="43" spans="1:11" ht="13.8" thickBot="1" x14ac:dyDescent="0.35">
      <c r="B43" s="807" t="s">
        <v>1060</v>
      </c>
      <c r="C43" s="808"/>
      <c r="D43" s="808"/>
      <c r="E43" s="808"/>
      <c r="F43" s="808"/>
      <c r="G43" s="808"/>
      <c r="H43" s="808"/>
      <c r="I43" s="808"/>
      <c r="J43" s="808"/>
      <c r="K43" s="809"/>
    </row>
    <row r="44" spans="1:11" ht="13.8" thickBot="1" x14ac:dyDescent="0.35">
      <c r="B44" s="360" t="s">
        <v>598</v>
      </c>
      <c r="C44" s="810" t="s">
        <v>1187</v>
      </c>
      <c r="D44" s="810"/>
      <c r="E44" s="810"/>
      <c r="F44" s="810"/>
      <c r="G44" s="810"/>
      <c r="H44" s="810"/>
      <c r="I44" s="810"/>
      <c r="J44" s="810"/>
      <c r="K44" s="811"/>
    </row>
    <row r="45" spans="1:11" ht="13.8" thickBot="1" x14ac:dyDescent="0.35">
      <c r="B45" s="807" t="s">
        <v>1109</v>
      </c>
      <c r="C45" s="808"/>
      <c r="D45" s="808"/>
      <c r="E45" s="808"/>
      <c r="F45" s="808"/>
      <c r="G45" s="808"/>
      <c r="H45" s="808"/>
      <c r="I45" s="808"/>
      <c r="J45" s="808"/>
      <c r="K45" s="809"/>
    </row>
    <row r="46" spans="1:11" x14ac:dyDescent="0.3">
      <c r="B46" s="361" t="s">
        <v>1110</v>
      </c>
      <c r="C46" s="812" t="s">
        <v>1111</v>
      </c>
      <c r="D46" s="812"/>
      <c r="E46" s="812"/>
      <c r="F46" s="812"/>
      <c r="G46" s="812"/>
      <c r="H46" s="812"/>
      <c r="I46" s="812"/>
      <c r="J46" s="812"/>
      <c r="K46" s="362" t="s">
        <v>35</v>
      </c>
    </row>
    <row r="47" spans="1:11" x14ac:dyDescent="0.3">
      <c r="A47" s="352"/>
      <c r="B47" s="363"/>
      <c r="C47" s="804" t="s">
        <v>1206</v>
      </c>
      <c r="D47" s="805"/>
      <c r="E47" s="805"/>
      <c r="F47" s="805"/>
      <c r="G47" s="805"/>
      <c r="H47" s="805"/>
      <c r="I47" s="805"/>
      <c r="J47" s="806"/>
      <c r="K47" s="364"/>
    </row>
    <row r="48" spans="1:11" x14ac:dyDescent="0.3">
      <c r="B48" s="365" t="s">
        <v>1112</v>
      </c>
      <c r="C48" s="813" t="s">
        <v>1118</v>
      </c>
      <c r="D48" s="813"/>
      <c r="E48" s="813"/>
      <c r="F48" s="813"/>
      <c r="G48" s="813"/>
      <c r="H48" s="813"/>
      <c r="I48" s="813"/>
      <c r="J48" s="813"/>
      <c r="K48" s="366" t="s">
        <v>35</v>
      </c>
    </row>
    <row r="49" spans="2:13" x14ac:dyDescent="0.3">
      <c r="B49" s="365" t="s">
        <v>1113</v>
      </c>
      <c r="C49" s="813" t="s">
        <v>1119</v>
      </c>
      <c r="D49" s="813"/>
      <c r="E49" s="813"/>
      <c r="F49" s="813"/>
      <c r="G49" s="813"/>
      <c r="H49" s="813"/>
      <c r="I49" s="813"/>
      <c r="J49" s="813"/>
      <c r="K49" s="366" t="s">
        <v>35</v>
      </c>
    </row>
    <row r="50" spans="2:13" x14ac:dyDescent="0.3">
      <c r="B50" s="365" t="s">
        <v>1114</v>
      </c>
      <c r="C50" s="813" t="s">
        <v>1120</v>
      </c>
      <c r="D50" s="813"/>
      <c r="E50" s="813"/>
      <c r="F50" s="813"/>
      <c r="G50" s="813"/>
      <c r="H50" s="813"/>
      <c r="I50" s="813"/>
      <c r="J50" s="813"/>
      <c r="K50" s="366" t="s">
        <v>35</v>
      </c>
    </row>
    <row r="51" spans="2:13" ht="27" customHeight="1" x14ac:dyDescent="0.3">
      <c r="B51" s="365" t="s">
        <v>1115</v>
      </c>
      <c r="C51" s="813" t="s">
        <v>1121</v>
      </c>
      <c r="D51" s="813"/>
      <c r="E51" s="813"/>
      <c r="F51" s="813"/>
      <c r="G51" s="813"/>
      <c r="H51" s="813"/>
      <c r="I51" s="813"/>
      <c r="J51" s="813"/>
      <c r="K51" s="366" t="s">
        <v>35</v>
      </c>
    </row>
    <row r="52" spans="2:13" x14ac:dyDescent="0.3">
      <c r="B52" s="365" t="s">
        <v>1116</v>
      </c>
      <c r="C52" s="813" t="s">
        <v>1272</v>
      </c>
      <c r="D52" s="813"/>
      <c r="E52" s="813"/>
      <c r="F52" s="813"/>
      <c r="G52" s="813"/>
      <c r="H52" s="813"/>
      <c r="I52" s="813"/>
      <c r="J52" s="813"/>
      <c r="K52" s="366" t="s">
        <v>35</v>
      </c>
    </row>
    <row r="53" spans="2:13" ht="13.8" thickBot="1" x14ac:dyDescent="0.35">
      <c r="B53" s="367" t="s">
        <v>1117</v>
      </c>
      <c r="C53" s="831" t="s">
        <v>1122</v>
      </c>
      <c r="D53" s="831"/>
      <c r="E53" s="831"/>
      <c r="F53" s="831"/>
      <c r="G53" s="831"/>
      <c r="H53" s="831"/>
      <c r="I53" s="831"/>
      <c r="J53" s="831"/>
      <c r="K53" s="368" t="s">
        <v>35</v>
      </c>
    </row>
    <row r="54" spans="2:13" ht="13.8" thickBot="1" x14ac:dyDescent="0.35">
      <c r="B54" s="369"/>
      <c r="C54" s="833" t="s">
        <v>1123</v>
      </c>
      <c r="D54" s="833"/>
      <c r="E54" s="833"/>
      <c r="F54" s="833"/>
      <c r="G54" s="833"/>
      <c r="H54" s="833"/>
      <c r="I54" s="833"/>
      <c r="J54" s="833"/>
      <c r="K54" s="370" t="str">
        <f>IF(OR(K46="Yes",K48="Yes",K49="Yes",K50="Yes",K51="Yes",K52="Yes",K53="Yes"),"Yes","No")</f>
        <v>No</v>
      </c>
    </row>
    <row r="55" spans="2:13" ht="13.8" thickBot="1" x14ac:dyDescent="0.35">
      <c r="B55" s="834" t="s">
        <v>1061</v>
      </c>
      <c r="C55" s="834"/>
      <c r="D55" s="834"/>
      <c r="E55" s="834"/>
      <c r="F55" s="834"/>
      <c r="G55" s="834" t="s">
        <v>1062</v>
      </c>
      <c r="H55" s="834"/>
      <c r="I55" s="834"/>
      <c r="J55" s="834"/>
      <c r="K55" s="834"/>
    </row>
    <row r="56" spans="2:13" ht="27" thickBot="1" x14ac:dyDescent="0.35">
      <c r="B56" s="371" t="s">
        <v>26</v>
      </c>
      <c r="C56" s="372" t="s">
        <v>553</v>
      </c>
      <c r="D56" s="372" t="s">
        <v>19</v>
      </c>
      <c r="E56" s="372" t="s">
        <v>25</v>
      </c>
      <c r="F56" s="373" t="s">
        <v>554</v>
      </c>
      <c r="G56" s="374" t="s">
        <v>1063</v>
      </c>
      <c r="H56" s="372" t="s">
        <v>1064</v>
      </c>
      <c r="I56" s="375" t="s">
        <v>1065</v>
      </c>
      <c r="J56" s="375" t="s">
        <v>1066</v>
      </c>
      <c r="K56" s="376" t="s">
        <v>1067</v>
      </c>
    </row>
    <row r="57" spans="2:13" ht="13.8" thickBot="1" x14ac:dyDescent="0.35">
      <c r="B57" s="433" t="s">
        <v>619</v>
      </c>
      <c r="C57" s="434" t="s">
        <v>619</v>
      </c>
      <c r="D57" s="434" t="s">
        <v>619</v>
      </c>
      <c r="E57" s="434" t="s">
        <v>621</v>
      </c>
      <c r="F57" s="435" t="s">
        <v>621</v>
      </c>
      <c r="G57" s="435" t="s">
        <v>619</v>
      </c>
      <c r="H57" s="434" t="s">
        <v>621</v>
      </c>
      <c r="I57" s="434" t="s">
        <v>621</v>
      </c>
      <c r="J57" s="434" t="s">
        <v>621</v>
      </c>
      <c r="K57" s="435" t="s">
        <v>621</v>
      </c>
    </row>
    <row r="58" spans="2:13" ht="13.8" thickBot="1" x14ac:dyDescent="0.35">
      <c r="B58" s="807" t="s">
        <v>1068</v>
      </c>
      <c r="C58" s="808"/>
      <c r="D58" s="808"/>
      <c r="E58" s="808"/>
      <c r="F58" s="808"/>
      <c r="G58" s="808"/>
      <c r="H58" s="808"/>
      <c r="I58" s="808"/>
      <c r="J58" s="808"/>
      <c r="K58" s="809"/>
    </row>
    <row r="59" spans="2:13" ht="27" thickBot="1" x14ac:dyDescent="0.35">
      <c r="B59" s="437" t="s">
        <v>1124</v>
      </c>
      <c r="C59" s="867" t="s">
        <v>31</v>
      </c>
      <c r="D59" s="867"/>
      <c r="E59" s="867"/>
      <c r="F59" s="867"/>
      <c r="G59" s="867"/>
      <c r="H59" s="867"/>
      <c r="I59" s="438" t="s">
        <v>1125</v>
      </c>
      <c r="J59" s="868" t="s">
        <v>1074</v>
      </c>
      <c r="K59" s="869"/>
    </row>
    <row r="60" spans="2:13" ht="27" customHeight="1" x14ac:dyDescent="0.3">
      <c r="B60" s="361" t="s">
        <v>649</v>
      </c>
      <c r="C60" s="812" t="s">
        <v>921</v>
      </c>
      <c r="D60" s="812"/>
      <c r="E60" s="812"/>
      <c r="F60" s="812"/>
      <c r="G60" s="812"/>
      <c r="H60" s="812"/>
      <c r="I60" s="385" t="s">
        <v>35</v>
      </c>
      <c r="J60" s="812" t="s">
        <v>863</v>
      </c>
      <c r="K60" s="853"/>
    </row>
    <row r="61" spans="2:13" ht="39.9" customHeight="1" thickBot="1" x14ac:dyDescent="0.35">
      <c r="B61" s="367" t="s">
        <v>650</v>
      </c>
      <c r="C61" s="831" t="s">
        <v>1089</v>
      </c>
      <c r="D61" s="831"/>
      <c r="E61" s="831"/>
      <c r="F61" s="831"/>
      <c r="G61" s="831"/>
      <c r="H61" s="831"/>
      <c r="I61" s="386" t="s">
        <v>35</v>
      </c>
      <c r="J61" s="831" t="s">
        <v>863</v>
      </c>
      <c r="K61" s="832"/>
    </row>
    <row r="62" spans="2:13" ht="27" thickBot="1" x14ac:dyDescent="0.35">
      <c r="B62" s="439" t="s">
        <v>1072</v>
      </c>
      <c r="C62" s="1100" t="s">
        <v>1261</v>
      </c>
      <c r="D62" s="1101"/>
      <c r="E62" s="439" t="s">
        <v>1070</v>
      </c>
      <c r="F62" s="421" t="s">
        <v>1136</v>
      </c>
      <c r="G62" s="887" t="s">
        <v>1131</v>
      </c>
      <c r="H62" s="888"/>
      <c r="I62" s="439" t="s">
        <v>1130</v>
      </c>
      <c r="J62" s="870" t="s">
        <v>1133</v>
      </c>
      <c r="K62" s="871"/>
      <c r="M62" s="290" t="s">
        <v>1825</v>
      </c>
    </row>
    <row r="63" spans="2:13" ht="13.8" thickBot="1" x14ac:dyDescent="0.35">
      <c r="B63" s="824" t="s">
        <v>1076</v>
      </c>
      <c r="C63" s="825"/>
      <c r="D63" s="825"/>
      <c r="E63" s="825"/>
      <c r="F63" s="825"/>
      <c r="G63" s="825"/>
      <c r="H63" s="825"/>
      <c r="I63" s="825"/>
      <c r="J63" s="825"/>
      <c r="K63" s="826"/>
    </row>
    <row r="64" spans="2:13" ht="13.8" thickBot="1" x14ac:dyDescent="0.35">
      <c r="B64" s="382" t="s">
        <v>863</v>
      </c>
      <c r="C64" s="830" t="s">
        <v>863</v>
      </c>
      <c r="D64" s="816"/>
      <c r="E64" s="816"/>
      <c r="F64" s="816"/>
      <c r="G64" s="816"/>
      <c r="H64" s="816"/>
      <c r="I64" s="816"/>
      <c r="J64" s="816"/>
      <c r="K64" s="817"/>
    </row>
    <row r="65" spans="1:20" ht="13.8" thickBot="1" x14ac:dyDescent="0.35">
      <c r="B65" s="824" t="s">
        <v>1077</v>
      </c>
      <c r="C65" s="825"/>
      <c r="D65" s="825"/>
      <c r="E65" s="825"/>
      <c r="F65" s="825"/>
      <c r="G65" s="825"/>
      <c r="H65" s="825"/>
      <c r="I65" s="825"/>
      <c r="J65" s="825"/>
      <c r="K65" s="826"/>
    </row>
    <row r="66" spans="1:20" x14ac:dyDescent="0.3">
      <c r="B66" s="365" t="s">
        <v>701</v>
      </c>
      <c r="C66" s="813" t="s">
        <v>1824</v>
      </c>
      <c r="D66" s="813"/>
      <c r="E66" s="813"/>
      <c r="F66" s="813"/>
      <c r="G66" s="813"/>
      <c r="H66" s="813"/>
      <c r="I66" s="813"/>
      <c r="J66" s="813"/>
      <c r="K66" s="845"/>
    </row>
    <row r="67" spans="1:20" ht="27" customHeight="1" x14ac:dyDescent="0.3">
      <c r="B67" s="423" t="s">
        <v>702</v>
      </c>
      <c r="C67" s="767" t="s">
        <v>1157</v>
      </c>
      <c r="D67" s="767"/>
      <c r="E67" s="767"/>
      <c r="F67" s="767"/>
      <c r="G67" s="767"/>
      <c r="H67" s="767"/>
      <c r="I67" s="767"/>
      <c r="J67" s="767"/>
      <c r="K67" s="875"/>
    </row>
    <row r="68" spans="1:20" ht="27" customHeight="1" thickBot="1" x14ac:dyDescent="0.35">
      <c r="B68" s="367" t="s">
        <v>703</v>
      </c>
      <c r="C68" s="831" t="s">
        <v>1232</v>
      </c>
      <c r="D68" s="831"/>
      <c r="E68" s="831"/>
      <c r="F68" s="831"/>
      <c r="G68" s="831"/>
      <c r="H68" s="831"/>
      <c r="I68" s="831"/>
      <c r="J68" s="831"/>
      <c r="K68" s="832"/>
    </row>
    <row r="69" spans="1:20" ht="13.8" thickBot="1" x14ac:dyDescent="0.35">
      <c r="B69" s="824" t="s">
        <v>1139</v>
      </c>
      <c r="C69" s="825"/>
      <c r="D69" s="825"/>
      <c r="E69" s="825"/>
      <c r="F69" s="825"/>
      <c r="G69" s="825"/>
      <c r="H69" s="825"/>
      <c r="I69" s="825"/>
      <c r="J69" s="825"/>
      <c r="K69" s="826"/>
    </row>
    <row r="70" spans="1:20" ht="13.8" thickBot="1" x14ac:dyDescent="0.35">
      <c r="B70" s="360" t="s">
        <v>863</v>
      </c>
      <c r="C70" s="835" t="s">
        <v>1140</v>
      </c>
      <c r="D70" s="835"/>
      <c r="E70" s="835"/>
      <c r="F70" s="835"/>
      <c r="G70" s="835"/>
      <c r="H70" s="835"/>
      <c r="I70" s="835"/>
      <c r="J70" s="835"/>
      <c r="K70" s="836"/>
    </row>
    <row r="73" spans="1:20" ht="13.8" thickBot="1" x14ac:dyDescent="0.35">
      <c r="A73" s="412" t="s">
        <v>1090</v>
      </c>
      <c r="B73" s="426" t="s">
        <v>532</v>
      </c>
      <c r="C73" s="414"/>
      <c r="D73" s="414"/>
      <c r="E73" s="414"/>
      <c r="F73" s="414"/>
      <c r="G73" s="414"/>
      <c r="H73" s="414"/>
      <c r="I73" s="414"/>
      <c r="J73" s="414"/>
      <c r="K73" s="414"/>
      <c r="L73" s="414"/>
      <c r="M73" s="414"/>
      <c r="N73" s="414"/>
      <c r="O73" s="414"/>
      <c r="P73" s="414"/>
      <c r="Q73" s="414"/>
      <c r="R73" s="414"/>
      <c r="S73" s="414"/>
      <c r="T73" s="414"/>
    </row>
    <row r="74" spans="1:20" ht="13.8" thickBot="1" x14ac:dyDescent="0.35">
      <c r="B74" s="807" t="s">
        <v>1060</v>
      </c>
      <c r="C74" s="808"/>
      <c r="D74" s="808"/>
      <c r="E74" s="808"/>
      <c r="F74" s="808"/>
      <c r="G74" s="808"/>
      <c r="H74" s="808"/>
      <c r="I74" s="808"/>
      <c r="J74" s="808"/>
      <c r="K74" s="809"/>
    </row>
    <row r="75" spans="1:20" ht="13.8" thickBot="1" x14ac:dyDescent="0.35">
      <c r="B75" s="360" t="s">
        <v>599</v>
      </c>
      <c r="C75" s="810" t="s">
        <v>920</v>
      </c>
      <c r="D75" s="810"/>
      <c r="E75" s="810"/>
      <c r="F75" s="810"/>
      <c r="G75" s="810"/>
      <c r="H75" s="810"/>
      <c r="I75" s="810"/>
      <c r="J75" s="810"/>
      <c r="K75" s="811"/>
    </row>
    <row r="76" spans="1:20" ht="13.8" thickBot="1" x14ac:dyDescent="0.35">
      <c r="B76" s="807" t="s">
        <v>1109</v>
      </c>
      <c r="C76" s="808"/>
      <c r="D76" s="808"/>
      <c r="E76" s="808"/>
      <c r="F76" s="808"/>
      <c r="G76" s="808"/>
      <c r="H76" s="808"/>
      <c r="I76" s="808"/>
      <c r="J76" s="808"/>
      <c r="K76" s="809"/>
    </row>
    <row r="77" spans="1:20" x14ac:dyDescent="0.3">
      <c r="B77" s="361" t="s">
        <v>1110</v>
      </c>
      <c r="C77" s="812" t="s">
        <v>1111</v>
      </c>
      <c r="D77" s="812"/>
      <c r="E77" s="812"/>
      <c r="F77" s="812"/>
      <c r="G77" s="812"/>
      <c r="H77" s="812"/>
      <c r="I77" s="812"/>
      <c r="J77" s="812"/>
      <c r="K77" s="362" t="s">
        <v>35</v>
      </c>
    </row>
    <row r="78" spans="1:20" x14ac:dyDescent="0.3">
      <c r="A78" s="352"/>
      <c r="B78" s="363"/>
      <c r="C78" s="804" t="s">
        <v>1206</v>
      </c>
      <c r="D78" s="805"/>
      <c r="E78" s="805"/>
      <c r="F78" s="805"/>
      <c r="G78" s="805"/>
      <c r="H78" s="805"/>
      <c r="I78" s="805"/>
      <c r="J78" s="806"/>
      <c r="K78" s="364"/>
    </row>
    <row r="79" spans="1:20" x14ac:dyDescent="0.3">
      <c r="B79" s="365" t="s">
        <v>1112</v>
      </c>
      <c r="C79" s="813" t="s">
        <v>1118</v>
      </c>
      <c r="D79" s="813"/>
      <c r="E79" s="813"/>
      <c r="F79" s="813"/>
      <c r="G79" s="813"/>
      <c r="H79" s="813"/>
      <c r="I79" s="813"/>
      <c r="J79" s="813"/>
      <c r="K79" s="366" t="s">
        <v>35</v>
      </c>
    </row>
    <row r="80" spans="1:20" x14ac:dyDescent="0.3">
      <c r="B80" s="365" t="s">
        <v>1113</v>
      </c>
      <c r="C80" s="813" t="s">
        <v>1119</v>
      </c>
      <c r="D80" s="813"/>
      <c r="E80" s="813"/>
      <c r="F80" s="813"/>
      <c r="G80" s="813"/>
      <c r="H80" s="813"/>
      <c r="I80" s="813"/>
      <c r="J80" s="813"/>
      <c r="K80" s="366" t="s">
        <v>35</v>
      </c>
    </row>
    <row r="81" spans="2:11" x14ac:dyDescent="0.3">
      <c r="B81" s="365" t="s">
        <v>1114</v>
      </c>
      <c r="C81" s="813" t="s">
        <v>1120</v>
      </c>
      <c r="D81" s="813"/>
      <c r="E81" s="813"/>
      <c r="F81" s="813"/>
      <c r="G81" s="813"/>
      <c r="H81" s="813"/>
      <c r="I81" s="813"/>
      <c r="J81" s="813"/>
      <c r="K81" s="366" t="s">
        <v>35</v>
      </c>
    </row>
    <row r="82" spans="2:11" ht="27" customHeight="1" x14ac:dyDescent="0.3">
      <c r="B82" s="365" t="s">
        <v>1115</v>
      </c>
      <c r="C82" s="813" t="s">
        <v>1121</v>
      </c>
      <c r="D82" s="813"/>
      <c r="E82" s="813"/>
      <c r="F82" s="813"/>
      <c r="G82" s="813"/>
      <c r="H82" s="813"/>
      <c r="I82" s="813"/>
      <c r="J82" s="813"/>
      <c r="K82" s="366" t="s">
        <v>35</v>
      </c>
    </row>
    <row r="83" spans="2:11" x14ac:dyDescent="0.3">
      <c r="B83" s="365" t="s">
        <v>1116</v>
      </c>
      <c r="C83" s="813" t="s">
        <v>1272</v>
      </c>
      <c r="D83" s="813"/>
      <c r="E83" s="813"/>
      <c r="F83" s="813"/>
      <c r="G83" s="813"/>
      <c r="H83" s="813"/>
      <c r="I83" s="813"/>
      <c r="J83" s="813"/>
      <c r="K83" s="366" t="s">
        <v>35</v>
      </c>
    </row>
    <row r="84" spans="2:11" ht="13.8" thickBot="1" x14ac:dyDescent="0.35">
      <c r="B84" s="367" t="s">
        <v>1117</v>
      </c>
      <c r="C84" s="831" t="s">
        <v>1122</v>
      </c>
      <c r="D84" s="831"/>
      <c r="E84" s="831"/>
      <c r="F84" s="831"/>
      <c r="G84" s="831"/>
      <c r="H84" s="831"/>
      <c r="I84" s="831"/>
      <c r="J84" s="831"/>
      <c r="K84" s="368" t="s">
        <v>35</v>
      </c>
    </row>
    <row r="85" spans="2:11" ht="13.8" thickBot="1" x14ac:dyDescent="0.35">
      <c r="B85" s="369"/>
      <c r="C85" s="833" t="s">
        <v>1123</v>
      </c>
      <c r="D85" s="833"/>
      <c r="E85" s="833"/>
      <c r="F85" s="833"/>
      <c r="G85" s="833"/>
      <c r="H85" s="833"/>
      <c r="I85" s="833"/>
      <c r="J85" s="833"/>
      <c r="K85" s="370" t="str">
        <f>IF(OR(K77="Yes",K79="Yes",K80="Yes",K81="Yes",K82="Yes",K83="Yes",K84="Yes"),"Yes","No")</f>
        <v>No</v>
      </c>
    </row>
    <row r="86" spans="2:11" ht="13.8" thickBot="1" x14ac:dyDescent="0.35">
      <c r="B86" s="834" t="s">
        <v>1061</v>
      </c>
      <c r="C86" s="834"/>
      <c r="D86" s="834"/>
      <c r="E86" s="834"/>
      <c r="F86" s="834"/>
      <c r="G86" s="834" t="s">
        <v>1062</v>
      </c>
      <c r="H86" s="834"/>
      <c r="I86" s="834"/>
      <c r="J86" s="834"/>
      <c r="K86" s="834"/>
    </row>
    <row r="87" spans="2:11" ht="27" thickBot="1" x14ac:dyDescent="0.35">
      <c r="B87" s="371" t="s">
        <v>26</v>
      </c>
      <c r="C87" s="372" t="s">
        <v>553</v>
      </c>
      <c r="D87" s="372" t="s">
        <v>19</v>
      </c>
      <c r="E87" s="372" t="s">
        <v>25</v>
      </c>
      <c r="F87" s="373" t="s">
        <v>554</v>
      </c>
      <c r="G87" s="374" t="s">
        <v>1063</v>
      </c>
      <c r="H87" s="372" t="s">
        <v>1064</v>
      </c>
      <c r="I87" s="375" t="s">
        <v>1065</v>
      </c>
      <c r="J87" s="375" t="s">
        <v>1066</v>
      </c>
      <c r="K87" s="376" t="s">
        <v>1067</v>
      </c>
    </row>
    <row r="88" spans="2:11" ht="13.8" thickBot="1" x14ac:dyDescent="0.35">
      <c r="B88" s="433" t="s">
        <v>619</v>
      </c>
      <c r="C88" s="434" t="s">
        <v>619</v>
      </c>
      <c r="D88" s="434" t="s">
        <v>621</v>
      </c>
      <c r="E88" s="434" t="s">
        <v>619</v>
      </c>
      <c r="F88" s="435" t="s">
        <v>621</v>
      </c>
      <c r="G88" s="435" t="s">
        <v>619</v>
      </c>
      <c r="H88" s="434" t="s">
        <v>621</v>
      </c>
      <c r="I88" s="434" t="s">
        <v>621</v>
      </c>
      <c r="J88" s="434" t="s">
        <v>621</v>
      </c>
      <c r="K88" s="435" t="s">
        <v>621</v>
      </c>
    </row>
    <row r="89" spans="2:11" ht="13.8" thickBot="1" x14ac:dyDescent="0.35">
      <c r="B89" s="807" t="s">
        <v>1068</v>
      </c>
      <c r="C89" s="808"/>
      <c r="D89" s="808"/>
      <c r="E89" s="808"/>
      <c r="F89" s="808"/>
      <c r="G89" s="808"/>
      <c r="H89" s="808"/>
      <c r="I89" s="808"/>
      <c r="J89" s="808"/>
      <c r="K89" s="809"/>
    </row>
    <row r="90" spans="2:11" ht="27" thickBot="1" x14ac:dyDescent="0.35">
      <c r="B90" s="437" t="s">
        <v>1124</v>
      </c>
      <c r="C90" s="867" t="s">
        <v>31</v>
      </c>
      <c r="D90" s="867"/>
      <c r="E90" s="867"/>
      <c r="F90" s="867"/>
      <c r="G90" s="867"/>
      <c r="H90" s="867"/>
      <c r="I90" s="438" t="s">
        <v>1125</v>
      </c>
      <c r="J90" s="868" t="s">
        <v>1074</v>
      </c>
      <c r="K90" s="869"/>
    </row>
    <row r="91" spans="2:11" ht="27" customHeight="1" x14ac:dyDescent="0.3">
      <c r="B91" s="361" t="s">
        <v>670</v>
      </c>
      <c r="C91" s="812" t="s">
        <v>1841</v>
      </c>
      <c r="D91" s="812"/>
      <c r="E91" s="812"/>
      <c r="F91" s="812"/>
      <c r="G91" s="812"/>
      <c r="H91" s="812"/>
      <c r="I91" s="385" t="s">
        <v>37</v>
      </c>
      <c r="J91" s="846" t="s">
        <v>1797</v>
      </c>
      <c r="K91" s="847"/>
    </row>
    <row r="92" spans="2:11" ht="39.9" customHeight="1" x14ac:dyDescent="0.3">
      <c r="B92" s="365" t="s">
        <v>671</v>
      </c>
      <c r="C92" s="813" t="s">
        <v>1805</v>
      </c>
      <c r="D92" s="813"/>
      <c r="E92" s="813"/>
      <c r="F92" s="813"/>
      <c r="G92" s="813"/>
      <c r="H92" s="813"/>
      <c r="I92" s="422" t="s">
        <v>35</v>
      </c>
      <c r="J92" s="813" t="s">
        <v>863</v>
      </c>
      <c r="K92" s="845"/>
    </row>
    <row r="93" spans="2:11" ht="27" customHeight="1" thickBot="1" x14ac:dyDescent="0.35">
      <c r="B93" s="367" t="s">
        <v>1233</v>
      </c>
      <c r="C93" s="831" t="s">
        <v>672</v>
      </c>
      <c r="D93" s="831"/>
      <c r="E93" s="831"/>
      <c r="F93" s="831"/>
      <c r="G93" s="831"/>
      <c r="H93" s="831"/>
      <c r="I93" s="386" t="s">
        <v>35</v>
      </c>
      <c r="J93" s="831" t="s">
        <v>863</v>
      </c>
      <c r="K93" s="832"/>
    </row>
    <row r="94" spans="2:11" ht="27" thickBot="1" x14ac:dyDescent="0.35">
      <c r="B94" s="439" t="s">
        <v>1072</v>
      </c>
      <c r="C94" s="870" t="s">
        <v>1108</v>
      </c>
      <c r="D94" s="871"/>
      <c r="E94" s="439" t="s">
        <v>1070</v>
      </c>
      <c r="F94" s="421" t="s">
        <v>1136</v>
      </c>
      <c r="G94" s="887" t="s">
        <v>1131</v>
      </c>
      <c r="H94" s="888"/>
      <c r="I94" s="439" t="s">
        <v>1130</v>
      </c>
      <c r="J94" s="870" t="s">
        <v>1133</v>
      </c>
      <c r="K94" s="871"/>
    </row>
    <row r="95" spans="2:11" ht="13.8" thickBot="1" x14ac:dyDescent="0.35">
      <c r="B95" s="824" t="s">
        <v>1076</v>
      </c>
      <c r="C95" s="825"/>
      <c r="D95" s="825"/>
      <c r="E95" s="825"/>
      <c r="F95" s="825"/>
      <c r="G95" s="825"/>
      <c r="H95" s="825"/>
      <c r="I95" s="825"/>
      <c r="J95" s="825"/>
      <c r="K95" s="826"/>
    </row>
    <row r="96" spans="2:11" ht="26.4" customHeight="1" thickBot="1" x14ac:dyDescent="0.35">
      <c r="B96" s="360" t="s">
        <v>670</v>
      </c>
      <c r="C96" s="892" t="s">
        <v>1842</v>
      </c>
      <c r="D96" s="893"/>
      <c r="E96" s="893"/>
      <c r="F96" s="893"/>
      <c r="G96" s="893"/>
      <c r="H96" s="893"/>
      <c r="I96" s="893"/>
      <c r="J96" s="893"/>
      <c r="K96" s="926"/>
    </row>
    <row r="97" spans="1:20" ht="13.8" thickBot="1" x14ac:dyDescent="0.35">
      <c r="B97" s="824" t="s">
        <v>1077</v>
      </c>
      <c r="C97" s="825"/>
      <c r="D97" s="825"/>
      <c r="E97" s="825"/>
      <c r="F97" s="825"/>
      <c r="G97" s="825"/>
      <c r="H97" s="825"/>
      <c r="I97" s="825"/>
      <c r="J97" s="825"/>
      <c r="K97" s="826"/>
    </row>
    <row r="98" spans="1:20" ht="27" customHeight="1" x14ac:dyDescent="0.3">
      <c r="B98" s="388" t="s">
        <v>704</v>
      </c>
      <c r="C98" s="1001" t="s">
        <v>1826</v>
      </c>
      <c r="D98" s="1002"/>
      <c r="E98" s="1002"/>
      <c r="F98" s="1002"/>
      <c r="G98" s="1002"/>
      <c r="H98" s="1002"/>
      <c r="I98" s="1002"/>
      <c r="J98" s="1002"/>
      <c r="K98" s="1003"/>
    </row>
    <row r="99" spans="1:20" ht="27" customHeight="1" x14ac:dyDescent="0.3">
      <c r="B99" s="423" t="s">
        <v>911</v>
      </c>
      <c r="C99" s="889" t="s">
        <v>1158</v>
      </c>
      <c r="D99" s="890"/>
      <c r="E99" s="890"/>
      <c r="F99" s="890"/>
      <c r="G99" s="890"/>
      <c r="H99" s="890"/>
      <c r="I99" s="890"/>
      <c r="J99" s="890"/>
      <c r="K99" s="891"/>
    </row>
    <row r="100" spans="1:20" ht="13.8" thickBot="1" x14ac:dyDescent="0.35">
      <c r="B100" s="367" t="s">
        <v>912</v>
      </c>
      <c r="C100" s="883" t="s">
        <v>1426</v>
      </c>
      <c r="D100" s="884"/>
      <c r="E100" s="884"/>
      <c r="F100" s="884"/>
      <c r="G100" s="884"/>
      <c r="H100" s="884"/>
      <c r="I100" s="884"/>
      <c r="J100" s="884"/>
      <c r="K100" s="885"/>
    </row>
    <row r="101" spans="1:20" ht="13.8" thickBot="1" x14ac:dyDescent="0.35">
      <c r="B101" s="824" t="s">
        <v>1139</v>
      </c>
      <c r="C101" s="825"/>
      <c r="D101" s="825"/>
      <c r="E101" s="825"/>
      <c r="F101" s="825"/>
      <c r="G101" s="825"/>
      <c r="H101" s="825"/>
      <c r="I101" s="825"/>
      <c r="J101" s="825"/>
      <c r="K101" s="826"/>
    </row>
    <row r="102" spans="1:20" ht="13.8" thickBot="1" x14ac:dyDescent="0.35">
      <c r="B102" s="360" t="s">
        <v>863</v>
      </c>
      <c r="C102" s="835" t="s">
        <v>1140</v>
      </c>
      <c r="D102" s="835"/>
      <c r="E102" s="835"/>
      <c r="F102" s="835"/>
      <c r="G102" s="835"/>
      <c r="H102" s="835"/>
      <c r="I102" s="835"/>
      <c r="J102" s="835"/>
      <c r="K102" s="836"/>
    </row>
    <row r="105" spans="1:20" ht="13.8" thickBot="1" x14ac:dyDescent="0.35">
      <c r="A105" s="412" t="s">
        <v>1091</v>
      </c>
      <c r="B105" s="426" t="s">
        <v>536</v>
      </c>
      <c r="C105" s="414"/>
      <c r="D105" s="414"/>
      <c r="E105" s="414"/>
      <c r="F105" s="414"/>
      <c r="G105" s="414"/>
      <c r="H105" s="414"/>
      <c r="I105" s="414"/>
      <c r="J105" s="414"/>
      <c r="K105" s="414"/>
      <c r="L105" s="414"/>
      <c r="M105" s="414"/>
      <c r="N105" s="414"/>
      <c r="O105" s="414"/>
      <c r="P105" s="414"/>
      <c r="Q105" s="414"/>
      <c r="R105" s="414"/>
      <c r="S105" s="414"/>
      <c r="T105" s="414"/>
    </row>
    <row r="106" spans="1:20" ht="13.8" thickBot="1" x14ac:dyDescent="0.35">
      <c r="B106" s="807" t="s">
        <v>1060</v>
      </c>
      <c r="C106" s="808"/>
      <c r="D106" s="808"/>
      <c r="E106" s="808"/>
      <c r="F106" s="808"/>
      <c r="G106" s="808"/>
      <c r="H106" s="808"/>
      <c r="I106" s="808"/>
      <c r="J106" s="808"/>
      <c r="K106" s="809"/>
    </row>
    <row r="107" spans="1:20" ht="13.8" thickBot="1" x14ac:dyDescent="0.35">
      <c r="B107" s="360" t="s">
        <v>600</v>
      </c>
      <c r="C107" s="810" t="s">
        <v>1188</v>
      </c>
      <c r="D107" s="810"/>
      <c r="E107" s="810"/>
      <c r="F107" s="810"/>
      <c r="G107" s="810"/>
      <c r="H107" s="810"/>
      <c r="I107" s="810"/>
      <c r="J107" s="810"/>
      <c r="K107" s="811"/>
    </row>
    <row r="108" spans="1:20" ht="13.8" thickBot="1" x14ac:dyDescent="0.35">
      <c r="B108" s="807" t="s">
        <v>1109</v>
      </c>
      <c r="C108" s="808"/>
      <c r="D108" s="808"/>
      <c r="E108" s="808"/>
      <c r="F108" s="808"/>
      <c r="G108" s="808"/>
      <c r="H108" s="808"/>
      <c r="I108" s="808"/>
      <c r="J108" s="808"/>
      <c r="K108" s="809"/>
    </row>
    <row r="109" spans="1:20" x14ac:dyDescent="0.3">
      <c r="B109" s="361" t="s">
        <v>1110</v>
      </c>
      <c r="C109" s="812" t="s">
        <v>1111</v>
      </c>
      <c r="D109" s="812"/>
      <c r="E109" s="812"/>
      <c r="F109" s="812"/>
      <c r="G109" s="812"/>
      <c r="H109" s="812"/>
      <c r="I109" s="812"/>
      <c r="J109" s="812"/>
      <c r="K109" s="362" t="s">
        <v>35</v>
      </c>
    </row>
    <row r="110" spans="1:20" x14ac:dyDescent="0.3">
      <c r="A110" s="352"/>
      <c r="B110" s="363"/>
      <c r="C110" s="804" t="s">
        <v>1206</v>
      </c>
      <c r="D110" s="805"/>
      <c r="E110" s="805"/>
      <c r="F110" s="805"/>
      <c r="G110" s="805"/>
      <c r="H110" s="805"/>
      <c r="I110" s="805"/>
      <c r="J110" s="806"/>
      <c r="K110" s="364"/>
    </row>
    <row r="111" spans="1:20" x14ac:dyDescent="0.3">
      <c r="B111" s="365" t="s">
        <v>1112</v>
      </c>
      <c r="C111" s="813" t="s">
        <v>1118</v>
      </c>
      <c r="D111" s="813"/>
      <c r="E111" s="813"/>
      <c r="F111" s="813"/>
      <c r="G111" s="813"/>
      <c r="H111" s="813"/>
      <c r="I111" s="813"/>
      <c r="J111" s="813"/>
      <c r="K111" s="366" t="s">
        <v>35</v>
      </c>
    </row>
    <row r="112" spans="1:20" x14ac:dyDescent="0.3">
      <c r="B112" s="365" t="s">
        <v>1113</v>
      </c>
      <c r="C112" s="813" t="s">
        <v>1119</v>
      </c>
      <c r="D112" s="813"/>
      <c r="E112" s="813"/>
      <c r="F112" s="813"/>
      <c r="G112" s="813"/>
      <c r="H112" s="813"/>
      <c r="I112" s="813"/>
      <c r="J112" s="813"/>
      <c r="K112" s="366" t="s">
        <v>35</v>
      </c>
    </row>
    <row r="113" spans="2:11" x14ac:dyDescent="0.3">
      <c r="B113" s="365" t="s">
        <v>1114</v>
      </c>
      <c r="C113" s="813" t="s">
        <v>1120</v>
      </c>
      <c r="D113" s="813"/>
      <c r="E113" s="813"/>
      <c r="F113" s="813"/>
      <c r="G113" s="813"/>
      <c r="H113" s="813"/>
      <c r="I113" s="813"/>
      <c r="J113" s="813"/>
      <c r="K113" s="366" t="s">
        <v>35</v>
      </c>
    </row>
    <row r="114" spans="2:11" ht="27" customHeight="1" x14ac:dyDescent="0.3">
      <c r="B114" s="365" t="s">
        <v>1115</v>
      </c>
      <c r="C114" s="813" t="s">
        <v>1121</v>
      </c>
      <c r="D114" s="813"/>
      <c r="E114" s="813"/>
      <c r="F114" s="813"/>
      <c r="G114" s="813"/>
      <c r="H114" s="813"/>
      <c r="I114" s="813"/>
      <c r="J114" s="813"/>
      <c r="K114" s="366" t="s">
        <v>35</v>
      </c>
    </row>
    <row r="115" spans="2:11" x14ac:dyDescent="0.3">
      <c r="B115" s="365" t="s">
        <v>1116</v>
      </c>
      <c r="C115" s="813" t="s">
        <v>1272</v>
      </c>
      <c r="D115" s="813"/>
      <c r="E115" s="813"/>
      <c r="F115" s="813"/>
      <c r="G115" s="813"/>
      <c r="H115" s="813"/>
      <c r="I115" s="813"/>
      <c r="J115" s="813"/>
      <c r="K115" s="366" t="s">
        <v>35</v>
      </c>
    </row>
    <row r="116" spans="2:11" ht="13.8" thickBot="1" x14ac:dyDescent="0.35">
      <c r="B116" s="367" t="s">
        <v>1117</v>
      </c>
      <c r="C116" s="831" t="s">
        <v>1122</v>
      </c>
      <c r="D116" s="831"/>
      <c r="E116" s="831"/>
      <c r="F116" s="831"/>
      <c r="G116" s="831"/>
      <c r="H116" s="831"/>
      <c r="I116" s="831"/>
      <c r="J116" s="831"/>
      <c r="K116" s="368" t="s">
        <v>35</v>
      </c>
    </row>
    <row r="117" spans="2:11" ht="13.8" thickBot="1" x14ac:dyDescent="0.35">
      <c r="B117" s="369"/>
      <c r="C117" s="833" t="s">
        <v>1123</v>
      </c>
      <c r="D117" s="833"/>
      <c r="E117" s="833"/>
      <c r="F117" s="833"/>
      <c r="G117" s="833"/>
      <c r="H117" s="833"/>
      <c r="I117" s="833"/>
      <c r="J117" s="833"/>
      <c r="K117" s="370" t="str">
        <f>IF(OR(K109="Yes",K111="Yes",K112="Yes",K113="Yes",K114="Yes",K115="Yes",K116="Yes"),"Yes","No")</f>
        <v>No</v>
      </c>
    </row>
    <row r="118" spans="2:11" ht="13.8" thickBot="1" x14ac:dyDescent="0.35">
      <c r="B118" s="834" t="s">
        <v>1061</v>
      </c>
      <c r="C118" s="834"/>
      <c r="D118" s="834"/>
      <c r="E118" s="834"/>
      <c r="F118" s="834"/>
      <c r="G118" s="834" t="s">
        <v>1062</v>
      </c>
      <c r="H118" s="834"/>
      <c r="I118" s="834"/>
      <c r="J118" s="834"/>
      <c r="K118" s="834"/>
    </row>
    <row r="119" spans="2:11" ht="27" thickBot="1" x14ac:dyDescent="0.35">
      <c r="B119" s="371" t="s">
        <v>26</v>
      </c>
      <c r="C119" s="372" t="s">
        <v>553</v>
      </c>
      <c r="D119" s="372" t="s">
        <v>19</v>
      </c>
      <c r="E119" s="372" t="s">
        <v>25</v>
      </c>
      <c r="F119" s="373" t="s">
        <v>554</v>
      </c>
      <c r="G119" s="374" t="s">
        <v>1063</v>
      </c>
      <c r="H119" s="372" t="s">
        <v>1064</v>
      </c>
      <c r="I119" s="375" t="s">
        <v>1065</v>
      </c>
      <c r="J119" s="375" t="s">
        <v>1066</v>
      </c>
      <c r="K119" s="376" t="s">
        <v>1067</v>
      </c>
    </row>
    <row r="120" spans="2:11" ht="13.8" thickBot="1" x14ac:dyDescent="0.35">
      <c r="B120" s="433" t="s">
        <v>619</v>
      </c>
      <c r="C120" s="434" t="s">
        <v>619</v>
      </c>
      <c r="D120" s="434" t="s">
        <v>619</v>
      </c>
      <c r="E120" s="434" t="s">
        <v>619</v>
      </c>
      <c r="F120" s="435" t="s">
        <v>621</v>
      </c>
      <c r="G120" s="435" t="s">
        <v>619</v>
      </c>
      <c r="H120" s="434" t="s">
        <v>621</v>
      </c>
      <c r="I120" s="434" t="s">
        <v>621</v>
      </c>
      <c r="J120" s="434" t="s">
        <v>621</v>
      </c>
      <c r="K120" s="435" t="s">
        <v>621</v>
      </c>
    </row>
    <row r="121" spans="2:11" ht="13.8" thickBot="1" x14ac:dyDescent="0.35">
      <c r="B121" s="807" t="s">
        <v>1068</v>
      </c>
      <c r="C121" s="808"/>
      <c r="D121" s="808"/>
      <c r="E121" s="808"/>
      <c r="F121" s="808"/>
      <c r="G121" s="808"/>
      <c r="H121" s="808"/>
      <c r="I121" s="808"/>
      <c r="J121" s="808"/>
      <c r="K121" s="809"/>
    </row>
    <row r="122" spans="2:11" ht="27" thickBot="1" x14ac:dyDescent="0.35">
      <c r="B122" s="369" t="s">
        <v>1124</v>
      </c>
      <c r="C122" s="827" t="s">
        <v>31</v>
      </c>
      <c r="D122" s="827"/>
      <c r="E122" s="827"/>
      <c r="F122" s="827"/>
      <c r="G122" s="827"/>
      <c r="H122" s="827"/>
      <c r="I122" s="381" t="s">
        <v>1125</v>
      </c>
      <c r="J122" s="828" t="s">
        <v>1074</v>
      </c>
      <c r="K122" s="829"/>
    </row>
    <row r="123" spans="2:11" ht="27" customHeight="1" x14ac:dyDescent="0.3">
      <c r="B123" s="382" t="s">
        <v>1159</v>
      </c>
      <c r="C123" s="899" t="s">
        <v>1160</v>
      </c>
      <c r="D123" s="899"/>
      <c r="E123" s="899"/>
      <c r="F123" s="899"/>
      <c r="G123" s="899"/>
      <c r="H123" s="899"/>
      <c r="I123" s="338" t="s">
        <v>35</v>
      </c>
      <c r="J123" s="899" t="s">
        <v>863</v>
      </c>
      <c r="K123" s="900"/>
    </row>
    <row r="124" spans="2:11" ht="27" customHeight="1" thickBot="1" x14ac:dyDescent="0.35">
      <c r="B124" s="367" t="s">
        <v>1233</v>
      </c>
      <c r="C124" s="831" t="s">
        <v>672</v>
      </c>
      <c r="D124" s="831"/>
      <c r="E124" s="831"/>
      <c r="F124" s="831"/>
      <c r="G124" s="831"/>
      <c r="H124" s="831"/>
      <c r="I124" s="386" t="s">
        <v>35</v>
      </c>
      <c r="J124" s="831" t="s">
        <v>863</v>
      </c>
      <c r="K124" s="832"/>
    </row>
    <row r="125" spans="2:11" ht="27" thickBot="1" x14ac:dyDescent="0.35">
      <c r="B125" s="383" t="s">
        <v>1072</v>
      </c>
      <c r="C125" s="814" t="s">
        <v>1108</v>
      </c>
      <c r="D125" s="815"/>
      <c r="E125" s="383" t="s">
        <v>1070</v>
      </c>
      <c r="F125" s="384" t="s">
        <v>1135</v>
      </c>
      <c r="G125" s="816" t="s">
        <v>1161</v>
      </c>
      <c r="H125" s="817"/>
      <c r="I125" s="383" t="s">
        <v>1130</v>
      </c>
      <c r="J125" s="814" t="s">
        <v>1133</v>
      </c>
      <c r="K125" s="815"/>
    </row>
    <row r="126" spans="2:11" ht="13.8" thickBot="1" x14ac:dyDescent="0.35">
      <c r="B126" s="824" t="s">
        <v>1076</v>
      </c>
      <c r="C126" s="825"/>
      <c r="D126" s="825"/>
      <c r="E126" s="825"/>
      <c r="F126" s="825"/>
      <c r="G126" s="825"/>
      <c r="H126" s="825"/>
      <c r="I126" s="825"/>
      <c r="J126" s="825"/>
      <c r="K126" s="826"/>
    </row>
    <row r="127" spans="2:11" ht="13.8" thickBot="1" x14ac:dyDescent="0.35">
      <c r="B127" s="360" t="s">
        <v>863</v>
      </c>
      <c r="C127" s="835" t="s">
        <v>863</v>
      </c>
      <c r="D127" s="835"/>
      <c r="E127" s="835"/>
      <c r="F127" s="835"/>
      <c r="G127" s="835"/>
      <c r="H127" s="835"/>
      <c r="I127" s="835"/>
      <c r="J127" s="835"/>
      <c r="K127" s="836"/>
    </row>
    <row r="128" spans="2:11" ht="13.8" thickBot="1" x14ac:dyDescent="0.35">
      <c r="B128" s="824" t="s">
        <v>1077</v>
      </c>
      <c r="C128" s="825"/>
      <c r="D128" s="825"/>
      <c r="E128" s="825"/>
      <c r="F128" s="825"/>
      <c r="G128" s="825"/>
      <c r="H128" s="825"/>
      <c r="I128" s="825"/>
      <c r="J128" s="825"/>
      <c r="K128" s="826"/>
    </row>
    <row r="129" spans="1:20" ht="27" customHeight="1" x14ac:dyDescent="0.3">
      <c r="B129" s="388" t="s">
        <v>1162</v>
      </c>
      <c r="C129" s="1001" t="s">
        <v>198</v>
      </c>
      <c r="D129" s="1002"/>
      <c r="E129" s="1002"/>
      <c r="F129" s="1002"/>
      <c r="G129" s="1002"/>
      <c r="H129" s="1002"/>
      <c r="I129" s="1002"/>
      <c r="J129" s="1002"/>
      <c r="K129" s="1003"/>
    </row>
    <row r="130" spans="1:20" ht="27" customHeight="1" x14ac:dyDescent="0.3">
      <c r="B130" s="365" t="s">
        <v>1163</v>
      </c>
      <c r="C130" s="804" t="s">
        <v>1166</v>
      </c>
      <c r="D130" s="805"/>
      <c r="E130" s="805"/>
      <c r="F130" s="805"/>
      <c r="G130" s="805"/>
      <c r="H130" s="805"/>
      <c r="I130" s="805"/>
      <c r="J130" s="805"/>
      <c r="K130" s="886"/>
    </row>
    <row r="131" spans="1:20" ht="27" customHeight="1" x14ac:dyDescent="0.3">
      <c r="B131" s="365" t="s">
        <v>1164</v>
      </c>
      <c r="C131" s="804" t="s">
        <v>1167</v>
      </c>
      <c r="D131" s="805"/>
      <c r="E131" s="805"/>
      <c r="F131" s="805"/>
      <c r="G131" s="805"/>
      <c r="H131" s="805"/>
      <c r="I131" s="805"/>
      <c r="J131" s="805"/>
      <c r="K131" s="886"/>
    </row>
    <row r="132" spans="1:20" ht="27" customHeight="1" x14ac:dyDescent="0.3">
      <c r="B132" s="365" t="s">
        <v>1165</v>
      </c>
      <c r="C132" s="804" t="s">
        <v>1168</v>
      </c>
      <c r="D132" s="805"/>
      <c r="E132" s="805"/>
      <c r="F132" s="805"/>
      <c r="G132" s="805"/>
      <c r="H132" s="805"/>
      <c r="I132" s="805"/>
      <c r="J132" s="805"/>
      <c r="K132" s="886"/>
    </row>
    <row r="133" spans="1:20" ht="27" customHeight="1" thickBot="1" x14ac:dyDescent="0.35">
      <c r="B133" s="365" t="s">
        <v>1169</v>
      </c>
      <c r="C133" s="804" t="s">
        <v>1170</v>
      </c>
      <c r="D133" s="805"/>
      <c r="E133" s="805"/>
      <c r="F133" s="805"/>
      <c r="G133" s="805"/>
      <c r="H133" s="805"/>
      <c r="I133" s="805"/>
      <c r="J133" s="805"/>
      <c r="K133" s="886"/>
    </row>
    <row r="134" spans="1:20" ht="13.8" thickBot="1" x14ac:dyDescent="0.35">
      <c r="B134" s="824" t="s">
        <v>1139</v>
      </c>
      <c r="C134" s="825"/>
      <c r="D134" s="825"/>
      <c r="E134" s="825"/>
      <c r="F134" s="825"/>
      <c r="G134" s="825"/>
      <c r="H134" s="825"/>
      <c r="I134" s="825"/>
      <c r="J134" s="825"/>
      <c r="K134" s="826"/>
    </row>
    <row r="135" spans="1:20" ht="13.8" thickBot="1" x14ac:dyDescent="0.35">
      <c r="B135" s="360" t="s">
        <v>863</v>
      </c>
      <c r="C135" s="835" t="s">
        <v>1140</v>
      </c>
      <c r="D135" s="835"/>
      <c r="E135" s="835"/>
      <c r="F135" s="835"/>
      <c r="G135" s="835"/>
      <c r="H135" s="835"/>
      <c r="I135" s="835"/>
      <c r="J135" s="835"/>
      <c r="K135" s="836"/>
    </row>
    <row r="136" spans="1:20" x14ac:dyDescent="0.3">
      <c r="B136" s="427"/>
    </row>
    <row r="138" spans="1:20" ht="13.8" thickBot="1" x14ac:dyDescent="0.35">
      <c r="A138" s="412" t="s">
        <v>1092</v>
      </c>
      <c r="B138" s="413" t="s">
        <v>1171</v>
      </c>
      <c r="C138" s="414"/>
      <c r="D138" s="414"/>
      <c r="E138" s="414"/>
      <c r="F138" s="414"/>
      <c r="G138" s="414"/>
      <c r="H138" s="414"/>
      <c r="I138" s="414"/>
      <c r="J138" s="414"/>
      <c r="K138" s="414"/>
      <c r="L138" s="414"/>
      <c r="M138" s="414"/>
      <c r="N138" s="414"/>
      <c r="O138" s="414"/>
      <c r="P138" s="414"/>
      <c r="Q138" s="414"/>
      <c r="R138" s="414"/>
      <c r="S138" s="414"/>
      <c r="T138" s="414"/>
    </row>
    <row r="139" spans="1:20" ht="13.8" thickBot="1" x14ac:dyDescent="0.35">
      <c r="B139" s="807" t="s">
        <v>1060</v>
      </c>
      <c r="C139" s="808"/>
      <c r="D139" s="808"/>
      <c r="E139" s="808"/>
      <c r="F139" s="808"/>
      <c r="G139" s="808"/>
      <c r="H139" s="808"/>
      <c r="I139" s="808"/>
      <c r="J139" s="808"/>
      <c r="K139" s="809"/>
    </row>
    <row r="140" spans="1:20" ht="13.8" thickBot="1" x14ac:dyDescent="0.35">
      <c r="B140" s="360" t="s">
        <v>601</v>
      </c>
      <c r="C140" s="810" t="s">
        <v>1096</v>
      </c>
      <c r="D140" s="810"/>
      <c r="E140" s="810"/>
      <c r="F140" s="810"/>
      <c r="G140" s="810"/>
      <c r="H140" s="810"/>
      <c r="I140" s="810"/>
      <c r="J140" s="810"/>
      <c r="K140" s="811"/>
    </row>
    <row r="141" spans="1:20" ht="13.8" thickBot="1" x14ac:dyDescent="0.35">
      <c r="B141" s="807" t="s">
        <v>1109</v>
      </c>
      <c r="C141" s="808"/>
      <c r="D141" s="808"/>
      <c r="E141" s="808"/>
      <c r="F141" s="808"/>
      <c r="G141" s="808"/>
      <c r="H141" s="808"/>
      <c r="I141" s="808"/>
      <c r="J141" s="808"/>
      <c r="K141" s="809"/>
    </row>
    <row r="142" spans="1:20" x14ac:dyDescent="0.3">
      <c r="B142" s="361" t="s">
        <v>1110</v>
      </c>
      <c r="C142" s="812" t="s">
        <v>1111</v>
      </c>
      <c r="D142" s="812"/>
      <c r="E142" s="812"/>
      <c r="F142" s="812"/>
      <c r="G142" s="812"/>
      <c r="H142" s="812"/>
      <c r="I142" s="812"/>
      <c r="J142" s="812"/>
      <c r="K142" s="362" t="s">
        <v>35</v>
      </c>
    </row>
    <row r="143" spans="1:20" x14ac:dyDescent="0.3">
      <c r="A143" s="352"/>
      <c r="B143" s="363"/>
      <c r="C143" s="804" t="s">
        <v>1206</v>
      </c>
      <c r="D143" s="805"/>
      <c r="E143" s="805"/>
      <c r="F143" s="805"/>
      <c r="G143" s="805"/>
      <c r="H143" s="805"/>
      <c r="I143" s="805"/>
      <c r="J143" s="806"/>
      <c r="K143" s="364"/>
    </row>
    <row r="144" spans="1:20" x14ac:dyDescent="0.3">
      <c r="B144" s="365" t="s">
        <v>1112</v>
      </c>
      <c r="C144" s="813" t="s">
        <v>1118</v>
      </c>
      <c r="D144" s="813"/>
      <c r="E144" s="813"/>
      <c r="F144" s="813"/>
      <c r="G144" s="813"/>
      <c r="H144" s="813"/>
      <c r="I144" s="813"/>
      <c r="J144" s="813"/>
      <c r="K144" s="366" t="s">
        <v>35</v>
      </c>
    </row>
    <row r="145" spans="2:11" x14ac:dyDescent="0.3">
      <c r="B145" s="365" t="s">
        <v>1113</v>
      </c>
      <c r="C145" s="813" t="s">
        <v>1119</v>
      </c>
      <c r="D145" s="813"/>
      <c r="E145" s="813"/>
      <c r="F145" s="813"/>
      <c r="G145" s="813"/>
      <c r="H145" s="813"/>
      <c r="I145" s="813"/>
      <c r="J145" s="813"/>
      <c r="K145" s="366" t="s">
        <v>35</v>
      </c>
    </row>
    <row r="146" spans="2:11" x14ac:dyDescent="0.3">
      <c r="B146" s="365" t="s">
        <v>1114</v>
      </c>
      <c r="C146" s="813" t="s">
        <v>1120</v>
      </c>
      <c r="D146" s="813"/>
      <c r="E146" s="813"/>
      <c r="F146" s="813"/>
      <c r="G146" s="813"/>
      <c r="H146" s="813"/>
      <c r="I146" s="813"/>
      <c r="J146" s="813"/>
      <c r="K146" s="366" t="s">
        <v>35</v>
      </c>
    </row>
    <row r="147" spans="2:11" ht="27" customHeight="1" x14ac:dyDescent="0.3">
      <c r="B147" s="365" t="s">
        <v>1115</v>
      </c>
      <c r="C147" s="813" t="s">
        <v>1121</v>
      </c>
      <c r="D147" s="813"/>
      <c r="E147" s="813"/>
      <c r="F147" s="813"/>
      <c r="G147" s="813"/>
      <c r="H147" s="813"/>
      <c r="I147" s="813"/>
      <c r="J147" s="813"/>
      <c r="K147" s="366" t="s">
        <v>35</v>
      </c>
    </row>
    <row r="148" spans="2:11" x14ac:dyDescent="0.3">
      <c r="B148" s="365" t="s">
        <v>1116</v>
      </c>
      <c r="C148" s="813" t="s">
        <v>1272</v>
      </c>
      <c r="D148" s="813"/>
      <c r="E148" s="813"/>
      <c r="F148" s="813"/>
      <c r="G148" s="813"/>
      <c r="H148" s="813"/>
      <c r="I148" s="813"/>
      <c r="J148" s="813"/>
      <c r="K148" s="366" t="s">
        <v>35</v>
      </c>
    </row>
    <row r="149" spans="2:11" ht="13.8" thickBot="1" x14ac:dyDescent="0.35">
      <c r="B149" s="367" t="s">
        <v>1117</v>
      </c>
      <c r="C149" s="831" t="s">
        <v>1122</v>
      </c>
      <c r="D149" s="831"/>
      <c r="E149" s="831"/>
      <c r="F149" s="831"/>
      <c r="G149" s="831"/>
      <c r="H149" s="831"/>
      <c r="I149" s="831"/>
      <c r="J149" s="831"/>
      <c r="K149" s="368" t="s">
        <v>35</v>
      </c>
    </row>
    <row r="150" spans="2:11" ht="13.8" thickBot="1" x14ac:dyDescent="0.35">
      <c r="B150" s="369"/>
      <c r="C150" s="833" t="s">
        <v>1123</v>
      </c>
      <c r="D150" s="833"/>
      <c r="E150" s="833"/>
      <c r="F150" s="833"/>
      <c r="G150" s="833"/>
      <c r="H150" s="833"/>
      <c r="I150" s="833"/>
      <c r="J150" s="833"/>
      <c r="K150" s="370" t="str">
        <f>IF(OR(K142="Yes",K144="Yes",K145="Yes",K146="Yes",K147="Yes",K148="Yes",K149="Yes"),"Yes","No")</f>
        <v>No</v>
      </c>
    </row>
    <row r="151" spans="2:11" ht="13.8" thickBot="1" x14ac:dyDescent="0.35">
      <c r="B151" s="834" t="s">
        <v>1061</v>
      </c>
      <c r="C151" s="834"/>
      <c r="D151" s="834"/>
      <c r="E151" s="834"/>
      <c r="F151" s="834"/>
      <c r="G151" s="834" t="s">
        <v>1062</v>
      </c>
      <c r="H151" s="834"/>
      <c r="I151" s="834"/>
      <c r="J151" s="834"/>
      <c r="K151" s="834"/>
    </row>
    <row r="152" spans="2:11" ht="27" thickBot="1" x14ac:dyDescent="0.35">
      <c r="B152" s="371" t="s">
        <v>26</v>
      </c>
      <c r="C152" s="372" t="s">
        <v>553</v>
      </c>
      <c r="D152" s="372" t="s">
        <v>19</v>
      </c>
      <c r="E152" s="372" t="s">
        <v>1262</v>
      </c>
      <c r="F152" s="373" t="s">
        <v>554</v>
      </c>
      <c r="G152" s="374" t="s">
        <v>1063</v>
      </c>
      <c r="H152" s="372" t="s">
        <v>1064</v>
      </c>
      <c r="I152" s="375" t="s">
        <v>1065</v>
      </c>
      <c r="J152" s="375" t="s">
        <v>1066</v>
      </c>
      <c r="K152" s="376" t="s">
        <v>1067</v>
      </c>
    </row>
    <row r="153" spans="2:11" ht="13.8" thickBot="1" x14ac:dyDescent="0.35">
      <c r="B153" s="433" t="s">
        <v>621</v>
      </c>
      <c r="C153" s="434" t="s">
        <v>621</v>
      </c>
      <c r="D153" s="434" t="s">
        <v>621</v>
      </c>
      <c r="E153" s="434" t="s">
        <v>619</v>
      </c>
      <c r="F153" s="435" t="s">
        <v>619</v>
      </c>
      <c r="G153" s="435" t="s">
        <v>619</v>
      </c>
      <c r="H153" s="434" t="s">
        <v>621</v>
      </c>
      <c r="I153" s="434" t="s">
        <v>621</v>
      </c>
      <c r="J153" s="434" t="s">
        <v>621</v>
      </c>
      <c r="K153" s="435" t="s">
        <v>621</v>
      </c>
    </row>
    <row r="154" spans="2:11" ht="13.8" thickBot="1" x14ac:dyDescent="0.35">
      <c r="B154" s="807" t="s">
        <v>1068</v>
      </c>
      <c r="C154" s="808"/>
      <c r="D154" s="808"/>
      <c r="E154" s="808"/>
      <c r="F154" s="808"/>
      <c r="G154" s="808"/>
      <c r="H154" s="808"/>
      <c r="I154" s="808"/>
      <c r="J154" s="808"/>
      <c r="K154" s="809"/>
    </row>
    <row r="155" spans="2:11" ht="27" thickBot="1" x14ac:dyDescent="0.35">
      <c r="B155" s="369" t="s">
        <v>1124</v>
      </c>
      <c r="C155" s="827" t="s">
        <v>31</v>
      </c>
      <c r="D155" s="827"/>
      <c r="E155" s="827"/>
      <c r="F155" s="827"/>
      <c r="G155" s="827"/>
      <c r="H155" s="827"/>
      <c r="I155" s="381" t="s">
        <v>1125</v>
      </c>
      <c r="J155" s="828" t="s">
        <v>1074</v>
      </c>
      <c r="K155" s="829"/>
    </row>
    <row r="156" spans="2:11" ht="13.8" thickBot="1" x14ac:dyDescent="0.35">
      <c r="B156" s="382" t="s">
        <v>863</v>
      </c>
      <c r="C156" s="899" t="s">
        <v>863</v>
      </c>
      <c r="D156" s="899"/>
      <c r="E156" s="899"/>
      <c r="F156" s="899"/>
      <c r="G156" s="899"/>
      <c r="H156" s="899"/>
      <c r="I156" s="338" t="s">
        <v>863</v>
      </c>
      <c r="J156" s="899" t="s">
        <v>863</v>
      </c>
      <c r="K156" s="900"/>
    </row>
    <row r="157" spans="2:11" ht="27" thickBot="1" x14ac:dyDescent="0.35">
      <c r="B157" s="383" t="s">
        <v>1072</v>
      </c>
      <c r="C157" s="814" t="s">
        <v>1100</v>
      </c>
      <c r="D157" s="815"/>
      <c r="E157" s="383" t="s">
        <v>1070</v>
      </c>
      <c r="F157" s="384" t="s">
        <v>1135</v>
      </c>
      <c r="G157" s="1104" t="s">
        <v>1161</v>
      </c>
      <c r="H157" s="1105"/>
      <c r="I157" s="383" t="s">
        <v>1130</v>
      </c>
      <c r="J157" s="814" t="s">
        <v>1133</v>
      </c>
      <c r="K157" s="815"/>
    </row>
    <row r="158" spans="2:11" ht="13.8" thickBot="1" x14ac:dyDescent="0.35">
      <c r="B158" s="824" t="s">
        <v>1076</v>
      </c>
      <c r="C158" s="825"/>
      <c r="D158" s="825"/>
      <c r="E158" s="825"/>
      <c r="F158" s="825"/>
      <c r="G158" s="825"/>
      <c r="H158" s="825"/>
      <c r="I158" s="825"/>
      <c r="J158" s="825"/>
      <c r="K158" s="826"/>
    </row>
    <row r="159" spans="2:11" ht="13.8" thickBot="1" x14ac:dyDescent="0.35">
      <c r="B159" s="360" t="s">
        <v>863</v>
      </c>
      <c r="C159" s="835" t="s">
        <v>863</v>
      </c>
      <c r="D159" s="835"/>
      <c r="E159" s="835"/>
      <c r="F159" s="835"/>
      <c r="G159" s="835"/>
      <c r="H159" s="835"/>
      <c r="I159" s="835"/>
      <c r="J159" s="835"/>
      <c r="K159" s="836"/>
    </row>
    <row r="160" spans="2:11" ht="13.8" thickBot="1" x14ac:dyDescent="0.35">
      <c r="B160" s="824" t="s">
        <v>1077</v>
      </c>
      <c r="C160" s="825"/>
      <c r="D160" s="825"/>
      <c r="E160" s="825"/>
      <c r="F160" s="825"/>
      <c r="G160" s="825"/>
      <c r="H160" s="825"/>
      <c r="I160" s="825"/>
      <c r="J160" s="825"/>
      <c r="K160" s="826"/>
    </row>
    <row r="161" spans="2:11" ht="13.8" thickBot="1" x14ac:dyDescent="0.35">
      <c r="B161" s="360" t="s">
        <v>1172</v>
      </c>
      <c r="C161" s="830" t="s">
        <v>914</v>
      </c>
      <c r="D161" s="816"/>
      <c r="E161" s="816"/>
      <c r="F161" s="816"/>
      <c r="G161" s="816"/>
      <c r="H161" s="816"/>
      <c r="I161" s="816"/>
      <c r="J161" s="816"/>
      <c r="K161" s="817"/>
    </row>
    <row r="162" spans="2:11" ht="13.8" thickBot="1" x14ac:dyDescent="0.35">
      <c r="B162" s="824" t="s">
        <v>1139</v>
      </c>
      <c r="C162" s="825"/>
      <c r="D162" s="825"/>
      <c r="E162" s="825"/>
      <c r="F162" s="825"/>
      <c r="G162" s="825"/>
      <c r="H162" s="825"/>
      <c r="I162" s="825"/>
      <c r="J162" s="825"/>
      <c r="K162" s="826"/>
    </row>
    <row r="163" spans="2:11" ht="13.8" thickBot="1" x14ac:dyDescent="0.35">
      <c r="B163" s="360" t="s">
        <v>863</v>
      </c>
      <c r="C163" s="835" t="s">
        <v>1140</v>
      </c>
      <c r="D163" s="835"/>
      <c r="E163" s="835"/>
      <c r="F163" s="835"/>
      <c r="G163" s="835"/>
      <c r="H163" s="835"/>
      <c r="I163" s="835"/>
      <c r="J163" s="835"/>
      <c r="K163" s="836"/>
    </row>
    <row r="164" spans="2:11" ht="13.8" thickBot="1" x14ac:dyDescent="0.35"/>
    <row r="165" spans="2:11" ht="13.8" thickBot="1" x14ac:dyDescent="0.35">
      <c r="B165" s="807" t="s">
        <v>1060</v>
      </c>
      <c r="C165" s="808"/>
      <c r="D165" s="808"/>
      <c r="E165" s="808"/>
      <c r="F165" s="808"/>
      <c r="G165" s="808"/>
      <c r="H165" s="808"/>
      <c r="I165" s="808"/>
      <c r="J165" s="808"/>
      <c r="K165" s="809"/>
    </row>
    <row r="166" spans="2:11" ht="13.8" thickBot="1" x14ac:dyDescent="0.35">
      <c r="B166" s="360" t="s">
        <v>1775</v>
      </c>
      <c r="C166" s="810" t="s">
        <v>1776</v>
      </c>
      <c r="D166" s="810"/>
      <c r="E166" s="810"/>
      <c r="F166" s="810"/>
      <c r="G166" s="810"/>
      <c r="H166" s="810"/>
      <c r="I166" s="810"/>
      <c r="J166" s="810"/>
      <c r="K166" s="811"/>
    </row>
    <row r="167" spans="2:11" ht="13.8" thickBot="1" x14ac:dyDescent="0.35">
      <c r="B167" s="807" t="s">
        <v>1109</v>
      </c>
      <c r="C167" s="808"/>
      <c r="D167" s="808"/>
      <c r="E167" s="808"/>
      <c r="F167" s="808"/>
      <c r="G167" s="808"/>
      <c r="H167" s="808"/>
      <c r="I167" s="808"/>
      <c r="J167" s="808"/>
      <c r="K167" s="809"/>
    </row>
    <row r="168" spans="2:11" x14ac:dyDescent="0.3">
      <c r="B168" s="361" t="s">
        <v>1110</v>
      </c>
      <c r="C168" s="812" t="s">
        <v>1111</v>
      </c>
      <c r="D168" s="812"/>
      <c r="E168" s="812"/>
      <c r="F168" s="812"/>
      <c r="G168" s="812"/>
      <c r="H168" s="812"/>
      <c r="I168" s="812"/>
      <c r="J168" s="812"/>
      <c r="K168" s="362" t="s">
        <v>35</v>
      </c>
    </row>
    <row r="169" spans="2:11" x14ac:dyDescent="0.3">
      <c r="B169" s="363"/>
      <c r="C169" s="804" t="s">
        <v>1206</v>
      </c>
      <c r="D169" s="805"/>
      <c r="E169" s="805"/>
      <c r="F169" s="805"/>
      <c r="G169" s="805"/>
      <c r="H169" s="805"/>
      <c r="I169" s="805"/>
      <c r="J169" s="806"/>
      <c r="K169" s="364"/>
    </row>
    <row r="170" spans="2:11" x14ac:dyDescent="0.3">
      <c r="B170" s="365" t="s">
        <v>1112</v>
      </c>
      <c r="C170" s="813" t="s">
        <v>1118</v>
      </c>
      <c r="D170" s="813"/>
      <c r="E170" s="813"/>
      <c r="F170" s="813"/>
      <c r="G170" s="813"/>
      <c r="H170" s="813"/>
      <c r="I170" s="813"/>
      <c r="J170" s="813"/>
      <c r="K170" s="366" t="s">
        <v>35</v>
      </c>
    </row>
    <row r="171" spans="2:11" x14ac:dyDescent="0.3">
      <c r="B171" s="365" t="s">
        <v>1113</v>
      </c>
      <c r="C171" s="813" t="s">
        <v>1119</v>
      </c>
      <c r="D171" s="813"/>
      <c r="E171" s="813"/>
      <c r="F171" s="813"/>
      <c r="G171" s="813"/>
      <c r="H171" s="813"/>
      <c r="I171" s="813"/>
      <c r="J171" s="813"/>
      <c r="K171" s="366" t="s">
        <v>35</v>
      </c>
    </row>
    <row r="172" spans="2:11" x14ac:dyDescent="0.3">
      <c r="B172" s="365" t="s">
        <v>1114</v>
      </c>
      <c r="C172" s="813" t="s">
        <v>1120</v>
      </c>
      <c r="D172" s="813"/>
      <c r="E172" s="813"/>
      <c r="F172" s="813"/>
      <c r="G172" s="813"/>
      <c r="H172" s="813"/>
      <c r="I172" s="813"/>
      <c r="J172" s="813"/>
      <c r="K172" s="366" t="s">
        <v>35</v>
      </c>
    </row>
    <row r="173" spans="2:11" x14ac:dyDescent="0.3">
      <c r="B173" s="365" t="s">
        <v>1115</v>
      </c>
      <c r="C173" s="813" t="s">
        <v>1121</v>
      </c>
      <c r="D173" s="813"/>
      <c r="E173" s="813"/>
      <c r="F173" s="813"/>
      <c r="G173" s="813"/>
      <c r="H173" s="813"/>
      <c r="I173" s="813"/>
      <c r="J173" s="813"/>
      <c r="K173" s="366" t="s">
        <v>35</v>
      </c>
    </row>
    <row r="174" spans="2:11" x14ac:dyDescent="0.3">
      <c r="B174" s="365" t="s">
        <v>1116</v>
      </c>
      <c r="C174" s="813" t="s">
        <v>1272</v>
      </c>
      <c r="D174" s="813"/>
      <c r="E174" s="813"/>
      <c r="F174" s="813"/>
      <c r="G174" s="813"/>
      <c r="H174" s="813"/>
      <c r="I174" s="813"/>
      <c r="J174" s="813"/>
      <c r="K174" s="366" t="s">
        <v>35</v>
      </c>
    </row>
    <row r="175" spans="2:11" ht="13.8" thickBot="1" x14ac:dyDescent="0.35">
      <c r="B175" s="367" t="s">
        <v>1117</v>
      </c>
      <c r="C175" s="831" t="s">
        <v>1122</v>
      </c>
      <c r="D175" s="831"/>
      <c r="E175" s="831"/>
      <c r="F175" s="831"/>
      <c r="G175" s="831"/>
      <c r="H175" s="831"/>
      <c r="I175" s="831"/>
      <c r="J175" s="831"/>
      <c r="K175" s="368" t="s">
        <v>35</v>
      </c>
    </row>
    <row r="176" spans="2:11" ht="13.8" thickBot="1" x14ac:dyDescent="0.35">
      <c r="B176" s="369"/>
      <c r="C176" s="833" t="s">
        <v>1123</v>
      </c>
      <c r="D176" s="833"/>
      <c r="E176" s="833"/>
      <c r="F176" s="833"/>
      <c r="G176" s="833"/>
      <c r="H176" s="833"/>
      <c r="I176" s="833"/>
      <c r="J176" s="833"/>
      <c r="K176" s="370" t="str">
        <f>IF(OR(K168="Yes",K170="Yes",K171="Yes",K172="Yes",K173="Yes",K174="Yes",K175="Yes"),"Yes","No")</f>
        <v>No</v>
      </c>
    </row>
    <row r="177" spans="2:11" ht="13.8" thickBot="1" x14ac:dyDescent="0.35">
      <c r="B177" s="834" t="s">
        <v>1061</v>
      </c>
      <c r="C177" s="834"/>
      <c r="D177" s="834"/>
      <c r="E177" s="834"/>
      <c r="F177" s="834"/>
      <c r="G177" s="834" t="s">
        <v>1062</v>
      </c>
      <c r="H177" s="834"/>
      <c r="I177" s="834"/>
      <c r="J177" s="834"/>
      <c r="K177" s="834"/>
    </row>
    <row r="178" spans="2:11" ht="27" thickBot="1" x14ac:dyDescent="0.35">
      <c r="B178" s="371" t="s">
        <v>26</v>
      </c>
      <c r="C178" s="372" t="s">
        <v>553</v>
      </c>
      <c r="D178" s="372" t="s">
        <v>19</v>
      </c>
      <c r="E178" s="372" t="s">
        <v>1262</v>
      </c>
      <c r="F178" s="373" t="s">
        <v>554</v>
      </c>
      <c r="G178" s="374" t="s">
        <v>1063</v>
      </c>
      <c r="H178" s="372" t="s">
        <v>1064</v>
      </c>
      <c r="I178" s="375" t="s">
        <v>1065</v>
      </c>
      <c r="J178" s="375" t="s">
        <v>1066</v>
      </c>
      <c r="K178" s="376" t="s">
        <v>1067</v>
      </c>
    </row>
    <row r="179" spans="2:11" ht="13.8" thickBot="1" x14ac:dyDescent="0.35">
      <c r="B179" s="433" t="s">
        <v>621</v>
      </c>
      <c r="C179" s="434" t="s">
        <v>621</v>
      </c>
      <c r="D179" s="434" t="s">
        <v>621</v>
      </c>
      <c r="E179" s="434" t="s">
        <v>619</v>
      </c>
      <c r="F179" s="435" t="s">
        <v>619</v>
      </c>
      <c r="G179" s="435" t="s">
        <v>619</v>
      </c>
      <c r="H179" s="434" t="s">
        <v>621</v>
      </c>
      <c r="I179" s="434" t="s">
        <v>621</v>
      </c>
      <c r="J179" s="434" t="s">
        <v>621</v>
      </c>
      <c r="K179" s="435" t="s">
        <v>621</v>
      </c>
    </row>
    <row r="180" spans="2:11" ht="13.8" thickBot="1" x14ac:dyDescent="0.35">
      <c r="B180" s="807" t="s">
        <v>1068</v>
      </c>
      <c r="C180" s="808"/>
      <c r="D180" s="808"/>
      <c r="E180" s="808"/>
      <c r="F180" s="808"/>
      <c r="G180" s="808"/>
      <c r="H180" s="808"/>
      <c r="I180" s="808"/>
      <c r="J180" s="808"/>
      <c r="K180" s="809"/>
    </row>
    <row r="181" spans="2:11" ht="27" thickBot="1" x14ac:dyDescent="0.35">
      <c r="B181" s="369" t="s">
        <v>1124</v>
      </c>
      <c r="C181" s="827" t="s">
        <v>31</v>
      </c>
      <c r="D181" s="827"/>
      <c r="E181" s="827"/>
      <c r="F181" s="827"/>
      <c r="G181" s="827"/>
      <c r="H181" s="827"/>
      <c r="I181" s="381" t="s">
        <v>1125</v>
      </c>
      <c r="J181" s="828" t="s">
        <v>1074</v>
      </c>
      <c r="K181" s="829"/>
    </row>
    <row r="182" spans="2:11" ht="13.8" thickBot="1" x14ac:dyDescent="0.35">
      <c r="B182" s="382" t="s">
        <v>863</v>
      </c>
      <c r="C182" s="899" t="s">
        <v>863</v>
      </c>
      <c r="D182" s="899"/>
      <c r="E182" s="899"/>
      <c r="F182" s="899"/>
      <c r="G182" s="899"/>
      <c r="H182" s="899"/>
      <c r="I182" s="338" t="s">
        <v>863</v>
      </c>
      <c r="J182" s="899" t="s">
        <v>863</v>
      </c>
      <c r="K182" s="900"/>
    </row>
    <row r="183" spans="2:11" ht="27" thickBot="1" x14ac:dyDescent="0.35">
      <c r="B183" s="383" t="s">
        <v>1072</v>
      </c>
      <c r="C183" s="814" t="s">
        <v>1100</v>
      </c>
      <c r="D183" s="815"/>
      <c r="E183" s="383" t="s">
        <v>1070</v>
      </c>
      <c r="F183" s="384" t="s">
        <v>1135</v>
      </c>
      <c r="G183" s="1104" t="s">
        <v>1161</v>
      </c>
      <c r="H183" s="1105"/>
      <c r="I183" s="383" t="s">
        <v>1130</v>
      </c>
      <c r="J183" s="814" t="s">
        <v>1133</v>
      </c>
      <c r="K183" s="815"/>
    </row>
    <row r="184" spans="2:11" ht="13.8" thickBot="1" x14ac:dyDescent="0.35">
      <c r="B184" s="824" t="s">
        <v>1076</v>
      </c>
      <c r="C184" s="825"/>
      <c r="D184" s="825"/>
      <c r="E184" s="825"/>
      <c r="F184" s="825"/>
      <c r="G184" s="825"/>
      <c r="H184" s="825"/>
      <c r="I184" s="825"/>
      <c r="J184" s="825"/>
      <c r="K184" s="826"/>
    </row>
    <row r="185" spans="2:11" ht="13.8" thickBot="1" x14ac:dyDescent="0.35">
      <c r="B185" s="360" t="s">
        <v>863</v>
      </c>
      <c r="C185" s="835" t="s">
        <v>863</v>
      </c>
      <c r="D185" s="835"/>
      <c r="E185" s="835"/>
      <c r="F185" s="835"/>
      <c r="G185" s="835"/>
      <c r="H185" s="835"/>
      <c r="I185" s="835"/>
      <c r="J185" s="835"/>
      <c r="K185" s="836"/>
    </row>
    <row r="186" spans="2:11" ht="13.8" thickBot="1" x14ac:dyDescent="0.35">
      <c r="B186" s="824" t="s">
        <v>1077</v>
      </c>
      <c r="C186" s="825"/>
      <c r="D186" s="825"/>
      <c r="E186" s="825"/>
      <c r="F186" s="825"/>
      <c r="G186" s="825"/>
      <c r="H186" s="825"/>
      <c r="I186" s="825"/>
      <c r="J186" s="825"/>
      <c r="K186" s="826"/>
    </row>
    <row r="187" spans="2:11" ht="28.8" customHeight="1" x14ac:dyDescent="0.3">
      <c r="B187" s="361" t="s">
        <v>1777</v>
      </c>
      <c r="C187" s="863" t="s">
        <v>1780</v>
      </c>
      <c r="D187" s="864"/>
      <c r="E187" s="864"/>
      <c r="F187" s="864"/>
      <c r="G187" s="864"/>
      <c r="H187" s="864"/>
      <c r="I187" s="864"/>
      <c r="J187" s="864"/>
      <c r="K187" s="865"/>
    </row>
    <row r="188" spans="2:11" ht="13.8" thickBot="1" x14ac:dyDescent="0.35">
      <c r="B188" s="367" t="s">
        <v>1778</v>
      </c>
      <c r="C188" s="883" t="s">
        <v>1779</v>
      </c>
      <c r="D188" s="884"/>
      <c r="E188" s="884"/>
      <c r="F188" s="884"/>
      <c r="G188" s="884"/>
      <c r="H188" s="884"/>
      <c r="I188" s="884"/>
      <c r="J188" s="884"/>
      <c r="K188" s="885"/>
    </row>
    <row r="189" spans="2:11" ht="13.8" thickBot="1" x14ac:dyDescent="0.35">
      <c r="B189" s="824" t="s">
        <v>1139</v>
      </c>
      <c r="C189" s="825"/>
      <c r="D189" s="825"/>
      <c r="E189" s="825"/>
      <c r="F189" s="825"/>
      <c r="G189" s="825"/>
      <c r="H189" s="825"/>
      <c r="I189" s="825"/>
      <c r="J189" s="825"/>
      <c r="K189" s="826"/>
    </row>
    <row r="190" spans="2:11" ht="13.8" thickBot="1" x14ac:dyDescent="0.35">
      <c r="B190" s="360" t="s">
        <v>863</v>
      </c>
      <c r="C190" s="835" t="s">
        <v>1140</v>
      </c>
      <c r="D190" s="835"/>
      <c r="E190" s="835"/>
      <c r="F190" s="835"/>
      <c r="G190" s="835"/>
      <c r="H190" s="835"/>
      <c r="I190" s="835"/>
      <c r="J190" s="835"/>
      <c r="K190" s="836"/>
    </row>
  </sheetData>
  <autoFilter ref="A9:T163" xr:uid="{00000000-0009-0000-0000-00000C000000}"/>
  <mergeCells count="196">
    <mergeCell ref="C44:K44"/>
    <mergeCell ref="B26:K26"/>
    <mergeCell ref="B33:K33"/>
    <mergeCell ref="C34:K34"/>
    <mergeCell ref="B35:K35"/>
    <mergeCell ref="C36:K36"/>
    <mergeCell ref="C37:K37"/>
    <mergeCell ref="B43:K43"/>
    <mergeCell ref="C27:H27"/>
    <mergeCell ref="J27:K27"/>
    <mergeCell ref="C28:H28"/>
    <mergeCell ref="J28:K28"/>
    <mergeCell ref="C29:H29"/>
    <mergeCell ref="J29:K29"/>
    <mergeCell ref="C30:H30"/>
    <mergeCell ref="J30:K30"/>
    <mergeCell ref="C32:D32"/>
    <mergeCell ref="G32:H32"/>
    <mergeCell ref="J32:K32"/>
    <mergeCell ref="C31:H31"/>
    <mergeCell ref="J31:K31"/>
    <mergeCell ref="C38:K38"/>
    <mergeCell ref="B39:K39"/>
    <mergeCell ref="C40:K40"/>
    <mergeCell ref="C78:J78"/>
    <mergeCell ref="C124:H124"/>
    <mergeCell ref="J124:K124"/>
    <mergeCell ref="C93:H93"/>
    <mergeCell ref="J93:K93"/>
    <mergeCell ref="C110:J110"/>
    <mergeCell ref="C54:J54"/>
    <mergeCell ref="B58:K58"/>
    <mergeCell ref="C59:H59"/>
    <mergeCell ref="J59:K59"/>
    <mergeCell ref="B55:F55"/>
    <mergeCell ref="G55:K55"/>
    <mergeCell ref="C77:J77"/>
    <mergeCell ref="B74:K74"/>
    <mergeCell ref="C75:K75"/>
    <mergeCell ref="J62:K62"/>
    <mergeCell ref="B63:K63"/>
    <mergeCell ref="C64:K64"/>
    <mergeCell ref="B65:K65"/>
    <mergeCell ref="C67:K67"/>
    <mergeCell ref="B76:K76"/>
    <mergeCell ref="C68:K68"/>
    <mergeCell ref="C82:J82"/>
    <mergeCell ref="C83:J83"/>
    <mergeCell ref="C84:J84"/>
    <mergeCell ref="C85:J85"/>
    <mergeCell ref="C96:K96"/>
    <mergeCell ref="J94:K94"/>
    <mergeCell ref="C156:H156"/>
    <mergeCell ref="J156:K156"/>
    <mergeCell ref="B151:F151"/>
    <mergeCell ref="G151:K151"/>
    <mergeCell ref="C90:H90"/>
    <mergeCell ref="J90:K90"/>
    <mergeCell ref="B86:F86"/>
    <mergeCell ref="G86:K86"/>
    <mergeCell ref="C92:H92"/>
    <mergeCell ref="J92:K92"/>
    <mergeCell ref="C91:H91"/>
    <mergeCell ref="J91:K91"/>
    <mergeCell ref="B95:K95"/>
    <mergeCell ref="C131:K131"/>
    <mergeCell ref="C132:K132"/>
    <mergeCell ref="B139:K139"/>
    <mergeCell ref="C140:K140"/>
    <mergeCell ref="B5:D5"/>
    <mergeCell ref="B6:D6"/>
    <mergeCell ref="B7:D7"/>
    <mergeCell ref="B11:K11"/>
    <mergeCell ref="C12:K12"/>
    <mergeCell ref="B23:F23"/>
    <mergeCell ref="G23:K23"/>
    <mergeCell ref="B13:K13"/>
    <mergeCell ref="C14:J14"/>
    <mergeCell ref="C16:J16"/>
    <mergeCell ref="C17:J17"/>
    <mergeCell ref="C18:J18"/>
    <mergeCell ref="C19:J19"/>
    <mergeCell ref="C20:J20"/>
    <mergeCell ref="C21:J21"/>
    <mergeCell ref="C22:J22"/>
    <mergeCell ref="C15:J15"/>
    <mergeCell ref="B45:K45"/>
    <mergeCell ref="C46:J46"/>
    <mergeCell ref="C48:J48"/>
    <mergeCell ref="C49:J49"/>
    <mergeCell ref="C50:J50"/>
    <mergeCell ref="C51:J51"/>
    <mergeCell ref="C52:J52"/>
    <mergeCell ref="C53:J53"/>
    <mergeCell ref="C60:H60"/>
    <mergeCell ref="J60:K60"/>
    <mergeCell ref="C47:J47"/>
    <mergeCell ref="C61:H61"/>
    <mergeCell ref="J61:K61"/>
    <mergeCell ref="C62:D62"/>
    <mergeCell ref="G62:H62"/>
    <mergeCell ref="C66:K66"/>
    <mergeCell ref="C133:K133"/>
    <mergeCell ref="G125:H125"/>
    <mergeCell ref="J125:K125"/>
    <mergeCell ref="C100:K100"/>
    <mergeCell ref="B108:K108"/>
    <mergeCell ref="C109:J109"/>
    <mergeCell ref="C111:J111"/>
    <mergeCell ref="C113:J113"/>
    <mergeCell ref="C114:J114"/>
    <mergeCell ref="C115:J115"/>
    <mergeCell ref="C116:J116"/>
    <mergeCell ref="C117:J117"/>
    <mergeCell ref="C112:J112"/>
    <mergeCell ref="C123:H123"/>
    <mergeCell ref="J123:K123"/>
    <mergeCell ref="C125:D125"/>
    <mergeCell ref="C130:K130"/>
    <mergeCell ref="C94:D94"/>
    <mergeCell ref="G94:H94"/>
    <mergeCell ref="B69:K69"/>
    <mergeCell ref="C70:K70"/>
    <mergeCell ref="B101:K101"/>
    <mergeCell ref="C102:K102"/>
    <mergeCell ref="B134:K134"/>
    <mergeCell ref="C135:K135"/>
    <mergeCell ref="B97:K97"/>
    <mergeCell ref="C98:K98"/>
    <mergeCell ref="C99:K99"/>
    <mergeCell ref="B121:K121"/>
    <mergeCell ref="B106:K106"/>
    <mergeCell ref="C107:K107"/>
    <mergeCell ref="B118:F118"/>
    <mergeCell ref="G118:K118"/>
    <mergeCell ref="B126:K126"/>
    <mergeCell ref="C127:K127"/>
    <mergeCell ref="B128:K128"/>
    <mergeCell ref="C129:K129"/>
    <mergeCell ref="C122:H122"/>
    <mergeCell ref="J122:K122"/>
    <mergeCell ref="C79:J79"/>
    <mergeCell ref="C80:J80"/>
    <mergeCell ref="B89:K89"/>
    <mergeCell ref="C81:J81"/>
    <mergeCell ref="B162:K162"/>
    <mergeCell ref="C163:K163"/>
    <mergeCell ref="B141:K141"/>
    <mergeCell ref="C142:J142"/>
    <mergeCell ref="C144:J144"/>
    <mergeCell ref="C145:J145"/>
    <mergeCell ref="C146:J146"/>
    <mergeCell ref="C147:J147"/>
    <mergeCell ref="B160:K160"/>
    <mergeCell ref="C161:K161"/>
    <mergeCell ref="B158:K158"/>
    <mergeCell ref="C159:K159"/>
    <mergeCell ref="C148:J148"/>
    <mergeCell ref="C149:J149"/>
    <mergeCell ref="C155:H155"/>
    <mergeCell ref="J155:K155"/>
    <mergeCell ref="C157:D157"/>
    <mergeCell ref="G157:H157"/>
    <mergeCell ref="J157:K157"/>
    <mergeCell ref="C150:J150"/>
    <mergeCell ref="B154:K154"/>
    <mergeCell ref="C143:J143"/>
    <mergeCell ref="B165:K165"/>
    <mergeCell ref="C166:K166"/>
    <mergeCell ref="B167:K167"/>
    <mergeCell ref="C168:J168"/>
    <mergeCell ref="C169:J169"/>
    <mergeCell ref="C170:J170"/>
    <mergeCell ref="C171:J171"/>
    <mergeCell ref="C172:J172"/>
    <mergeCell ref="C173:J173"/>
    <mergeCell ref="C174:J174"/>
    <mergeCell ref="C175:J175"/>
    <mergeCell ref="C176:J176"/>
    <mergeCell ref="B177:F177"/>
    <mergeCell ref="G177:K177"/>
    <mergeCell ref="B180:K180"/>
    <mergeCell ref="C181:H181"/>
    <mergeCell ref="J181:K181"/>
    <mergeCell ref="C182:H182"/>
    <mergeCell ref="J182:K182"/>
    <mergeCell ref="C183:D183"/>
    <mergeCell ref="G183:H183"/>
    <mergeCell ref="J183:K183"/>
    <mergeCell ref="B184:K184"/>
    <mergeCell ref="C185:K185"/>
    <mergeCell ref="B186:K186"/>
    <mergeCell ref="C187:K187"/>
    <mergeCell ref="B189:K189"/>
    <mergeCell ref="C190:K190"/>
    <mergeCell ref="C188:K188"/>
  </mergeCells>
  <dataValidations disablePrompts="1" count="1">
    <dataValidation type="list" allowBlank="1" showInputMessage="1" showErrorMessage="1" sqref="J32:K32 J62:K62 J94:K94 J125:K125 J157:K157 F32 F62 F94 F125 F157 J183:K183 F183" xr:uid="{00000000-0002-0000-0C00-000001000000}">
      <formula1>#REF!</formula1>
    </dataValidation>
  </dataValidations>
  <pageMargins left="0.7" right="0.7" top="0.75" bottom="0.75" header="0.3" footer="0.3"/>
  <pageSetup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EEA3-DBA1-4C21-904B-03EBC6EAB13B}">
  <dimension ref="A2:L188"/>
  <sheetViews>
    <sheetView topLeftCell="A24" workbookViewId="0">
      <selection activeCell="B30" sqref="A30:XFD30"/>
    </sheetView>
  </sheetViews>
  <sheetFormatPr defaultColWidth="9.109375" defaultRowHeight="13.2" x14ac:dyDescent="0.25"/>
  <cols>
    <col min="1" max="1" width="3.109375" style="289" bestFit="1" customWidth="1"/>
    <col min="2" max="8" width="15.6640625" style="289" customWidth="1"/>
    <col min="9" max="9" width="16.88671875" style="289" customWidth="1"/>
    <col min="10" max="11" width="15.6640625" style="289" customWidth="1"/>
    <col min="12" max="16384" width="9.109375" style="289"/>
  </cols>
  <sheetData>
    <row r="2" spans="1:11" x14ac:dyDescent="0.25">
      <c r="B2" s="353" t="s">
        <v>1270</v>
      </c>
    </row>
    <row r="3" spans="1:11" x14ac:dyDescent="0.25">
      <c r="B3" s="353" t="s">
        <v>1796</v>
      </c>
    </row>
    <row r="4" spans="1:11" ht="13.8" thickBot="1" x14ac:dyDescent="0.3"/>
    <row r="5" spans="1:11" ht="13.8" thickBot="1" x14ac:dyDescent="0.3">
      <c r="B5" s="837" t="s">
        <v>23</v>
      </c>
      <c r="C5" s="838"/>
      <c r="D5" s="839"/>
      <c r="E5" s="405"/>
      <c r="F5" s="355" t="s">
        <v>530</v>
      </c>
      <c r="G5" s="290"/>
      <c r="H5" s="290"/>
      <c r="I5" s="290"/>
    </row>
    <row r="6" spans="1:11" ht="13.8" thickBot="1" x14ac:dyDescent="0.3">
      <c r="B6" s="837" t="s">
        <v>860</v>
      </c>
      <c r="C6" s="838"/>
      <c r="D6" s="839"/>
      <c r="E6" s="356"/>
      <c r="F6" s="355" t="s">
        <v>615</v>
      </c>
    </row>
    <row r="7" spans="1:11" ht="13.8" thickBot="1" x14ac:dyDescent="0.3">
      <c r="B7" s="919" t="s">
        <v>1075</v>
      </c>
      <c r="C7" s="920"/>
      <c r="D7" s="920"/>
      <c r="E7" s="356"/>
      <c r="F7" s="357">
        <v>5175000</v>
      </c>
    </row>
    <row r="9" spans="1:11" x14ac:dyDescent="0.25">
      <c r="B9" s="406" t="s">
        <v>508</v>
      </c>
    </row>
    <row r="10" spans="1:11" ht="13.8" thickBot="1" x14ac:dyDescent="0.3">
      <c r="A10" s="390" t="s">
        <v>1097</v>
      </c>
      <c r="B10" s="390" t="s">
        <v>533</v>
      </c>
    </row>
    <row r="11" spans="1:11" ht="13.8" thickBot="1" x14ac:dyDescent="0.3">
      <c r="B11" s="921" t="s">
        <v>1060</v>
      </c>
      <c r="C11" s="922"/>
      <c r="D11" s="922"/>
      <c r="E11" s="922"/>
      <c r="F11" s="922"/>
      <c r="G11" s="922"/>
      <c r="H11" s="922"/>
      <c r="I11" s="922"/>
      <c r="J11" s="922"/>
      <c r="K11" s="923"/>
    </row>
    <row r="12" spans="1:11" ht="13.8" thickBot="1" x14ac:dyDescent="0.3">
      <c r="B12" s="360" t="s">
        <v>602</v>
      </c>
      <c r="C12" s="810" t="s">
        <v>304</v>
      </c>
      <c r="D12" s="810"/>
      <c r="E12" s="810"/>
      <c r="F12" s="810"/>
      <c r="G12" s="810"/>
      <c r="H12" s="810"/>
      <c r="I12" s="810"/>
      <c r="J12" s="810"/>
      <c r="K12" s="811"/>
    </row>
    <row r="13" spans="1:11" s="290" customFormat="1" ht="13.8" thickBot="1" x14ac:dyDescent="0.35">
      <c r="B13" s="929" t="s">
        <v>1109</v>
      </c>
      <c r="C13" s="930"/>
      <c r="D13" s="930"/>
      <c r="E13" s="930"/>
      <c r="F13" s="930"/>
      <c r="G13" s="930"/>
      <c r="H13" s="930"/>
      <c r="I13" s="930"/>
      <c r="J13" s="930"/>
      <c r="K13" s="931"/>
    </row>
    <row r="14" spans="1:11" s="290" customFormat="1" x14ac:dyDescent="0.3">
      <c r="B14" s="361" t="s">
        <v>1110</v>
      </c>
      <c r="C14" s="812" t="s">
        <v>1111</v>
      </c>
      <c r="D14" s="812"/>
      <c r="E14" s="812"/>
      <c r="F14" s="812"/>
      <c r="G14" s="812"/>
      <c r="H14" s="812"/>
      <c r="I14" s="812"/>
      <c r="J14" s="812"/>
      <c r="K14" s="362" t="s">
        <v>37</v>
      </c>
    </row>
    <row r="15" spans="1:11" s="290" customFormat="1" x14ac:dyDescent="0.3">
      <c r="B15" s="365" t="s">
        <v>1112</v>
      </c>
      <c r="C15" s="813" t="s">
        <v>1118</v>
      </c>
      <c r="D15" s="813"/>
      <c r="E15" s="813"/>
      <c r="F15" s="813"/>
      <c r="G15" s="813"/>
      <c r="H15" s="813"/>
      <c r="I15" s="813"/>
      <c r="J15" s="813"/>
      <c r="K15" s="366" t="s">
        <v>35</v>
      </c>
    </row>
    <row r="16" spans="1:11" s="290" customFormat="1" x14ac:dyDescent="0.3">
      <c r="B16" s="365" t="s">
        <v>1113</v>
      </c>
      <c r="C16" s="813" t="s">
        <v>1119</v>
      </c>
      <c r="D16" s="813"/>
      <c r="E16" s="813"/>
      <c r="F16" s="813"/>
      <c r="G16" s="813"/>
      <c r="H16" s="813"/>
      <c r="I16" s="813"/>
      <c r="J16" s="813"/>
      <c r="K16" s="366" t="s">
        <v>35</v>
      </c>
    </row>
    <row r="17" spans="1:11" s="290" customFormat="1" x14ac:dyDescent="0.3">
      <c r="B17" s="365" t="s">
        <v>1114</v>
      </c>
      <c r="C17" s="813" t="s">
        <v>1120</v>
      </c>
      <c r="D17" s="813"/>
      <c r="E17" s="813"/>
      <c r="F17" s="813"/>
      <c r="G17" s="813"/>
      <c r="H17" s="813"/>
      <c r="I17" s="813"/>
      <c r="J17" s="813"/>
      <c r="K17" s="366" t="s">
        <v>35</v>
      </c>
    </row>
    <row r="18" spans="1:11" s="290" customFormat="1" ht="27" customHeight="1" x14ac:dyDescent="0.3">
      <c r="B18" s="365" t="s">
        <v>1115</v>
      </c>
      <c r="C18" s="813" t="s">
        <v>1121</v>
      </c>
      <c r="D18" s="813"/>
      <c r="E18" s="813"/>
      <c r="F18" s="813"/>
      <c r="G18" s="813"/>
      <c r="H18" s="813"/>
      <c r="I18" s="813"/>
      <c r="J18" s="813"/>
      <c r="K18" s="366" t="s">
        <v>35</v>
      </c>
    </row>
    <row r="19" spans="1:11" s="290" customFormat="1" x14ac:dyDescent="0.3">
      <c r="B19" s="365" t="s">
        <v>1116</v>
      </c>
      <c r="C19" s="813" t="s">
        <v>1272</v>
      </c>
      <c r="D19" s="813"/>
      <c r="E19" s="813"/>
      <c r="F19" s="813"/>
      <c r="G19" s="813"/>
      <c r="H19" s="813"/>
      <c r="I19" s="813"/>
      <c r="J19" s="813"/>
      <c r="K19" s="366" t="s">
        <v>35</v>
      </c>
    </row>
    <row r="20" spans="1:11" s="290" customFormat="1" ht="13.8" thickBot="1" x14ac:dyDescent="0.35">
      <c r="B20" s="367" t="s">
        <v>1117</v>
      </c>
      <c r="C20" s="831" t="s">
        <v>1122</v>
      </c>
      <c r="D20" s="831"/>
      <c r="E20" s="831"/>
      <c r="F20" s="831"/>
      <c r="G20" s="831"/>
      <c r="H20" s="831"/>
      <c r="I20" s="831"/>
      <c r="J20" s="831"/>
      <c r="K20" s="368" t="s">
        <v>35</v>
      </c>
    </row>
    <row r="21" spans="1:11" s="290" customFormat="1" ht="13.8" thickBot="1" x14ac:dyDescent="0.35">
      <c r="B21" s="391"/>
      <c r="C21" s="915" t="s">
        <v>1123</v>
      </c>
      <c r="D21" s="916"/>
      <c r="E21" s="916"/>
      <c r="F21" s="916"/>
      <c r="G21" s="916"/>
      <c r="H21" s="916"/>
      <c r="I21" s="916"/>
      <c r="J21" s="917"/>
      <c r="K21" s="392" t="str">
        <f>IF(OR(K14="Yes",K15="Yes",K16="Yes",K17="Yes",K18="Yes",K19="Yes",K20="Yes"),"Yes","No")</f>
        <v>Yes</v>
      </c>
    </row>
    <row r="22" spans="1:11" ht="13.8" thickBot="1" x14ac:dyDescent="0.3">
      <c r="B22" s="924" t="s">
        <v>1061</v>
      </c>
      <c r="C22" s="924"/>
      <c r="D22" s="924"/>
      <c r="E22" s="924"/>
      <c r="F22" s="924"/>
      <c r="G22" s="924" t="s">
        <v>1062</v>
      </c>
      <c r="H22" s="924"/>
      <c r="I22" s="924"/>
      <c r="J22" s="924"/>
      <c r="K22" s="924"/>
    </row>
    <row r="23" spans="1:11" ht="27" thickBot="1" x14ac:dyDescent="0.3">
      <c r="B23" s="371" t="s">
        <v>306</v>
      </c>
      <c r="C23" s="372" t="s">
        <v>19</v>
      </c>
      <c r="D23" s="372" t="s">
        <v>326</v>
      </c>
      <c r="E23" s="372" t="s">
        <v>310</v>
      </c>
      <c r="F23" s="373" t="s">
        <v>552</v>
      </c>
      <c r="G23" s="374" t="s">
        <v>1063</v>
      </c>
      <c r="H23" s="372" t="s">
        <v>1064</v>
      </c>
      <c r="I23" s="375" t="s">
        <v>1065</v>
      </c>
      <c r="J23" s="375" t="s">
        <v>1066</v>
      </c>
      <c r="K23" s="376" t="s">
        <v>1067</v>
      </c>
    </row>
    <row r="24" spans="1:11" ht="15" thickBot="1" x14ac:dyDescent="0.3">
      <c r="B24" s="490" t="s">
        <v>619</v>
      </c>
      <c r="C24" s="491" t="s">
        <v>621</v>
      </c>
      <c r="D24" s="491" t="s">
        <v>621</v>
      </c>
      <c r="E24" s="491" t="s">
        <v>621</v>
      </c>
      <c r="F24" s="492" t="s">
        <v>621</v>
      </c>
      <c r="G24" s="493" t="s">
        <v>619</v>
      </c>
      <c r="H24" s="491" t="s">
        <v>621</v>
      </c>
      <c r="I24" s="491" t="s">
        <v>621</v>
      </c>
      <c r="J24" s="491" t="s">
        <v>621</v>
      </c>
      <c r="K24" s="492" t="s">
        <v>619</v>
      </c>
    </row>
    <row r="25" spans="1:11" ht="13.8" thickBot="1" x14ac:dyDescent="0.3">
      <c r="A25" s="390"/>
      <c r="B25" s="807" t="s">
        <v>1068</v>
      </c>
      <c r="C25" s="808"/>
      <c r="D25" s="808"/>
      <c r="E25" s="808"/>
      <c r="F25" s="808"/>
      <c r="G25" s="808"/>
      <c r="H25" s="808"/>
      <c r="I25" s="808"/>
      <c r="J25" s="808"/>
      <c r="K25" s="809"/>
    </row>
    <row r="26" spans="1:11" ht="27" thickBot="1" x14ac:dyDescent="0.3">
      <c r="A26" s="390"/>
      <c r="B26" s="369" t="s">
        <v>1124</v>
      </c>
      <c r="C26" s="918" t="s">
        <v>31</v>
      </c>
      <c r="D26" s="918"/>
      <c r="E26" s="918"/>
      <c r="F26" s="918"/>
      <c r="G26" s="918"/>
      <c r="H26" s="918"/>
      <c r="I26" s="401" t="s">
        <v>1125</v>
      </c>
      <c r="J26" s="906" t="s">
        <v>1074</v>
      </c>
      <c r="K26" s="907"/>
    </row>
    <row r="27" spans="1:11" ht="13.8" thickBot="1" x14ac:dyDescent="0.3">
      <c r="A27" s="390"/>
      <c r="B27" s="363" t="s">
        <v>655</v>
      </c>
      <c r="C27" s="768" t="s">
        <v>634</v>
      </c>
      <c r="D27" s="768"/>
      <c r="E27" s="768"/>
      <c r="F27" s="768"/>
      <c r="G27" s="768"/>
      <c r="H27" s="768"/>
      <c r="I27" s="410" t="s">
        <v>37</v>
      </c>
      <c r="J27" s="1107" t="s">
        <v>1832</v>
      </c>
      <c r="K27" s="1108"/>
    </row>
    <row r="28" spans="1:11" s="290" customFormat="1" ht="27" thickBot="1" x14ac:dyDescent="0.35">
      <c r="B28" s="383" t="s">
        <v>1072</v>
      </c>
      <c r="C28" s="814" t="s">
        <v>1108</v>
      </c>
      <c r="D28" s="815"/>
      <c r="E28" s="383" t="s">
        <v>1070</v>
      </c>
      <c r="F28" s="384" t="s">
        <v>1135</v>
      </c>
      <c r="G28" s="816" t="s">
        <v>1174</v>
      </c>
      <c r="H28" s="817"/>
      <c r="I28" s="383" t="s">
        <v>1130</v>
      </c>
      <c r="J28" s="814" t="s">
        <v>1133</v>
      </c>
      <c r="K28" s="815"/>
    </row>
    <row r="29" spans="1:11" ht="13.8" thickBot="1" x14ac:dyDescent="0.3">
      <c r="B29" s="938" t="s">
        <v>1076</v>
      </c>
      <c r="C29" s="939"/>
      <c r="D29" s="939"/>
      <c r="E29" s="939"/>
      <c r="F29" s="939"/>
      <c r="G29" s="939"/>
      <c r="H29" s="939"/>
      <c r="I29" s="939"/>
      <c r="J29" s="939"/>
      <c r="K29" s="940"/>
    </row>
    <row r="30" spans="1:11" ht="28.2" customHeight="1" thickBot="1" x14ac:dyDescent="0.3">
      <c r="B30" s="363" t="s">
        <v>655</v>
      </c>
      <c r="C30" s="953" t="s">
        <v>1833</v>
      </c>
      <c r="D30" s="953"/>
      <c r="E30" s="953"/>
      <c r="F30" s="953"/>
      <c r="G30" s="953"/>
      <c r="H30" s="953"/>
      <c r="I30" s="953"/>
      <c r="J30" s="953"/>
      <c r="K30" s="954"/>
    </row>
    <row r="31" spans="1:11" ht="13.8" thickBot="1" x14ac:dyDescent="0.3">
      <c r="B31" s="938" t="s">
        <v>1077</v>
      </c>
      <c r="C31" s="939"/>
      <c r="D31" s="939"/>
      <c r="E31" s="939"/>
      <c r="F31" s="939"/>
      <c r="G31" s="939"/>
      <c r="H31" s="939"/>
      <c r="I31" s="939"/>
      <c r="J31" s="939"/>
      <c r="K31" s="940"/>
    </row>
    <row r="32" spans="1:11" s="290" customFormat="1" ht="27" customHeight="1" thickBot="1" x14ac:dyDescent="0.35">
      <c r="B32" s="388" t="s">
        <v>705</v>
      </c>
      <c r="C32" s="856" t="s">
        <v>1173</v>
      </c>
      <c r="D32" s="856"/>
      <c r="E32" s="856"/>
      <c r="F32" s="856"/>
      <c r="G32" s="856"/>
      <c r="H32" s="856"/>
      <c r="I32" s="856"/>
      <c r="J32" s="856"/>
      <c r="K32" s="857"/>
    </row>
    <row r="33" spans="1:11" s="290" customFormat="1" ht="13.8" thickBot="1" x14ac:dyDescent="0.35">
      <c r="A33" s="352"/>
      <c r="B33" s="824" t="s">
        <v>1139</v>
      </c>
      <c r="C33" s="825"/>
      <c r="D33" s="825"/>
      <c r="E33" s="825"/>
      <c r="F33" s="825"/>
      <c r="G33" s="825"/>
      <c r="H33" s="825"/>
      <c r="I33" s="825"/>
      <c r="J33" s="825"/>
      <c r="K33" s="826"/>
    </row>
    <row r="34" spans="1:11" s="290" customFormat="1" ht="27" customHeight="1" thickBot="1" x14ac:dyDescent="0.35">
      <c r="B34" s="367" t="s">
        <v>1184</v>
      </c>
      <c r="C34" s="831" t="s">
        <v>1185</v>
      </c>
      <c r="D34" s="831"/>
      <c r="E34" s="831"/>
      <c r="F34" s="831"/>
      <c r="G34" s="831"/>
      <c r="H34" s="831"/>
      <c r="I34" s="831"/>
      <c r="J34" s="831"/>
      <c r="K34" s="832"/>
    </row>
    <row r="36" spans="1:11" ht="13.8" thickBot="1" x14ac:dyDescent="0.3"/>
    <row r="37" spans="1:11" ht="13.8" thickBot="1" x14ac:dyDescent="0.3">
      <c r="B37" s="921" t="s">
        <v>1060</v>
      </c>
      <c r="C37" s="922"/>
      <c r="D37" s="922"/>
      <c r="E37" s="922"/>
      <c r="F37" s="922"/>
      <c r="G37" s="922"/>
      <c r="H37" s="922"/>
      <c r="I37" s="922"/>
      <c r="J37" s="922"/>
      <c r="K37" s="923"/>
    </row>
    <row r="38" spans="1:11" ht="13.8" thickBot="1" x14ac:dyDescent="0.3">
      <c r="B38" s="360" t="s">
        <v>603</v>
      </c>
      <c r="C38" s="810" t="s">
        <v>307</v>
      </c>
      <c r="D38" s="810"/>
      <c r="E38" s="810"/>
      <c r="F38" s="810"/>
      <c r="G38" s="810"/>
      <c r="H38" s="810"/>
      <c r="I38" s="810"/>
      <c r="J38" s="810"/>
      <c r="K38" s="811"/>
    </row>
    <row r="39" spans="1:11" s="290" customFormat="1" ht="13.8" thickBot="1" x14ac:dyDescent="0.35">
      <c r="B39" s="929" t="s">
        <v>1109</v>
      </c>
      <c r="C39" s="930"/>
      <c r="D39" s="930"/>
      <c r="E39" s="930"/>
      <c r="F39" s="930"/>
      <c r="G39" s="930"/>
      <c r="H39" s="930"/>
      <c r="I39" s="930"/>
      <c r="J39" s="930"/>
      <c r="K39" s="931"/>
    </row>
    <row r="40" spans="1:11" s="290" customFormat="1" x14ac:dyDescent="0.3">
      <c r="B40" s="361" t="s">
        <v>1110</v>
      </c>
      <c r="C40" s="812" t="s">
        <v>1111</v>
      </c>
      <c r="D40" s="812"/>
      <c r="E40" s="812"/>
      <c r="F40" s="812"/>
      <c r="G40" s="812"/>
      <c r="H40" s="812"/>
      <c r="I40" s="812"/>
      <c r="J40" s="812"/>
      <c r="K40" s="362" t="s">
        <v>35</v>
      </c>
    </row>
    <row r="41" spans="1:11" s="290" customFormat="1" x14ac:dyDescent="0.3">
      <c r="A41" s="352"/>
      <c r="B41" s="363"/>
      <c r="C41" s="804" t="s">
        <v>1206</v>
      </c>
      <c r="D41" s="805"/>
      <c r="E41" s="805"/>
      <c r="F41" s="805"/>
      <c r="G41" s="805"/>
      <c r="H41" s="805"/>
      <c r="I41" s="805"/>
      <c r="J41" s="806"/>
      <c r="K41" s="364"/>
    </row>
    <row r="42" spans="1:11" s="290" customFormat="1" x14ac:dyDescent="0.3">
      <c r="B42" s="365" t="s">
        <v>1112</v>
      </c>
      <c r="C42" s="813" t="s">
        <v>1118</v>
      </c>
      <c r="D42" s="813"/>
      <c r="E42" s="813"/>
      <c r="F42" s="813"/>
      <c r="G42" s="813"/>
      <c r="H42" s="813"/>
      <c r="I42" s="813"/>
      <c r="J42" s="813"/>
      <c r="K42" s="366" t="s">
        <v>35</v>
      </c>
    </row>
    <row r="43" spans="1:11" s="290" customFormat="1" x14ac:dyDescent="0.3">
      <c r="B43" s="365" t="s">
        <v>1113</v>
      </c>
      <c r="C43" s="813" t="s">
        <v>1119</v>
      </c>
      <c r="D43" s="813"/>
      <c r="E43" s="813"/>
      <c r="F43" s="813"/>
      <c r="G43" s="813"/>
      <c r="H43" s="813"/>
      <c r="I43" s="813"/>
      <c r="J43" s="813"/>
      <c r="K43" s="366" t="s">
        <v>35</v>
      </c>
    </row>
    <row r="44" spans="1:11" s="290" customFormat="1" x14ac:dyDescent="0.3">
      <c r="B44" s="365" t="s">
        <v>1114</v>
      </c>
      <c r="C44" s="813" t="s">
        <v>1120</v>
      </c>
      <c r="D44" s="813"/>
      <c r="E44" s="813"/>
      <c r="F44" s="813"/>
      <c r="G44" s="813"/>
      <c r="H44" s="813"/>
      <c r="I44" s="813"/>
      <c r="J44" s="813"/>
      <c r="K44" s="366" t="s">
        <v>35</v>
      </c>
    </row>
    <row r="45" spans="1:11" s="290" customFormat="1" ht="27" customHeight="1" x14ac:dyDescent="0.3">
      <c r="B45" s="365" t="s">
        <v>1115</v>
      </c>
      <c r="C45" s="813" t="s">
        <v>1121</v>
      </c>
      <c r="D45" s="813"/>
      <c r="E45" s="813"/>
      <c r="F45" s="813"/>
      <c r="G45" s="813"/>
      <c r="H45" s="813"/>
      <c r="I45" s="813"/>
      <c r="J45" s="813"/>
      <c r="K45" s="366" t="s">
        <v>35</v>
      </c>
    </row>
    <row r="46" spans="1:11" s="290" customFormat="1" x14ac:dyDescent="0.3">
      <c r="B46" s="365" t="s">
        <v>1116</v>
      </c>
      <c r="C46" s="813" t="s">
        <v>1272</v>
      </c>
      <c r="D46" s="813"/>
      <c r="E46" s="813"/>
      <c r="F46" s="813"/>
      <c r="G46" s="813"/>
      <c r="H46" s="813"/>
      <c r="I46" s="813"/>
      <c r="J46" s="813"/>
      <c r="K46" s="366" t="s">
        <v>35</v>
      </c>
    </row>
    <row r="47" spans="1:11" s="290" customFormat="1" ht="13.8" thickBot="1" x14ac:dyDescent="0.35">
      <c r="B47" s="367" t="s">
        <v>1117</v>
      </c>
      <c r="C47" s="831" t="s">
        <v>1122</v>
      </c>
      <c r="D47" s="831"/>
      <c r="E47" s="831"/>
      <c r="F47" s="831"/>
      <c r="G47" s="831"/>
      <c r="H47" s="831"/>
      <c r="I47" s="831"/>
      <c r="J47" s="831"/>
      <c r="K47" s="368" t="s">
        <v>35</v>
      </c>
    </row>
    <row r="48" spans="1:11" s="290" customFormat="1" ht="13.8" thickBot="1" x14ac:dyDescent="0.35">
      <c r="B48" s="391"/>
      <c r="C48" s="915" t="s">
        <v>1123</v>
      </c>
      <c r="D48" s="916"/>
      <c r="E48" s="916"/>
      <c r="F48" s="916"/>
      <c r="G48" s="916"/>
      <c r="H48" s="916"/>
      <c r="I48" s="916"/>
      <c r="J48" s="917"/>
      <c r="K48" s="392" t="str">
        <f>IF(OR(K40="Yes",K42="Yes",K43="Yes",K44="Yes",K45="Yes",K46="Yes",K47="Yes"),"Yes","No")</f>
        <v>No</v>
      </c>
    </row>
    <row r="49" spans="1:11" ht="13.8" thickBot="1" x14ac:dyDescent="0.3">
      <c r="B49" s="924" t="s">
        <v>1061</v>
      </c>
      <c r="C49" s="924"/>
      <c r="D49" s="924"/>
      <c r="E49" s="924"/>
      <c r="F49" s="924"/>
      <c r="G49" s="924" t="s">
        <v>1062</v>
      </c>
      <c r="H49" s="924"/>
      <c r="I49" s="924"/>
      <c r="J49" s="924"/>
      <c r="K49" s="924"/>
    </row>
    <row r="50" spans="1:11" ht="27" thickBot="1" x14ac:dyDescent="0.3">
      <c r="B50" s="371" t="s">
        <v>306</v>
      </c>
      <c r="C50" s="372" t="s">
        <v>19</v>
      </c>
      <c r="D50" s="372" t="s">
        <v>326</v>
      </c>
      <c r="E50" s="372" t="s">
        <v>310</v>
      </c>
      <c r="F50" s="373" t="s">
        <v>552</v>
      </c>
      <c r="G50" s="374" t="s">
        <v>1063</v>
      </c>
      <c r="H50" s="372" t="s">
        <v>1064</v>
      </c>
      <c r="I50" s="375" t="s">
        <v>1065</v>
      </c>
      <c r="J50" s="375" t="s">
        <v>1066</v>
      </c>
      <c r="K50" s="376" t="s">
        <v>1067</v>
      </c>
    </row>
    <row r="51" spans="1:11" ht="15" thickBot="1" x14ac:dyDescent="0.3">
      <c r="B51" s="490" t="s">
        <v>619</v>
      </c>
      <c r="C51" s="491" t="s">
        <v>619</v>
      </c>
      <c r="D51" s="491" t="s">
        <v>621</v>
      </c>
      <c r="E51" s="491" t="s">
        <v>621</v>
      </c>
      <c r="F51" s="492" t="s">
        <v>621</v>
      </c>
      <c r="G51" s="493" t="s">
        <v>619</v>
      </c>
      <c r="H51" s="491" t="s">
        <v>621</v>
      </c>
      <c r="I51" s="491" t="s">
        <v>621</v>
      </c>
      <c r="J51" s="491" t="s">
        <v>621</v>
      </c>
      <c r="K51" s="492" t="s">
        <v>619</v>
      </c>
    </row>
    <row r="52" spans="1:11" ht="13.8" thickBot="1" x14ac:dyDescent="0.3">
      <c r="A52" s="390"/>
      <c r="B52" s="807" t="s">
        <v>1068</v>
      </c>
      <c r="C52" s="808"/>
      <c r="D52" s="808"/>
      <c r="E52" s="808"/>
      <c r="F52" s="808"/>
      <c r="G52" s="808"/>
      <c r="H52" s="808"/>
      <c r="I52" s="808"/>
      <c r="J52" s="808"/>
      <c r="K52" s="809"/>
    </row>
    <row r="53" spans="1:11" ht="27" thickBot="1" x14ac:dyDescent="0.3">
      <c r="A53" s="390"/>
      <c r="B53" s="369" t="s">
        <v>1124</v>
      </c>
      <c r="C53" s="918" t="s">
        <v>31</v>
      </c>
      <c r="D53" s="918"/>
      <c r="E53" s="918"/>
      <c r="F53" s="918"/>
      <c r="G53" s="918"/>
      <c r="H53" s="918"/>
      <c r="I53" s="401" t="s">
        <v>1125</v>
      </c>
      <c r="J53" s="906" t="s">
        <v>1074</v>
      </c>
      <c r="K53" s="907"/>
    </row>
    <row r="54" spans="1:11" ht="27" customHeight="1" thickBot="1" x14ac:dyDescent="0.3">
      <c r="A54" s="390"/>
      <c r="B54" s="363" t="s">
        <v>656</v>
      </c>
      <c r="C54" s="768" t="s">
        <v>651</v>
      </c>
      <c r="D54" s="768"/>
      <c r="E54" s="768"/>
      <c r="F54" s="768"/>
      <c r="G54" s="768"/>
      <c r="H54" s="768"/>
      <c r="I54" s="410" t="s">
        <v>37</v>
      </c>
      <c r="J54" s="1115" t="s">
        <v>1832</v>
      </c>
      <c r="K54" s="862"/>
    </row>
    <row r="55" spans="1:11" s="290" customFormat="1" ht="27" thickBot="1" x14ac:dyDescent="0.35">
      <c r="B55" s="383" t="s">
        <v>1072</v>
      </c>
      <c r="C55" s="814" t="s">
        <v>1108</v>
      </c>
      <c r="D55" s="815"/>
      <c r="E55" s="383" t="s">
        <v>1070</v>
      </c>
      <c r="F55" s="384" t="s">
        <v>1134</v>
      </c>
      <c r="G55" s="816" t="s">
        <v>1131</v>
      </c>
      <c r="H55" s="817"/>
      <c r="I55" s="383" t="s">
        <v>1130</v>
      </c>
      <c r="J55" s="814" t="s">
        <v>1133</v>
      </c>
      <c r="K55" s="815"/>
    </row>
    <row r="56" spans="1:11" ht="13.8" thickBot="1" x14ac:dyDescent="0.3">
      <c r="B56" s="938" t="s">
        <v>1076</v>
      </c>
      <c r="C56" s="939"/>
      <c r="D56" s="939"/>
      <c r="E56" s="939"/>
      <c r="F56" s="939"/>
      <c r="G56" s="939"/>
      <c r="H56" s="939"/>
      <c r="I56" s="939"/>
      <c r="J56" s="939"/>
      <c r="K56" s="940"/>
    </row>
    <row r="57" spans="1:11" ht="20.399999999999999" customHeight="1" thickBot="1" x14ac:dyDescent="0.3">
      <c r="B57" s="360" t="s">
        <v>656</v>
      </c>
      <c r="C57" s="830" t="s">
        <v>988</v>
      </c>
      <c r="D57" s="816"/>
      <c r="E57" s="816"/>
      <c r="F57" s="816"/>
      <c r="G57" s="816"/>
      <c r="H57" s="816"/>
      <c r="I57" s="816"/>
      <c r="J57" s="816"/>
      <c r="K57" s="817"/>
    </row>
    <row r="58" spans="1:11" ht="13.8" thickBot="1" x14ac:dyDescent="0.3">
      <c r="B58" s="938" t="s">
        <v>1077</v>
      </c>
      <c r="C58" s="939"/>
      <c r="D58" s="939"/>
      <c r="E58" s="939"/>
      <c r="F58" s="939"/>
      <c r="G58" s="939"/>
      <c r="H58" s="939"/>
      <c r="I58" s="939"/>
      <c r="J58" s="939"/>
      <c r="K58" s="940"/>
    </row>
    <row r="59" spans="1:11" ht="13.8" thickBot="1" x14ac:dyDescent="0.3">
      <c r="B59" s="403" t="s">
        <v>706</v>
      </c>
      <c r="C59" s="1109" t="s">
        <v>330</v>
      </c>
      <c r="D59" s="1110"/>
      <c r="E59" s="1110"/>
      <c r="F59" s="1110"/>
      <c r="G59" s="1110"/>
      <c r="H59" s="1110"/>
      <c r="I59" s="1110"/>
      <c r="J59" s="1110"/>
      <c r="K59" s="1111"/>
    </row>
    <row r="61" spans="1:11" ht="13.8" thickBot="1" x14ac:dyDescent="0.3"/>
    <row r="62" spans="1:11" ht="13.8" thickBot="1" x14ac:dyDescent="0.3">
      <c r="B62" s="921" t="s">
        <v>1060</v>
      </c>
      <c r="C62" s="922"/>
      <c r="D62" s="922"/>
      <c r="E62" s="922"/>
      <c r="F62" s="922"/>
      <c r="G62" s="922"/>
      <c r="H62" s="922"/>
      <c r="I62" s="922"/>
      <c r="J62" s="922"/>
      <c r="K62" s="923"/>
    </row>
    <row r="63" spans="1:11" ht="13.8" thickBot="1" x14ac:dyDescent="0.3">
      <c r="B63" s="360" t="s">
        <v>604</v>
      </c>
      <c r="C63" s="810" t="s">
        <v>311</v>
      </c>
      <c r="D63" s="810"/>
      <c r="E63" s="810"/>
      <c r="F63" s="810"/>
      <c r="G63" s="810"/>
      <c r="H63" s="810"/>
      <c r="I63" s="810"/>
      <c r="J63" s="810"/>
      <c r="K63" s="811"/>
    </row>
    <row r="64" spans="1:11" s="290" customFormat="1" ht="13.8" thickBot="1" x14ac:dyDescent="0.35">
      <c r="B64" s="929" t="s">
        <v>1109</v>
      </c>
      <c r="C64" s="930"/>
      <c r="D64" s="930"/>
      <c r="E64" s="930"/>
      <c r="F64" s="930"/>
      <c r="G64" s="930"/>
      <c r="H64" s="930"/>
      <c r="I64" s="930"/>
      <c r="J64" s="930"/>
      <c r="K64" s="931"/>
    </row>
    <row r="65" spans="1:11" s="290" customFormat="1" x14ac:dyDescent="0.3">
      <c r="B65" s="361" t="s">
        <v>1110</v>
      </c>
      <c r="C65" s="812" t="s">
        <v>1111</v>
      </c>
      <c r="D65" s="812"/>
      <c r="E65" s="812"/>
      <c r="F65" s="812"/>
      <c r="G65" s="812"/>
      <c r="H65" s="812"/>
      <c r="I65" s="812"/>
      <c r="J65" s="812"/>
      <c r="K65" s="362" t="s">
        <v>35</v>
      </c>
    </row>
    <row r="66" spans="1:11" s="290" customFormat="1" x14ac:dyDescent="0.3">
      <c r="A66" s="352"/>
      <c r="B66" s="363"/>
      <c r="C66" s="804" t="s">
        <v>1206</v>
      </c>
      <c r="D66" s="805"/>
      <c r="E66" s="805"/>
      <c r="F66" s="805"/>
      <c r="G66" s="805"/>
      <c r="H66" s="805"/>
      <c r="I66" s="805"/>
      <c r="J66" s="806"/>
      <c r="K66" s="364"/>
    </row>
    <row r="67" spans="1:11" s="290" customFormat="1" x14ac:dyDescent="0.3">
      <c r="B67" s="365" t="s">
        <v>1112</v>
      </c>
      <c r="C67" s="813" t="s">
        <v>1118</v>
      </c>
      <c r="D67" s="813"/>
      <c r="E67" s="813"/>
      <c r="F67" s="813"/>
      <c r="G67" s="813"/>
      <c r="H67" s="813"/>
      <c r="I67" s="813"/>
      <c r="J67" s="813"/>
      <c r="K67" s="366" t="s">
        <v>35</v>
      </c>
    </row>
    <row r="68" spans="1:11" s="290" customFormat="1" x14ac:dyDescent="0.3">
      <c r="B68" s="365" t="s">
        <v>1113</v>
      </c>
      <c r="C68" s="813" t="s">
        <v>1119</v>
      </c>
      <c r="D68" s="813"/>
      <c r="E68" s="813"/>
      <c r="F68" s="813"/>
      <c r="G68" s="813"/>
      <c r="H68" s="813"/>
      <c r="I68" s="813"/>
      <c r="J68" s="813"/>
      <c r="K68" s="366" t="s">
        <v>35</v>
      </c>
    </row>
    <row r="69" spans="1:11" s="290" customFormat="1" x14ac:dyDescent="0.3">
      <c r="B69" s="365" t="s">
        <v>1114</v>
      </c>
      <c r="C69" s="813" t="s">
        <v>1120</v>
      </c>
      <c r="D69" s="813"/>
      <c r="E69" s="813"/>
      <c r="F69" s="813"/>
      <c r="G69" s="813"/>
      <c r="H69" s="813"/>
      <c r="I69" s="813"/>
      <c r="J69" s="813"/>
      <c r="K69" s="366" t="s">
        <v>35</v>
      </c>
    </row>
    <row r="70" spans="1:11" s="290" customFormat="1" ht="27" customHeight="1" x14ac:dyDescent="0.3">
      <c r="B70" s="365" t="s">
        <v>1115</v>
      </c>
      <c r="C70" s="813" t="s">
        <v>1121</v>
      </c>
      <c r="D70" s="813"/>
      <c r="E70" s="813"/>
      <c r="F70" s="813"/>
      <c r="G70" s="813"/>
      <c r="H70" s="813"/>
      <c r="I70" s="813"/>
      <c r="J70" s="813"/>
      <c r="K70" s="366" t="s">
        <v>35</v>
      </c>
    </row>
    <row r="71" spans="1:11" s="290" customFormat="1" x14ac:dyDescent="0.3">
      <c r="B71" s="365" t="s">
        <v>1116</v>
      </c>
      <c r="C71" s="813" t="s">
        <v>1272</v>
      </c>
      <c r="D71" s="813"/>
      <c r="E71" s="813"/>
      <c r="F71" s="813"/>
      <c r="G71" s="813"/>
      <c r="H71" s="813"/>
      <c r="I71" s="813"/>
      <c r="J71" s="813"/>
      <c r="K71" s="366" t="s">
        <v>35</v>
      </c>
    </row>
    <row r="72" spans="1:11" s="290" customFormat="1" ht="13.8" thickBot="1" x14ac:dyDescent="0.35">
      <c r="B72" s="367" t="s">
        <v>1117</v>
      </c>
      <c r="C72" s="831" t="s">
        <v>1122</v>
      </c>
      <c r="D72" s="831"/>
      <c r="E72" s="831"/>
      <c r="F72" s="831"/>
      <c r="G72" s="831"/>
      <c r="H72" s="831"/>
      <c r="I72" s="831"/>
      <c r="J72" s="831"/>
      <c r="K72" s="368" t="s">
        <v>35</v>
      </c>
    </row>
    <row r="73" spans="1:11" s="290" customFormat="1" ht="13.8" thickBot="1" x14ac:dyDescent="0.35">
      <c r="B73" s="391"/>
      <c r="C73" s="915" t="s">
        <v>1123</v>
      </c>
      <c r="D73" s="916"/>
      <c r="E73" s="916"/>
      <c r="F73" s="916"/>
      <c r="G73" s="916"/>
      <c r="H73" s="916"/>
      <c r="I73" s="916"/>
      <c r="J73" s="917"/>
      <c r="K73" s="392" t="str">
        <f>IF(OR(K65="Yes",K67="Yes",K68="Yes",K69="Yes",K70="Yes",K71="Yes",K72="Yes"),"Yes","No")</f>
        <v>No</v>
      </c>
    </row>
    <row r="74" spans="1:11" ht="13.8" thickBot="1" x14ac:dyDescent="0.3">
      <c r="B74" s="924" t="s">
        <v>1061</v>
      </c>
      <c r="C74" s="924"/>
      <c r="D74" s="924"/>
      <c r="E74" s="924"/>
      <c r="F74" s="924"/>
      <c r="G74" s="924" t="s">
        <v>1062</v>
      </c>
      <c r="H74" s="924"/>
      <c r="I74" s="924"/>
      <c r="J74" s="924"/>
      <c r="K74" s="924"/>
    </row>
    <row r="75" spans="1:11" ht="27" thickBot="1" x14ac:dyDescent="0.3">
      <c r="B75" s="371" t="s">
        <v>306</v>
      </c>
      <c r="C75" s="372" t="s">
        <v>19</v>
      </c>
      <c r="D75" s="372" t="s">
        <v>326</v>
      </c>
      <c r="E75" s="372" t="s">
        <v>310</v>
      </c>
      <c r="F75" s="373" t="s">
        <v>552</v>
      </c>
      <c r="G75" s="374" t="s">
        <v>1063</v>
      </c>
      <c r="H75" s="372" t="s">
        <v>1064</v>
      </c>
      <c r="I75" s="375" t="s">
        <v>1065</v>
      </c>
      <c r="J75" s="375" t="s">
        <v>1066</v>
      </c>
      <c r="K75" s="376" t="s">
        <v>1067</v>
      </c>
    </row>
    <row r="76" spans="1:11" ht="15" thickBot="1" x14ac:dyDescent="0.3">
      <c r="B76" s="490" t="s">
        <v>621</v>
      </c>
      <c r="C76" s="491" t="s">
        <v>621</v>
      </c>
      <c r="D76" s="491" t="s">
        <v>619</v>
      </c>
      <c r="E76" s="491" t="s">
        <v>621</v>
      </c>
      <c r="F76" s="492" t="s">
        <v>621</v>
      </c>
      <c r="G76" s="493" t="s">
        <v>619</v>
      </c>
      <c r="H76" s="491" t="s">
        <v>621</v>
      </c>
      <c r="I76" s="491" t="s">
        <v>621</v>
      </c>
      <c r="J76" s="491" t="s">
        <v>621</v>
      </c>
      <c r="K76" s="492" t="s">
        <v>619</v>
      </c>
    </row>
    <row r="77" spans="1:11" ht="13.8" thickBot="1" x14ac:dyDescent="0.3">
      <c r="A77" s="390"/>
      <c r="B77" s="807" t="s">
        <v>1068</v>
      </c>
      <c r="C77" s="808"/>
      <c r="D77" s="808"/>
      <c r="E77" s="808"/>
      <c r="F77" s="808"/>
      <c r="G77" s="808"/>
      <c r="H77" s="808"/>
      <c r="I77" s="808"/>
      <c r="J77" s="808"/>
      <c r="K77" s="809"/>
    </row>
    <row r="78" spans="1:11" ht="27" thickBot="1" x14ac:dyDescent="0.3">
      <c r="A78" s="390"/>
      <c r="B78" s="369" t="s">
        <v>1124</v>
      </c>
      <c r="C78" s="918" t="s">
        <v>31</v>
      </c>
      <c r="D78" s="918"/>
      <c r="E78" s="918"/>
      <c r="F78" s="918"/>
      <c r="G78" s="918"/>
      <c r="H78" s="918"/>
      <c r="I78" s="401" t="s">
        <v>1125</v>
      </c>
      <c r="J78" s="906" t="s">
        <v>1074</v>
      </c>
      <c r="K78" s="907"/>
    </row>
    <row r="79" spans="1:11" ht="27" customHeight="1" thickBot="1" x14ac:dyDescent="0.3">
      <c r="A79" s="390"/>
      <c r="B79" s="363" t="s">
        <v>657</v>
      </c>
      <c r="C79" s="768" t="s">
        <v>652</v>
      </c>
      <c r="D79" s="768"/>
      <c r="E79" s="768"/>
      <c r="F79" s="768"/>
      <c r="G79" s="768"/>
      <c r="H79" s="768"/>
      <c r="I79" s="410" t="s">
        <v>37</v>
      </c>
      <c r="J79" s="1115" t="s">
        <v>1832</v>
      </c>
      <c r="K79" s="862"/>
    </row>
    <row r="80" spans="1:11" ht="27" thickBot="1" x14ac:dyDescent="0.3">
      <c r="A80" s="390"/>
      <c r="B80" s="383" t="s">
        <v>1072</v>
      </c>
      <c r="C80" s="814" t="s">
        <v>1108</v>
      </c>
      <c r="D80" s="815"/>
      <c r="E80" s="383" t="s">
        <v>1070</v>
      </c>
      <c r="F80" s="402" t="s">
        <v>1134</v>
      </c>
      <c r="G80" s="816" t="s">
        <v>1259</v>
      </c>
      <c r="H80" s="817"/>
      <c r="I80" s="383" t="s">
        <v>1130</v>
      </c>
      <c r="J80" s="814" t="s">
        <v>1133</v>
      </c>
      <c r="K80" s="815"/>
    </row>
    <row r="81" spans="1:11" ht="13.8" thickBot="1" x14ac:dyDescent="0.3">
      <c r="B81" s="938" t="s">
        <v>1076</v>
      </c>
      <c r="C81" s="939"/>
      <c r="D81" s="939"/>
      <c r="E81" s="939"/>
      <c r="F81" s="939"/>
      <c r="G81" s="939"/>
      <c r="H81" s="939"/>
      <c r="I81" s="939"/>
      <c r="J81" s="939"/>
      <c r="K81" s="940"/>
    </row>
    <row r="82" spans="1:11" ht="13.8" thickBot="1" x14ac:dyDescent="0.3">
      <c r="B82" s="360" t="s">
        <v>657</v>
      </c>
      <c r="C82" s="830" t="s">
        <v>989</v>
      </c>
      <c r="D82" s="816"/>
      <c r="E82" s="816"/>
      <c r="F82" s="816"/>
      <c r="G82" s="816"/>
      <c r="H82" s="816"/>
      <c r="I82" s="816"/>
      <c r="J82" s="816"/>
      <c r="K82" s="817"/>
    </row>
    <row r="83" spans="1:11" ht="13.8" thickBot="1" x14ac:dyDescent="0.3">
      <c r="B83" s="938" t="s">
        <v>1077</v>
      </c>
      <c r="C83" s="939"/>
      <c r="D83" s="939"/>
      <c r="E83" s="939"/>
      <c r="F83" s="939"/>
      <c r="G83" s="939"/>
      <c r="H83" s="939"/>
      <c r="I83" s="939"/>
      <c r="J83" s="939"/>
      <c r="K83" s="940"/>
    </row>
    <row r="84" spans="1:11" ht="13.8" thickBot="1" x14ac:dyDescent="0.3">
      <c r="B84" s="360" t="s">
        <v>707</v>
      </c>
      <c r="C84" s="830" t="s">
        <v>333</v>
      </c>
      <c r="D84" s="816"/>
      <c r="E84" s="816"/>
      <c r="F84" s="816"/>
      <c r="G84" s="816"/>
      <c r="H84" s="816"/>
      <c r="I84" s="816"/>
      <c r="J84" s="816"/>
      <c r="K84" s="817"/>
    </row>
    <row r="86" spans="1:11" ht="13.8" thickBot="1" x14ac:dyDescent="0.3"/>
    <row r="87" spans="1:11" ht="13.8" thickBot="1" x14ac:dyDescent="0.3">
      <c r="B87" s="921" t="s">
        <v>1060</v>
      </c>
      <c r="C87" s="922"/>
      <c r="D87" s="922"/>
      <c r="E87" s="922"/>
      <c r="F87" s="922"/>
      <c r="G87" s="922"/>
      <c r="H87" s="922"/>
      <c r="I87" s="922"/>
      <c r="J87" s="922"/>
      <c r="K87" s="923"/>
    </row>
    <row r="88" spans="1:11" ht="13.8" thickBot="1" x14ac:dyDescent="0.3">
      <c r="B88" s="360" t="s">
        <v>605</v>
      </c>
      <c r="C88" s="810" t="s">
        <v>314</v>
      </c>
      <c r="D88" s="810"/>
      <c r="E88" s="810"/>
      <c r="F88" s="810"/>
      <c r="G88" s="810"/>
      <c r="H88" s="810"/>
      <c r="I88" s="810"/>
      <c r="J88" s="810"/>
      <c r="K88" s="811"/>
    </row>
    <row r="89" spans="1:11" s="290" customFormat="1" ht="13.8" thickBot="1" x14ac:dyDescent="0.35">
      <c r="B89" s="929" t="s">
        <v>1109</v>
      </c>
      <c r="C89" s="930"/>
      <c r="D89" s="930"/>
      <c r="E89" s="930"/>
      <c r="F89" s="930"/>
      <c r="G89" s="930"/>
      <c r="H89" s="930"/>
      <c r="I89" s="930"/>
      <c r="J89" s="930"/>
      <c r="K89" s="931"/>
    </row>
    <row r="90" spans="1:11" s="290" customFormat="1" x14ac:dyDescent="0.3">
      <c r="B90" s="361" t="s">
        <v>1110</v>
      </c>
      <c r="C90" s="812" t="s">
        <v>1111</v>
      </c>
      <c r="D90" s="812"/>
      <c r="E90" s="812"/>
      <c r="F90" s="812"/>
      <c r="G90" s="812"/>
      <c r="H90" s="812"/>
      <c r="I90" s="812"/>
      <c r="J90" s="812"/>
      <c r="K90" s="362" t="s">
        <v>35</v>
      </c>
    </row>
    <row r="91" spans="1:11" s="290" customFormat="1" x14ac:dyDescent="0.3">
      <c r="A91" s="352"/>
      <c r="B91" s="363"/>
      <c r="C91" s="804" t="s">
        <v>1206</v>
      </c>
      <c r="D91" s="805"/>
      <c r="E91" s="805"/>
      <c r="F91" s="805"/>
      <c r="G91" s="805"/>
      <c r="H91" s="805"/>
      <c r="I91" s="805"/>
      <c r="J91" s="806"/>
      <c r="K91" s="364"/>
    </row>
    <row r="92" spans="1:11" s="290" customFormat="1" x14ac:dyDescent="0.3">
      <c r="B92" s="365" t="s">
        <v>1112</v>
      </c>
      <c r="C92" s="813" t="s">
        <v>1118</v>
      </c>
      <c r="D92" s="813"/>
      <c r="E92" s="813"/>
      <c r="F92" s="813"/>
      <c r="G92" s="813"/>
      <c r="H92" s="813"/>
      <c r="I92" s="813"/>
      <c r="J92" s="813"/>
      <c r="K92" s="366" t="s">
        <v>35</v>
      </c>
    </row>
    <row r="93" spans="1:11" s="290" customFormat="1" x14ac:dyDescent="0.3">
      <c r="B93" s="365" t="s">
        <v>1113</v>
      </c>
      <c r="C93" s="813" t="s">
        <v>1119</v>
      </c>
      <c r="D93" s="813"/>
      <c r="E93" s="813"/>
      <c r="F93" s="813"/>
      <c r="G93" s="813"/>
      <c r="H93" s="813"/>
      <c r="I93" s="813"/>
      <c r="J93" s="813"/>
      <c r="K93" s="366" t="s">
        <v>35</v>
      </c>
    </row>
    <row r="94" spans="1:11" s="290" customFormat="1" x14ac:dyDescent="0.3">
      <c r="B94" s="365" t="s">
        <v>1114</v>
      </c>
      <c r="C94" s="813" t="s">
        <v>1120</v>
      </c>
      <c r="D94" s="813"/>
      <c r="E94" s="813"/>
      <c r="F94" s="813"/>
      <c r="G94" s="813"/>
      <c r="H94" s="813"/>
      <c r="I94" s="813"/>
      <c r="J94" s="813"/>
      <c r="K94" s="366" t="s">
        <v>35</v>
      </c>
    </row>
    <row r="95" spans="1:11" s="290" customFormat="1" ht="27" customHeight="1" x14ac:dyDescent="0.3">
      <c r="B95" s="365" t="s">
        <v>1115</v>
      </c>
      <c r="C95" s="813" t="s">
        <v>1121</v>
      </c>
      <c r="D95" s="813"/>
      <c r="E95" s="813"/>
      <c r="F95" s="813"/>
      <c r="G95" s="813"/>
      <c r="H95" s="813"/>
      <c r="I95" s="813"/>
      <c r="J95" s="813"/>
      <c r="K95" s="366" t="s">
        <v>35</v>
      </c>
    </row>
    <row r="96" spans="1:11" s="290" customFormat="1" x14ac:dyDescent="0.3">
      <c r="B96" s="365" t="s">
        <v>1116</v>
      </c>
      <c r="C96" s="813" t="s">
        <v>1272</v>
      </c>
      <c r="D96" s="813"/>
      <c r="E96" s="813"/>
      <c r="F96" s="813"/>
      <c r="G96" s="813"/>
      <c r="H96" s="813"/>
      <c r="I96" s="813"/>
      <c r="J96" s="813"/>
      <c r="K96" s="366" t="s">
        <v>35</v>
      </c>
    </row>
    <row r="97" spans="1:12" s="290" customFormat="1" ht="13.8" thickBot="1" x14ac:dyDescent="0.35">
      <c r="B97" s="367" t="s">
        <v>1117</v>
      </c>
      <c r="C97" s="831" t="s">
        <v>1122</v>
      </c>
      <c r="D97" s="831"/>
      <c r="E97" s="831"/>
      <c r="F97" s="831"/>
      <c r="G97" s="831"/>
      <c r="H97" s="831"/>
      <c r="I97" s="831"/>
      <c r="J97" s="831"/>
      <c r="K97" s="368" t="s">
        <v>35</v>
      </c>
    </row>
    <row r="98" spans="1:12" s="290" customFormat="1" ht="13.8" thickBot="1" x14ac:dyDescent="0.35">
      <c r="B98" s="391"/>
      <c r="C98" s="915" t="s">
        <v>1123</v>
      </c>
      <c r="D98" s="916"/>
      <c r="E98" s="916"/>
      <c r="F98" s="916"/>
      <c r="G98" s="916"/>
      <c r="H98" s="916"/>
      <c r="I98" s="916"/>
      <c r="J98" s="917"/>
      <c r="K98" s="392" t="str">
        <f>IF(OR(K90="Yes",K92="Yes",K93="Yes",K94="Yes",K95="Yes",K96="Yes",K97="Yes"),"Yes","No")</f>
        <v>No</v>
      </c>
    </row>
    <row r="99" spans="1:12" ht="13.8" thickBot="1" x14ac:dyDescent="0.3">
      <c r="B99" s="924" t="s">
        <v>1061</v>
      </c>
      <c r="C99" s="924"/>
      <c r="D99" s="924"/>
      <c r="E99" s="924"/>
      <c r="F99" s="924"/>
      <c r="G99" s="924" t="s">
        <v>1062</v>
      </c>
      <c r="H99" s="924"/>
      <c r="I99" s="924"/>
      <c r="J99" s="924"/>
      <c r="K99" s="924"/>
    </row>
    <row r="100" spans="1:12" ht="27" thickBot="1" x14ac:dyDescent="0.3">
      <c r="B100" s="371" t="s">
        <v>306</v>
      </c>
      <c r="C100" s="372" t="s">
        <v>19</v>
      </c>
      <c r="D100" s="372" t="s">
        <v>326</v>
      </c>
      <c r="E100" s="372" t="s">
        <v>310</v>
      </c>
      <c r="F100" s="373" t="s">
        <v>552</v>
      </c>
      <c r="G100" s="374" t="s">
        <v>1063</v>
      </c>
      <c r="H100" s="372" t="s">
        <v>1064</v>
      </c>
      <c r="I100" s="375" t="s">
        <v>1065</v>
      </c>
      <c r="J100" s="375" t="s">
        <v>1066</v>
      </c>
      <c r="K100" s="376" t="s">
        <v>1067</v>
      </c>
    </row>
    <row r="101" spans="1:12" ht="15" thickBot="1" x14ac:dyDescent="0.3">
      <c r="B101" s="490" t="s">
        <v>621</v>
      </c>
      <c r="C101" s="491" t="s">
        <v>621</v>
      </c>
      <c r="D101" s="491" t="s">
        <v>619</v>
      </c>
      <c r="E101" s="491" t="s">
        <v>621</v>
      </c>
      <c r="F101" s="492" t="s">
        <v>621</v>
      </c>
      <c r="G101" s="493" t="s">
        <v>619</v>
      </c>
      <c r="H101" s="491" t="s">
        <v>621</v>
      </c>
      <c r="I101" s="491" t="s">
        <v>621</v>
      </c>
      <c r="J101" s="491" t="s">
        <v>621</v>
      </c>
      <c r="K101" s="492" t="s">
        <v>619</v>
      </c>
    </row>
    <row r="102" spans="1:12" ht="13.8" thickBot="1" x14ac:dyDescent="0.3">
      <c r="A102" s="390"/>
      <c r="B102" s="807" t="s">
        <v>1068</v>
      </c>
      <c r="C102" s="808"/>
      <c r="D102" s="808"/>
      <c r="E102" s="808"/>
      <c r="F102" s="808"/>
      <c r="G102" s="808"/>
      <c r="H102" s="808"/>
      <c r="I102" s="808"/>
      <c r="J102" s="808"/>
      <c r="K102" s="809"/>
    </row>
    <row r="103" spans="1:12" ht="27" thickBot="1" x14ac:dyDescent="0.3">
      <c r="A103" s="390"/>
      <c r="B103" s="437" t="s">
        <v>1124</v>
      </c>
      <c r="C103" s="1006" t="s">
        <v>31</v>
      </c>
      <c r="D103" s="1006"/>
      <c r="E103" s="1006"/>
      <c r="F103" s="1006"/>
      <c r="G103" s="1006"/>
      <c r="H103" s="1006"/>
      <c r="I103" s="480" t="s">
        <v>1125</v>
      </c>
      <c r="J103" s="1007" t="s">
        <v>1074</v>
      </c>
      <c r="K103" s="1008"/>
    </row>
    <row r="104" spans="1:12" ht="27" customHeight="1" x14ac:dyDescent="0.25">
      <c r="A104" s="390"/>
      <c r="B104" s="361" t="s">
        <v>658</v>
      </c>
      <c r="C104" s="812" t="s">
        <v>654</v>
      </c>
      <c r="D104" s="812"/>
      <c r="E104" s="812"/>
      <c r="F104" s="812"/>
      <c r="G104" s="812"/>
      <c r="H104" s="812"/>
      <c r="I104" s="483" t="s">
        <v>37</v>
      </c>
      <c r="J104" s="995" t="s">
        <v>1832</v>
      </c>
      <c r="K104" s="996"/>
      <c r="L104" s="289" t="s">
        <v>619</v>
      </c>
    </row>
    <row r="105" spans="1:12" ht="13.8" thickBot="1" x14ac:dyDescent="0.3">
      <c r="A105" s="390"/>
      <c r="B105" s="367" t="s">
        <v>659</v>
      </c>
      <c r="C105" s="831" t="s">
        <v>653</v>
      </c>
      <c r="D105" s="831"/>
      <c r="E105" s="831"/>
      <c r="F105" s="831"/>
      <c r="G105" s="831"/>
      <c r="H105" s="831"/>
      <c r="I105" s="424" t="s">
        <v>37</v>
      </c>
      <c r="J105" s="949" t="s">
        <v>1832</v>
      </c>
      <c r="K105" s="950"/>
    </row>
    <row r="106" spans="1:12" ht="27" thickBot="1" x14ac:dyDescent="0.3">
      <c r="A106" s="390"/>
      <c r="B106" s="439" t="s">
        <v>1072</v>
      </c>
      <c r="C106" s="814" t="s">
        <v>1108</v>
      </c>
      <c r="D106" s="815"/>
      <c r="E106" s="439" t="s">
        <v>1070</v>
      </c>
      <c r="F106" s="481" t="s">
        <v>1134</v>
      </c>
      <c r="G106" s="887" t="s">
        <v>1259</v>
      </c>
      <c r="H106" s="888"/>
      <c r="I106" s="439" t="s">
        <v>1130</v>
      </c>
      <c r="J106" s="870" t="s">
        <v>1133</v>
      </c>
      <c r="K106" s="871"/>
    </row>
    <row r="107" spans="1:12" ht="13.8" thickBot="1" x14ac:dyDescent="0.3">
      <c r="B107" s="912" t="s">
        <v>1076</v>
      </c>
      <c r="C107" s="913"/>
      <c r="D107" s="913"/>
      <c r="E107" s="913"/>
      <c r="F107" s="913"/>
      <c r="G107" s="913"/>
      <c r="H107" s="913"/>
      <c r="I107" s="913"/>
      <c r="J107" s="913"/>
      <c r="K107" s="914"/>
    </row>
    <row r="108" spans="1:12" ht="43.2" customHeight="1" x14ac:dyDescent="0.25">
      <c r="B108" s="361" t="s">
        <v>658</v>
      </c>
      <c r="C108" s="863" t="s">
        <v>1720</v>
      </c>
      <c r="D108" s="864"/>
      <c r="E108" s="864"/>
      <c r="F108" s="864"/>
      <c r="G108" s="864"/>
      <c r="H108" s="864"/>
      <c r="I108" s="864"/>
      <c r="J108" s="864"/>
      <c r="K108" s="865"/>
    </row>
    <row r="109" spans="1:12" ht="15" customHeight="1" thickBot="1" x14ac:dyDescent="0.3">
      <c r="B109" s="367" t="s">
        <v>659</v>
      </c>
      <c r="C109" s="831" t="s">
        <v>1721</v>
      </c>
      <c r="D109" s="831"/>
      <c r="E109" s="831"/>
      <c r="F109" s="831"/>
      <c r="G109" s="831"/>
      <c r="H109" s="831"/>
      <c r="I109" s="831"/>
      <c r="J109" s="831"/>
      <c r="K109" s="832"/>
    </row>
    <row r="110" spans="1:12" ht="13.8" thickBot="1" x14ac:dyDescent="0.3">
      <c r="B110" s="1112" t="s">
        <v>1077</v>
      </c>
      <c r="C110" s="1113"/>
      <c r="D110" s="1113"/>
      <c r="E110" s="1113"/>
      <c r="F110" s="1113"/>
      <c r="G110" s="1113"/>
      <c r="H110" s="1113"/>
      <c r="I110" s="1113"/>
      <c r="J110" s="1113"/>
      <c r="K110" s="1114"/>
    </row>
    <row r="111" spans="1:12" ht="13.8" thickBot="1" x14ac:dyDescent="0.3">
      <c r="B111" s="360" t="s">
        <v>707</v>
      </c>
      <c r="C111" s="830" t="s">
        <v>333</v>
      </c>
      <c r="D111" s="816"/>
      <c r="E111" s="816"/>
      <c r="F111" s="816"/>
      <c r="G111" s="816"/>
      <c r="H111" s="816"/>
      <c r="I111" s="816"/>
      <c r="J111" s="816"/>
      <c r="K111" s="817"/>
    </row>
    <row r="113" spans="1:11" ht="13.8" thickBot="1" x14ac:dyDescent="0.3"/>
    <row r="114" spans="1:11" ht="13.8" thickBot="1" x14ac:dyDescent="0.3">
      <c r="B114" s="921" t="s">
        <v>1060</v>
      </c>
      <c r="C114" s="922"/>
      <c r="D114" s="922"/>
      <c r="E114" s="922"/>
      <c r="F114" s="922"/>
      <c r="G114" s="922"/>
      <c r="H114" s="922"/>
      <c r="I114" s="922"/>
      <c r="J114" s="922"/>
      <c r="K114" s="923"/>
    </row>
    <row r="115" spans="1:11" ht="13.8" thickBot="1" x14ac:dyDescent="0.3">
      <c r="B115" s="360" t="s">
        <v>606</v>
      </c>
      <c r="C115" s="810" t="s">
        <v>315</v>
      </c>
      <c r="D115" s="810"/>
      <c r="E115" s="810"/>
      <c r="F115" s="810"/>
      <c r="G115" s="810"/>
      <c r="H115" s="810"/>
      <c r="I115" s="810"/>
      <c r="J115" s="810"/>
      <c r="K115" s="811"/>
    </row>
    <row r="116" spans="1:11" s="290" customFormat="1" ht="13.8" thickBot="1" x14ac:dyDescent="0.35">
      <c r="B116" s="929" t="s">
        <v>1109</v>
      </c>
      <c r="C116" s="930"/>
      <c r="D116" s="930"/>
      <c r="E116" s="930"/>
      <c r="F116" s="930"/>
      <c r="G116" s="930"/>
      <c r="H116" s="930"/>
      <c r="I116" s="930"/>
      <c r="J116" s="930"/>
      <c r="K116" s="931"/>
    </row>
    <row r="117" spans="1:11" s="290" customFormat="1" x14ac:dyDescent="0.3">
      <c r="B117" s="361" t="s">
        <v>1110</v>
      </c>
      <c r="C117" s="812" t="s">
        <v>1111</v>
      </c>
      <c r="D117" s="812"/>
      <c r="E117" s="812"/>
      <c r="F117" s="812"/>
      <c r="G117" s="812"/>
      <c r="H117" s="812"/>
      <c r="I117" s="812"/>
      <c r="J117" s="812"/>
      <c r="K117" s="362" t="s">
        <v>35</v>
      </c>
    </row>
    <row r="118" spans="1:11" s="290" customFormat="1" x14ac:dyDescent="0.3">
      <c r="A118" s="352"/>
      <c r="B118" s="363"/>
      <c r="C118" s="804" t="s">
        <v>1206</v>
      </c>
      <c r="D118" s="805"/>
      <c r="E118" s="805"/>
      <c r="F118" s="805"/>
      <c r="G118" s="805"/>
      <c r="H118" s="805"/>
      <c r="I118" s="805"/>
      <c r="J118" s="806"/>
      <c r="K118" s="364"/>
    </row>
    <row r="119" spans="1:11" s="290" customFormat="1" x14ac:dyDescent="0.3">
      <c r="B119" s="365" t="s">
        <v>1112</v>
      </c>
      <c r="C119" s="813" t="s">
        <v>1118</v>
      </c>
      <c r="D119" s="813"/>
      <c r="E119" s="813"/>
      <c r="F119" s="813"/>
      <c r="G119" s="813"/>
      <c r="H119" s="813"/>
      <c r="I119" s="813"/>
      <c r="J119" s="813"/>
      <c r="K119" s="366" t="s">
        <v>35</v>
      </c>
    </row>
    <row r="120" spans="1:11" s="290" customFormat="1" x14ac:dyDescent="0.3">
      <c r="B120" s="365" t="s">
        <v>1113</v>
      </c>
      <c r="C120" s="813" t="s">
        <v>1119</v>
      </c>
      <c r="D120" s="813"/>
      <c r="E120" s="813"/>
      <c r="F120" s="813"/>
      <c r="G120" s="813"/>
      <c r="H120" s="813"/>
      <c r="I120" s="813"/>
      <c r="J120" s="813"/>
      <c r="K120" s="366" t="s">
        <v>35</v>
      </c>
    </row>
    <row r="121" spans="1:11" s="290" customFormat="1" x14ac:dyDescent="0.3">
      <c r="B121" s="365" t="s">
        <v>1114</v>
      </c>
      <c r="C121" s="813" t="s">
        <v>1120</v>
      </c>
      <c r="D121" s="813"/>
      <c r="E121" s="813"/>
      <c r="F121" s="813"/>
      <c r="G121" s="813"/>
      <c r="H121" s="813"/>
      <c r="I121" s="813"/>
      <c r="J121" s="813"/>
      <c r="K121" s="366" t="s">
        <v>35</v>
      </c>
    </row>
    <row r="122" spans="1:11" s="290" customFormat="1" ht="27" customHeight="1" x14ac:dyDescent="0.3">
      <c r="B122" s="365" t="s">
        <v>1115</v>
      </c>
      <c r="C122" s="813" t="s">
        <v>1121</v>
      </c>
      <c r="D122" s="813"/>
      <c r="E122" s="813"/>
      <c r="F122" s="813"/>
      <c r="G122" s="813"/>
      <c r="H122" s="813"/>
      <c r="I122" s="813"/>
      <c r="J122" s="813"/>
      <c r="K122" s="366" t="s">
        <v>35</v>
      </c>
    </row>
    <row r="123" spans="1:11" s="290" customFormat="1" x14ac:dyDescent="0.3">
      <c r="B123" s="365" t="s">
        <v>1116</v>
      </c>
      <c r="C123" s="813" t="s">
        <v>1272</v>
      </c>
      <c r="D123" s="813"/>
      <c r="E123" s="813"/>
      <c r="F123" s="813"/>
      <c r="G123" s="813"/>
      <c r="H123" s="813"/>
      <c r="I123" s="813"/>
      <c r="J123" s="813"/>
      <c r="K123" s="366" t="s">
        <v>35</v>
      </c>
    </row>
    <row r="124" spans="1:11" s="290" customFormat="1" ht="13.8" thickBot="1" x14ac:dyDescent="0.35">
      <c r="B124" s="367" t="s">
        <v>1117</v>
      </c>
      <c r="C124" s="831" t="s">
        <v>1122</v>
      </c>
      <c r="D124" s="831"/>
      <c r="E124" s="831"/>
      <c r="F124" s="831"/>
      <c r="G124" s="831"/>
      <c r="H124" s="831"/>
      <c r="I124" s="831"/>
      <c r="J124" s="831"/>
      <c r="K124" s="368" t="s">
        <v>35</v>
      </c>
    </row>
    <row r="125" spans="1:11" s="290" customFormat="1" ht="13.8" thickBot="1" x14ac:dyDescent="0.35">
      <c r="B125" s="391"/>
      <c r="C125" s="915" t="s">
        <v>1123</v>
      </c>
      <c r="D125" s="916"/>
      <c r="E125" s="916"/>
      <c r="F125" s="916"/>
      <c r="G125" s="916"/>
      <c r="H125" s="916"/>
      <c r="I125" s="916"/>
      <c r="J125" s="917"/>
      <c r="K125" s="392" t="str">
        <f>IF(OR(K117="Yes",K119="Yes",K120="Yes",K121="Yes",K122="Yes",K123="Yes",K124="Yes"),"Yes","No")</f>
        <v>No</v>
      </c>
    </row>
    <row r="126" spans="1:11" ht="13.8" thickBot="1" x14ac:dyDescent="0.3">
      <c r="B126" s="924" t="s">
        <v>1061</v>
      </c>
      <c r="C126" s="924"/>
      <c r="D126" s="924"/>
      <c r="E126" s="924"/>
      <c r="F126" s="924"/>
      <c r="G126" s="924" t="s">
        <v>1062</v>
      </c>
      <c r="H126" s="924"/>
      <c r="I126" s="924"/>
      <c r="J126" s="924"/>
      <c r="K126" s="924"/>
    </row>
    <row r="127" spans="1:11" ht="27" thickBot="1" x14ac:dyDescent="0.3">
      <c r="B127" s="371" t="s">
        <v>306</v>
      </c>
      <c r="C127" s="372" t="s">
        <v>19</v>
      </c>
      <c r="D127" s="372" t="s">
        <v>326</v>
      </c>
      <c r="E127" s="372" t="s">
        <v>310</v>
      </c>
      <c r="F127" s="373" t="s">
        <v>552</v>
      </c>
      <c r="G127" s="374" t="s">
        <v>1063</v>
      </c>
      <c r="H127" s="372" t="s">
        <v>1064</v>
      </c>
      <c r="I127" s="375" t="s">
        <v>1065</v>
      </c>
      <c r="J127" s="375" t="s">
        <v>1066</v>
      </c>
      <c r="K127" s="376" t="s">
        <v>1067</v>
      </c>
    </row>
    <row r="128" spans="1:11" ht="15" thickBot="1" x14ac:dyDescent="0.3">
      <c r="B128" s="490" t="s">
        <v>621</v>
      </c>
      <c r="C128" s="491" t="s">
        <v>621</v>
      </c>
      <c r="D128" s="491" t="s">
        <v>619</v>
      </c>
      <c r="E128" s="491" t="s">
        <v>621</v>
      </c>
      <c r="F128" s="492" t="s">
        <v>621</v>
      </c>
      <c r="G128" s="493" t="s">
        <v>619</v>
      </c>
      <c r="H128" s="491" t="s">
        <v>621</v>
      </c>
      <c r="I128" s="491" t="s">
        <v>621</v>
      </c>
      <c r="J128" s="491" t="s">
        <v>621</v>
      </c>
      <c r="K128" s="492" t="s">
        <v>619</v>
      </c>
    </row>
    <row r="129" spans="1:11" ht="13.8" thickBot="1" x14ac:dyDescent="0.3">
      <c r="A129" s="390"/>
      <c r="B129" s="807" t="s">
        <v>1068</v>
      </c>
      <c r="C129" s="808"/>
      <c r="D129" s="808"/>
      <c r="E129" s="808"/>
      <c r="F129" s="808"/>
      <c r="G129" s="808"/>
      <c r="H129" s="808"/>
      <c r="I129" s="808"/>
      <c r="J129" s="808"/>
      <c r="K129" s="809"/>
    </row>
    <row r="130" spans="1:11" ht="27" thickBot="1" x14ac:dyDescent="0.3">
      <c r="A130" s="390"/>
      <c r="B130" s="369" t="s">
        <v>1124</v>
      </c>
      <c r="C130" s="918" t="s">
        <v>31</v>
      </c>
      <c r="D130" s="918"/>
      <c r="E130" s="918"/>
      <c r="F130" s="918"/>
      <c r="G130" s="918"/>
      <c r="H130" s="918"/>
      <c r="I130" s="401" t="s">
        <v>1125</v>
      </c>
      <c r="J130" s="906" t="s">
        <v>1074</v>
      </c>
      <c r="K130" s="907"/>
    </row>
    <row r="131" spans="1:11" ht="13.8" thickBot="1" x14ac:dyDescent="0.3">
      <c r="A131" s="390"/>
      <c r="B131" s="363" t="s">
        <v>660</v>
      </c>
      <c r="C131" s="768" t="s">
        <v>1344</v>
      </c>
      <c r="D131" s="768"/>
      <c r="E131" s="768"/>
      <c r="F131" s="768"/>
      <c r="G131" s="768"/>
      <c r="H131" s="768"/>
      <c r="I131" s="410" t="s">
        <v>35</v>
      </c>
      <c r="J131" s="1107" t="s">
        <v>863</v>
      </c>
      <c r="K131" s="1108"/>
    </row>
    <row r="132" spans="1:11" ht="27" thickBot="1" x14ac:dyDescent="0.3">
      <c r="A132" s="390"/>
      <c r="B132" s="383" t="s">
        <v>1072</v>
      </c>
      <c r="C132" s="814" t="s">
        <v>1108</v>
      </c>
      <c r="D132" s="815"/>
      <c r="E132" s="383" t="s">
        <v>1070</v>
      </c>
      <c r="F132" s="402" t="s">
        <v>1134</v>
      </c>
      <c r="G132" s="887" t="s">
        <v>1259</v>
      </c>
      <c r="H132" s="888"/>
      <c r="I132" s="383" t="s">
        <v>1130</v>
      </c>
      <c r="J132" s="814" t="s">
        <v>1133</v>
      </c>
      <c r="K132" s="815"/>
    </row>
    <row r="133" spans="1:11" ht="13.8" thickBot="1" x14ac:dyDescent="0.3">
      <c r="B133" s="938" t="s">
        <v>1076</v>
      </c>
      <c r="C133" s="939"/>
      <c r="D133" s="939"/>
      <c r="E133" s="939"/>
      <c r="F133" s="939"/>
      <c r="G133" s="939"/>
      <c r="H133" s="939"/>
      <c r="I133" s="939"/>
      <c r="J133" s="939"/>
      <c r="K133" s="940"/>
    </row>
    <row r="134" spans="1:11" ht="13.8" thickBot="1" x14ac:dyDescent="0.3">
      <c r="B134" s="403" t="s">
        <v>660</v>
      </c>
      <c r="C134" s="943" t="s">
        <v>1437</v>
      </c>
      <c r="D134" s="943"/>
      <c r="E134" s="943"/>
      <c r="F134" s="943"/>
      <c r="G134" s="943"/>
      <c r="H134" s="943"/>
      <c r="I134" s="943"/>
      <c r="J134" s="943"/>
      <c r="K134" s="944"/>
    </row>
    <row r="135" spans="1:11" ht="13.8" thickBot="1" x14ac:dyDescent="0.3">
      <c r="B135" s="938" t="s">
        <v>1077</v>
      </c>
      <c r="C135" s="939"/>
      <c r="D135" s="939"/>
      <c r="E135" s="939"/>
      <c r="F135" s="939"/>
      <c r="G135" s="939"/>
      <c r="H135" s="939"/>
      <c r="I135" s="939"/>
      <c r="J135" s="939"/>
      <c r="K135" s="940"/>
    </row>
    <row r="136" spans="1:11" ht="13.8" thickBot="1" x14ac:dyDescent="0.3">
      <c r="B136" s="403" t="s">
        <v>707</v>
      </c>
      <c r="C136" s="1109" t="s">
        <v>333</v>
      </c>
      <c r="D136" s="1110"/>
      <c r="E136" s="1110"/>
      <c r="F136" s="1110"/>
      <c r="G136" s="1110"/>
      <c r="H136" s="1110"/>
      <c r="I136" s="1110"/>
      <c r="J136" s="1110"/>
      <c r="K136" s="1111"/>
    </row>
    <row r="137" spans="1:11" x14ac:dyDescent="0.25">
      <c r="B137" s="411"/>
    </row>
    <row r="138" spans="1:11" x14ac:dyDescent="0.25">
      <c r="B138" s="411"/>
    </row>
    <row r="139" spans="1:11" ht="13.8" thickBot="1" x14ac:dyDescent="0.3">
      <c r="A139" s="390" t="s">
        <v>1095</v>
      </c>
      <c r="B139" s="390" t="s">
        <v>534</v>
      </c>
    </row>
    <row r="140" spans="1:11" ht="13.8" thickBot="1" x14ac:dyDescent="0.3">
      <c r="B140" s="921" t="s">
        <v>1060</v>
      </c>
      <c r="C140" s="922"/>
      <c r="D140" s="922"/>
      <c r="E140" s="922"/>
      <c r="F140" s="922"/>
      <c r="G140" s="922"/>
      <c r="H140" s="922"/>
      <c r="I140" s="922"/>
      <c r="J140" s="922"/>
      <c r="K140" s="923"/>
    </row>
    <row r="141" spans="1:11" ht="13.8" thickBot="1" x14ac:dyDescent="0.3">
      <c r="B141" s="360" t="s">
        <v>607</v>
      </c>
      <c r="C141" s="810" t="s">
        <v>317</v>
      </c>
      <c r="D141" s="810"/>
      <c r="E141" s="810"/>
      <c r="F141" s="810"/>
      <c r="G141" s="810"/>
      <c r="H141" s="810"/>
      <c r="I141" s="810"/>
      <c r="J141" s="810"/>
      <c r="K141" s="811"/>
    </row>
    <row r="142" spans="1:11" s="290" customFormat="1" ht="13.8" thickBot="1" x14ac:dyDescent="0.35">
      <c r="B142" s="929" t="s">
        <v>1109</v>
      </c>
      <c r="C142" s="930"/>
      <c r="D142" s="930"/>
      <c r="E142" s="930"/>
      <c r="F142" s="930"/>
      <c r="G142" s="930"/>
      <c r="H142" s="930"/>
      <c r="I142" s="930"/>
      <c r="J142" s="930"/>
      <c r="K142" s="931"/>
    </row>
    <row r="143" spans="1:11" s="290" customFormat="1" x14ac:dyDescent="0.3">
      <c r="B143" s="361" t="s">
        <v>1110</v>
      </c>
      <c r="C143" s="812" t="s">
        <v>1111</v>
      </c>
      <c r="D143" s="812"/>
      <c r="E143" s="812"/>
      <c r="F143" s="812"/>
      <c r="G143" s="812"/>
      <c r="H143" s="812"/>
      <c r="I143" s="812"/>
      <c r="J143" s="812"/>
      <c r="K143" s="362" t="s">
        <v>35</v>
      </c>
    </row>
    <row r="144" spans="1:11" s="290" customFormat="1" x14ac:dyDescent="0.3">
      <c r="A144" s="352"/>
      <c r="B144" s="363"/>
      <c r="C144" s="804" t="s">
        <v>1206</v>
      </c>
      <c r="D144" s="805"/>
      <c r="E144" s="805"/>
      <c r="F144" s="805"/>
      <c r="G144" s="805"/>
      <c r="H144" s="805"/>
      <c r="I144" s="805"/>
      <c r="J144" s="806"/>
      <c r="K144" s="364"/>
    </row>
    <row r="145" spans="1:11" s="290" customFormat="1" x14ac:dyDescent="0.3">
      <c r="B145" s="365" t="s">
        <v>1112</v>
      </c>
      <c r="C145" s="813" t="s">
        <v>1118</v>
      </c>
      <c r="D145" s="813"/>
      <c r="E145" s="813"/>
      <c r="F145" s="813"/>
      <c r="G145" s="813"/>
      <c r="H145" s="813"/>
      <c r="I145" s="813"/>
      <c r="J145" s="813"/>
      <c r="K145" s="366" t="s">
        <v>35</v>
      </c>
    </row>
    <row r="146" spans="1:11" s="290" customFormat="1" x14ac:dyDescent="0.3">
      <c r="B146" s="365" t="s">
        <v>1113</v>
      </c>
      <c r="C146" s="813" t="s">
        <v>1119</v>
      </c>
      <c r="D146" s="813"/>
      <c r="E146" s="813"/>
      <c r="F146" s="813"/>
      <c r="G146" s="813"/>
      <c r="H146" s="813"/>
      <c r="I146" s="813"/>
      <c r="J146" s="813"/>
      <c r="K146" s="366" t="s">
        <v>35</v>
      </c>
    </row>
    <row r="147" spans="1:11" s="290" customFormat="1" x14ac:dyDescent="0.3">
      <c r="B147" s="365" t="s">
        <v>1114</v>
      </c>
      <c r="C147" s="813" t="s">
        <v>1120</v>
      </c>
      <c r="D147" s="813"/>
      <c r="E147" s="813"/>
      <c r="F147" s="813"/>
      <c r="G147" s="813"/>
      <c r="H147" s="813"/>
      <c r="I147" s="813"/>
      <c r="J147" s="813"/>
      <c r="K147" s="366" t="s">
        <v>35</v>
      </c>
    </row>
    <row r="148" spans="1:11" s="290" customFormat="1" ht="27" customHeight="1" x14ac:dyDescent="0.3">
      <c r="B148" s="365" t="s">
        <v>1115</v>
      </c>
      <c r="C148" s="813" t="s">
        <v>1121</v>
      </c>
      <c r="D148" s="813"/>
      <c r="E148" s="813"/>
      <c r="F148" s="813"/>
      <c r="G148" s="813"/>
      <c r="H148" s="813"/>
      <c r="I148" s="813"/>
      <c r="J148" s="813"/>
      <c r="K148" s="366" t="s">
        <v>35</v>
      </c>
    </row>
    <row r="149" spans="1:11" s="290" customFormat="1" x14ac:dyDescent="0.3">
      <c r="B149" s="365" t="s">
        <v>1116</v>
      </c>
      <c r="C149" s="813" t="s">
        <v>1272</v>
      </c>
      <c r="D149" s="813"/>
      <c r="E149" s="813"/>
      <c r="F149" s="813"/>
      <c r="G149" s="813"/>
      <c r="H149" s="813"/>
      <c r="I149" s="813"/>
      <c r="J149" s="813"/>
      <c r="K149" s="366" t="s">
        <v>35</v>
      </c>
    </row>
    <row r="150" spans="1:11" s="290" customFormat="1" ht="13.8" thickBot="1" x14ac:dyDescent="0.35">
      <c r="B150" s="367" t="s">
        <v>1117</v>
      </c>
      <c r="C150" s="831" t="s">
        <v>1122</v>
      </c>
      <c r="D150" s="831"/>
      <c r="E150" s="831"/>
      <c r="F150" s="831"/>
      <c r="G150" s="831"/>
      <c r="H150" s="831"/>
      <c r="I150" s="831"/>
      <c r="J150" s="831"/>
      <c r="K150" s="368" t="s">
        <v>35</v>
      </c>
    </row>
    <row r="151" spans="1:11" s="290" customFormat="1" ht="13.8" thickBot="1" x14ac:dyDescent="0.35">
      <c r="B151" s="391"/>
      <c r="C151" s="915" t="s">
        <v>1123</v>
      </c>
      <c r="D151" s="916"/>
      <c r="E151" s="916"/>
      <c r="F151" s="916"/>
      <c r="G151" s="916"/>
      <c r="H151" s="916"/>
      <c r="I151" s="916"/>
      <c r="J151" s="917"/>
      <c r="K151" s="392" t="str">
        <f>IF(OR(K143="Yes",K145="Yes",K146="Yes",K147="Yes",K148="Yes",K149="Yes",K150="Yes"),"Yes","No")</f>
        <v>No</v>
      </c>
    </row>
    <row r="152" spans="1:11" ht="13.8" thickBot="1" x14ac:dyDescent="0.3">
      <c r="B152" s="924" t="s">
        <v>1061</v>
      </c>
      <c r="C152" s="924"/>
      <c r="D152" s="924"/>
      <c r="E152" s="924"/>
      <c r="F152" s="924"/>
      <c r="G152" s="924" t="s">
        <v>1062</v>
      </c>
      <c r="H152" s="924"/>
      <c r="I152" s="924"/>
      <c r="J152" s="924"/>
      <c r="K152" s="924"/>
    </row>
    <row r="153" spans="1:11" ht="27" thickBot="1" x14ac:dyDescent="0.3">
      <c r="B153" s="371" t="s">
        <v>306</v>
      </c>
      <c r="C153" s="372" t="s">
        <v>19</v>
      </c>
      <c r="D153" s="372" t="s">
        <v>326</v>
      </c>
      <c r="E153" s="372" t="s">
        <v>310</v>
      </c>
      <c r="F153" s="373" t="s">
        <v>552</v>
      </c>
      <c r="G153" s="374" t="s">
        <v>1063</v>
      </c>
      <c r="H153" s="372" t="s">
        <v>1064</v>
      </c>
      <c r="I153" s="375" t="s">
        <v>1065</v>
      </c>
      <c r="J153" s="375" t="s">
        <v>1066</v>
      </c>
      <c r="K153" s="376" t="s">
        <v>1067</v>
      </c>
    </row>
    <row r="154" spans="1:11" ht="15" thickBot="1" x14ac:dyDescent="0.3">
      <c r="B154" s="490" t="s">
        <v>619</v>
      </c>
      <c r="C154" s="491" t="s">
        <v>621</v>
      </c>
      <c r="D154" s="491" t="s">
        <v>621</v>
      </c>
      <c r="E154" s="491" t="s">
        <v>621</v>
      </c>
      <c r="F154" s="492" t="s">
        <v>621</v>
      </c>
      <c r="G154" s="493" t="s">
        <v>619</v>
      </c>
      <c r="H154" s="491" t="s">
        <v>621</v>
      </c>
      <c r="I154" s="491" t="s">
        <v>621</v>
      </c>
      <c r="J154" s="491" t="s">
        <v>621</v>
      </c>
      <c r="K154" s="492" t="s">
        <v>619</v>
      </c>
    </row>
    <row r="155" spans="1:11" ht="13.8" thickBot="1" x14ac:dyDescent="0.3">
      <c r="A155" s="390"/>
      <c r="B155" s="807" t="s">
        <v>1068</v>
      </c>
      <c r="C155" s="808"/>
      <c r="D155" s="808"/>
      <c r="E155" s="808"/>
      <c r="F155" s="808"/>
      <c r="G155" s="808"/>
      <c r="H155" s="808"/>
      <c r="I155" s="808"/>
      <c r="J155" s="808"/>
      <c r="K155" s="809"/>
    </row>
    <row r="156" spans="1:11" ht="27" thickBot="1" x14ac:dyDescent="0.3">
      <c r="A156" s="390"/>
      <c r="B156" s="369" t="s">
        <v>1124</v>
      </c>
      <c r="C156" s="918" t="s">
        <v>31</v>
      </c>
      <c r="D156" s="918"/>
      <c r="E156" s="918"/>
      <c r="F156" s="918"/>
      <c r="G156" s="918"/>
      <c r="H156" s="918"/>
      <c r="I156" s="401" t="s">
        <v>1125</v>
      </c>
      <c r="J156" s="906" t="s">
        <v>1074</v>
      </c>
      <c r="K156" s="907"/>
    </row>
    <row r="157" spans="1:11" ht="27" customHeight="1" thickBot="1" x14ac:dyDescent="0.3">
      <c r="A157" s="390"/>
      <c r="B157" s="363" t="s">
        <v>661</v>
      </c>
      <c r="C157" s="768" t="s">
        <v>635</v>
      </c>
      <c r="D157" s="768"/>
      <c r="E157" s="768"/>
      <c r="F157" s="768"/>
      <c r="G157" s="768"/>
      <c r="H157" s="768"/>
      <c r="I157" s="410" t="s">
        <v>35</v>
      </c>
      <c r="J157" s="1107" t="s">
        <v>863</v>
      </c>
      <c r="K157" s="1108"/>
    </row>
    <row r="158" spans="1:11" ht="27" thickBot="1" x14ac:dyDescent="0.3">
      <c r="A158" s="390"/>
      <c r="B158" s="383" t="s">
        <v>1072</v>
      </c>
      <c r="C158" s="814" t="s">
        <v>1108</v>
      </c>
      <c r="D158" s="815"/>
      <c r="E158" s="383" t="s">
        <v>1070</v>
      </c>
      <c r="F158" s="402" t="s">
        <v>1134</v>
      </c>
      <c r="G158" s="816" t="s">
        <v>1131</v>
      </c>
      <c r="H158" s="817"/>
      <c r="I158" s="383" t="s">
        <v>1130</v>
      </c>
      <c r="J158" s="814" t="s">
        <v>1133</v>
      </c>
      <c r="K158" s="815"/>
    </row>
    <row r="159" spans="1:11" ht="13.8" thickBot="1" x14ac:dyDescent="0.3">
      <c r="B159" s="938" t="s">
        <v>1076</v>
      </c>
      <c r="C159" s="939"/>
      <c r="D159" s="939"/>
      <c r="E159" s="939"/>
      <c r="F159" s="939"/>
      <c r="G159" s="939"/>
      <c r="H159" s="939"/>
      <c r="I159" s="939"/>
      <c r="J159" s="939"/>
      <c r="K159" s="940"/>
    </row>
    <row r="160" spans="1:11" ht="13.8" thickBot="1" x14ac:dyDescent="0.3">
      <c r="B160" s="403" t="s">
        <v>661</v>
      </c>
      <c r="C160" s="943" t="s">
        <v>1437</v>
      </c>
      <c r="D160" s="943"/>
      <c r="E160" s="943"/>
      <c r="F160" s="943"/>
      <c r="G160" s="943"/>
      <c r="H160" s="943"/>
      <c r="I160" s="943"/>
      <c r="J160" s="943"/>
      <c r="K160" s="944"/>
    </row>
    <row r="161" spans="1:11" ht="13.8" thickBot="1" x14ac:dyDescent="0.3">
      <c r="B161" s="938" t="s">
        <v>1077</v>
      </c>
      <c r="C161" s="939"/>
      <c r="D161" s="939"/>
      <c r="E161" s="939"/>
      <c r="F161" s="939"/>
      <c r="G161" s="939"/>
      <c r="H161" s="939"/>
      <c r="I161" s="939"/>
      <c r="J161" s="939"/>
      <c r="K161" s="940"/>
    </row>
    <row r="162" spans="1:11" ht="13.8" thickBot="1" x14ac:dyDescent="0.3">
      <c r="B162" s="360" t="s">
        <v>708</v>
      </c>
      <c r="C162" s="1109" t="s">
        <v>334</v>
      </c>
      <c r="D162" s="1110"/>
      <c r="E162" s="1110"/>
      <c r="F162" s="1110"/>
      <c r="G162" s="1110"/>
      <c r="H162" s="1110"/>
      <c r="I162" s="1110"/>
      <c r="J162" s="1110"/>
      <c r="K162" s="1111"/>
    </row>
    <row r="165" spans="1:11" ht="13.8" thickBot="1" x14ac:dyDescent="0.3">
      <c r="A165" s="390" t="s">
        <v>1098</v>
      </c>
      <c r="B165" s="390" t="s">
        <v>925</v>
      </c>
    </row>
    <row r="166" spans="1:11" ht="13.8" thickBot="1" x14ac:dyDescent="0.3">
      <c r="B166" s="921" t="s">
        <v>1060</v>
      </c>
      <c r="C166" s="922"/>
      <c r="D166" s="922"/>
      <c r="E166" s="922"/>
      <c r="F166" s="922"/>
      <c r="G166" s="922"/>
      <c r="H166" s="922"/>
      <c r="I166" s="922"/>
      <c r="J166" s="922"/>
      <c r="K166" s="923"/>
    </row>
    <row r="167" spans="1:11" ht="13.8" thickBot="1" x14ac:dyDescent="0.3">
      <c r="B167" s="360" t="s">
        <v>608</v>
      </c>
      <c r="C167" s="810" t="s">
        <v>924</v>
      </c>
      <c r="D167" s="810"/>
      <c r="E167" s="810"/>
      <c r="F167" s="810"/>
      <c r="G167" s="810"/>
      <c r="H167" s="810"/>
      <c r="I167" s="810"/>
      <c r="J167" s="810"/>
      <c r="K167" s="811"/>
    </row>
    <row r="168" spans="1:11" s="290" customFormat="1" ht="13.8" thickBot="1" x14ac:dyDescent="0.35">
      <c r="B168" s="929" t="s">
        <v>1109</v>
      </c>
      <c r="C168" s="930"/>
      <c r="D168" s="930"/>
      <c r="E168" s="930"/>
      <c r="F168" s="930"/>
      <c r="G168" s="930"/>
      <c r="H168" s="930"/>
      <c r="I168" s="930"/>
      <c r="J168" s="930"/>
      <c r="K168" s="931"/>
    </row>
    <row r="169" spans="1:11" s="290" customFormat="1" x14ac:dyDescent="0.3">
      <c r="B169" s="361" t="s">
        <v>1110</v>
      </c>
      <c r="C169" s="812" t="s">
        <v>1111</v>
      </c>
      <c r="D169" s="812"/>
      <c r="E169" s="812"/>
      <c r="F169" s="812"/>
      <c r="G169" s="812"/>
      <c r="H169" s="812"/>
      <c r="I169" s="812"/>
      <c r="J169" s="812"/>
      <c r="K169" s="362" t="s">
        <v>35</v>
      </c>
    </row>
    <row r="170" spans="1:11" s="290" customFormat="1" x14ac:dyDescent="0.3">
      <c r="A170" s="352"/>
      <c r="B170" s="363"/>
      <c r="C170" s="804" t="s">
        <v>1206</v>
      </c>
      <c r="D170" s="805"/>
      <c r="E170" s="805"/>
      <c r="F170" s="805"/>
      <c r="G170" s="805"/>
      <c r="H170" s="805"/>
      <c r="I170" s="805"/>
      <c r="J170" s="806"/>
      <c r="K170" s="364"/>
    </row>
    <row r="171" spans="1:11" s="290" customFormat="1" x14ac:dyDescent="0.3">
      <c r="B171" s="365" t="s">
        <v>1112</v>
      </c>
      <c r="C171" s="813" t="s">
        <v>1118</v>
      </c>
      <c r="D171" s="813"/>
      <c r="E171" s="813"/>
      <c r="F171" s="813"/>
      <c r="G171" s="813"/>
      <c r="H171" s="813"/>
      <c r="I171" s="813"/>
      <c r="J171" s="813"/>
      <c r="K171" s="366" t="s">
        <v>35</v>
      </c>
    </row>
    <row r="172" spans="1:11" s="290" customFormat="1" x14ac:dyDescent="0.3">
      <c r="B172" s="365" t="s">
        <v>1113</v>
      </c>
      <c r="C172" s="813" t="s">
        <v>1119</v>
      </c>
      <c r="D172" s="813"/>
      <c r="E172" s="813"/>
      <c r="F172" s="813"/>
      <c r="G172" s="813"/>
      <c r="H172" s="813"/>
      <c r="I172" s="813"/>
      <c r="J172" s="813"/>
      <c r="K172" s="366" t="s">
        <v>35</v>
      </c>
    </row>
    <row r="173" spans="1:11" s="290" customFormat="1" x14ac:dyDescent="0.3">
      <c r="B173" s="365" t="s">
        <v>1114</v>
      </c>
      <c r="C173" s="813" t="s">
        <v>1120</v>
      </c>
      <c r="D173" s="813"/>
      <c r="E173" s="813"/>
      <c r="F173" s="813"/>
      <c r="G173" s="813"/>
      <c r="H173" s="813"/>
      <c r="I173" s="813"/>
      <c r="J173" s="813"/>
      <c r="K173" s="366" t="s">
        <v>35</v>
      </c>
    </row>
    <row r="174" spans="1:11" s="290" customFormat="1" ht="27" customHeight="1" x14ac:dyDescent="0.3">
      <c r="B174" s="365" t="s">
        <v>1115</v>
      </c>
      <c r="C174" s="813" t="s">
        <v>1121</v>
      </c>
      <c r="D174" s="813"/>
      <c r="E174" s="813"/>
      <c r="F174" s="813"/>
      <c r="G174" s="813"/>
      <c r="H174" s="813"/>
      <c r="I174" s="813"/>
      <c r="J174" s="813"/>
      <c r="K174" s="366" t="s">
        <v>35</v>
      </c>
    </row>
    <row r="175" spans="1:11" s="290" customFormat="1" x14ac:dyDescent="0.3">
      <c r="B175" s="365" t="s">
        <v>1116</v>
      </c>
      <c r="C175" s="813" t="s">
        <v>1272</v>
      </c>
      <c r="D175" s="813"/>
      <c r="E175" s="813"/>
      <c r="F175" s="813"/>
      <c r="G175" s="813"/>
      <c r="H175" s="813"/>
      <c r="I175" s="813"/>
      <c r="J175" s="813"/>
      <c r="K175" s="366" t="s">
        <v>35</v>
      </c>
    </row>
    <row r="176" spans="1:11" s="290" customFormat="1" ht="13.8" thickBot="1" x14ac:dyDescent="0.35">
      <c r="B176" s="367" t="s">
        <v>1117</v>
      </c>
      <c r="C176" s="831" t="s">
        <v>1122</v>
      </c>
      <c r="D176" s="831"/>
      <c r="E176" s="831"/>
      <c r="F176" s="831"/>
      <c r="G176" s="831"/>
      <c r="H176" s="831"/>
      <c r="I176" s="831"/>
      <c r="J176" s="831"/>
      <c r="K176" s="368" t="s">
        <v>35</v>
      </c>
    </row>
    <row r="177" spans="1:11" s="290" customFormat="1" ht="13.8" thickBot="1" x14ac:dyDescent="0.35">
      <c r="B177" s="391"/>
      <c r="C177" s="915" t="s">
        <v>1123</v>
      </c>
      <c r="D177" s="916"/>
      <c r="E177" s="916"/>
      <c r="F177" s="916"/>
      <c r="G177" s="916"/>
      <c r="H177" s="916"/>
      <c r="I177" s="916"/>
      <c r="J177" s="917"/>
      <c r="K177" s="392" t="str">
        <f>IF(OR(K169="Yes",K171="Yes",K172="Yes",K173="Yes",K174="Yes",K175="Yes",K176="Yes"),"Yes","No")</f>
        <v>No</v>
      </c>
    </row>
    <row r="178" spans="1:11" ht="13.8" thickBot="1" x14ac:dyDescent="0.3">
      <c r="B178" s="924" t="s">
        <v>1061</v>
      </c>
      <c r="C178" s="924"/>
      <c r="D178" s="924"/>
      <c r="E178" s="924"/>
      <c r="F178" s="924"/>
      <c r="G178" s="924" t="s">
        <v>1062</v>
      </c>
      <c r="H178" s="924"/>
      <c r="I178" s="924"/>
      <c r="J178" s="924"/>
      <c r="K178" s="924"/>
    </row>
    <row r="179" spans="1:11" ht="27" thickBot="1" x14ac:dyDescent="0.3">
      <c r="B179" s="371" t="s">
        <v>306</v>
      </c>
      <c r="C179" s="372" t="s">
        <v>19</v>
      </c>
      <c r="D179" s="372" t="s">
        <v>326</v>
      </c>
      <c r="E179" s="372" t="s">
        <v>310</v>
      </c>
      <c r="F179" s="373" t="s">
        <v>552</v>
      </c>
      <c r="G179" s="374" t="s">
        <v>1063</v>
      </c>
      <c r="H179" s="372" t="s">
        <v>1064</v>
      </c>
      <c r="I179" s="375" t="s">
        <v>1065</v>
      </c>
      <c r="J179" s="375" t="s">
        <v>1066</v>
      </c>
      <c r="K179" s="376" t="s">
        <v>1067</v>
      </c>
    </row>
    <row r="180" spans="1:11" ht="15" thickBot="1" x14ac:dyDescent="0.3">
      <c r="B180" s="490" t="s">
        <v>621</v>
      </c>
      <c r="C180" s="491" t="s">
        <v>621</v>
      </c>
      <c r="D180" s="491" t="s">
        <v>621</v>
      </c>
      <c r="E180" s="491" t="s">
        <v>619</v>
      </c>
      <c r="F180" s="492" t="s">
        <v>621</v>
      </c>
      <c r="G180" s="493" t="s">
        <v>621</v>
      </c>
      <c r="H180" s="491" t="s">
        <v>621</v>
      </c>
      <c r="I180" s="491" t="s">
        <v>621</v>
      </c>
      <c r="J180" s="491" t="s">
        <v>621</v>
      </c>
      <c r="K180" s="492" t="s">
        <v>621</v>
      </c>
    </row>
    <row r="181" spans="1:11" ht="13.8" thickBot="1" x14ac:dyDescent="0.3">
      <c r="A181" s="390"/>
      <c r="B181" s="807" t="s">
        <v>1068</v>
      </c>
      <c r="C181" s="808"/>
      <c r="D181" s="808"/>
      <c r="E181" s="808"/>
      <c r="F181" s="808"/>
      <c r="G181" s="808"/>
      <c r="H181" s="808"/>
      <c r="I181" s="808"/>
      <c r="J181" s="808"/>
      <c r="K181" s="809"/>
    </row>
    <row r="182" spans="1:11" ht="27" thickBot="1" x14ac:dyDescent="0.3">
      <c r="A182" s="390"/>
      <c r="B182" s="369" t="s">
        <v>1124</v>
      </c>
      <c r="C182" s="918" t="s">
        <v>31</v>
      </c>
      <c r="D182" s="918"/>
      <c r="E182" s="918"/>
      <c r="F182" s="918"/>
      <c r="G182" s="918"/>
      <c r="H182" s="918"/>
      <c r="I182" s="401" t="s">
        <v>1125</v>
      </c>
      <c r="J182" s="906" t="s">
        <v>1074</v>
      </c>
      <c r="K182" s="907"/>
    </row>
    <row r="183" spans="1:11" ht="39.9" customHeight="1" thickBot="1" x14ac:dyDescent="0.3">
      <c r="A183" s="390"/>
      <c r="B183" s="363" t="s">
        <v>898</v>
      </c>
      <c r="C183" s="768" t="s">
        <v>927</v>
      </c>
      <c r="D183" s="768"/>
      <c r="E183" s="768"/>
      <c r="F183" s="768"/>
      <c r="G183" s="768"/>
      <c r="H183" s="768"/>
      <c r="I183" s="410" t="s">
        <v>35</v>
      </c>
      <c r="J183" s="1107" t="s">
        <v>863</v>
      </c>
      <c r="K183" s="1108"/>
    </row>
    <row r="184" spans="1:11" ht="27" thickBot="1" x14ac:dyDescent="0.3">
      <c r="A184" s="390"/>
      <c r="B184" s="383" t="s">
        <v>1072</v>
      </c>
      <c r="C184" s="814" t="s">
        <v>1108</v>
      </c>
      <c r="D184" s="815"/>
      <c r="E184" s="383" t="s">
        <v>1070</v>
      </c>
      <c r="F184" s="402" t="s">
        <v>1134</v>
      </c>
      <c r="G184" s="816" t="s">
        <v>1131</v>
      </c>
      <c r="H184" s="817"/>
      <c r="I184" s="383" t="s">
        <v>1130</v>
      </c>
      <c r="J184" s="814" t="s">
        <v>1133</v>
      </c>
      <c r="K184" s="815"/>
    </row>
    <row r="185" spans="1:11" ht="13.8" thickBot="1" x14ac:dyDescent="0.3">
      <c r="B185" s="938" t="s">
        <v>1076</v>
      </c>
      <c r="C185" s="939"/>
      <c r="D185" s="939"/>
      <c r="E185" s="939"/>
      <c r="F185" s="939"/>
      <c r="G185" s="939"/>
      <c r="H185" s="939"/>
      <c r="I185" s="939"/>
      <c r="J185" s="939"/>
      <c r="K185" s="940"/>
    </row>
    <row r="186" spans="1:11" ht="13.8" thickBot="1" x14ac:dyDescent="0.3">
      <c r="B186" s="403" t="s">
        <v>863</v>
      </c>
      <c r="C186" s="943" t="s">
        <v>863</v>
      </c>
      <c r="D186" s="943"/>
      <c r="E186" s="943"/>
      <c r="F186" s="943"/>
      <c r="G186" s="943"/>
      <c r="H186" s="943"/>
      <c r="I186" s="943"/>
      <c r="J186" s="943"/>
      <c r="K186" s="944"/>
    </row>
    <row r="187" spans="1:11" ht="13.8" thickBot="1" x14ac:dyDescent="0.3">
      <c r="B187" s="938" t="s">
        <v>1077</v>
      </c>
      <c r="C187" s="939"/>
      <c r="D187" s="939"/>
      <c r="E187" s="939"/>
      <c r="F187" s="939"/>
      <c r="G187" s="939"/>
      <c r="H187" s="939"/>
      <c r="I187" s="939"/>
      <c r="J187" s="939"/>
      <c r="K187" s="940"/>
    </row>
    <row r="188" spans="1:11" ht="27" customHeight="1" thickBot="1" x14ac:dyDescent="0.3">
      <c r="B188" s="360" t="s">
        <v>712</v>
      </c>
      <c r="C188" s="830" t="s">
        <v>928</v>
      </c>
      <c r="D188" s="816"/>
      <c r="E188" s="816"/>
      <c r="F188" s="816"/>
      <c r="G188" s="816"/>
      <c r="H188" s="816"/>
      <c r="I188" s="816"/>
      <c r="J188" s="816"/>
      <c r="K188" s="817"/>
    </row>
  </sheetData>
  <autoFilter ref="A9:L188" xr:uid="{00000000-0009-0000-0000-000011000000}"/>
  <mergeCells count="189">
    <mergeCell ref="C14:J14"/>
    <mergeCell ref="C15:J15"/>
    <mergeCell ref="C16:J16"/>
    <mergeCell ref="C17:J17"/>
    <mergeCell ref="C18:J18"/>
    <mergeCell ref="C19:J19"/>
    <mergeCell ref="B5:D5"/>
    <mergeCell ref="B6:D6"/>
    <mergeCell ref="B7:D7"/>
    <mergeCell ref="B11:K11"/>
    <mergeCell ref="C12:K12"/>
    <mergeCell ref="B13:K13"/>
    <mergeCell ref="C27:H27"/>
    <mergeCell ref="J27:K27"/>
    <mergeCell ref="C28:D28"/>
    <mergeCell ref="G28:H28"/>
    <mergeCell ref="J28:K28"/>
    <mergeCell ref="B29:K29"/>
    <mergeCell ref="C20:J20"/>
    <mergeCell ref="C21:J21"/>
    <mergeCell ref="B22:F22"/>
    <mergeCell ref="G22:K22"/>
    <mergeCell ref="B25:K25"/>
    <mergeCell ref="C26:H26"/>
    <mergeCell ref="J26:K26"/>
    <mergeCell ref="C38:K38"/>
    <mergeCell ref="B39:K39"/>
    <mergeCell ref="C40:J40"/>
    <mergeCell ref="C41:J41"/>
    <mergeCell ref="C42:J42"/>
    <mergeCell ref="C43:J43"/>
    <mergeCell ref="C30:K30"/>
    <mergeCell ref="B31:K31"/>
    <mergeCell ref="C32:K32"/>
    <mergeCell ref="B33:K33"/>
    <mergeCell ref="C34:K34"/>
    <mergeCell ref="B37:K37"/>
    <mergeCell ref="B52:K52"/>
    <mergeCell ref="C53:H53"/>
    <mergeCell ref="J53:K53"/>
    <mergeCell ref="C54:H54"/>
    <mergeCell ref="J54:K54"/>
    <mergeCell ref="C55:D55"/>
    <mergeCell ref="G55:H55"/>
    <mergeCell ref="J55:K55"/>
    <mergeCell ref="C44:J44"/>
    <mergeCell ref="C45:J45"/>
    <mergeCell ref="C46:J46"/>
    <mergeCell ref="C47:J47"/>
    <mergeCell ref="C48:J48"/>
    <mergeCell ref="B49:F49"/>
    <mergeCell ref="G49:K49"/>
    <mergeCell ref="B64:K64"/>
    <mergeCell ref="C65:J65"/>
    <mergeCell ref="C66:J66"/>
    <mergeCell ref="C67:J67"/>
    <mergeCell ref="C68:J68"/>
    <mergeCell ref="C69:J69"/>
    <mergeCell ref="B56:K56"/>
    <mergeCell ref="C57:K57"/>
    <mergeCell ref="B58:K58"/>
    <mergeCell ref="C59:K59"/>
    <mergeCell ref="B62:K62"/>
    <mergeCell ref="C63:K63"/>
    <mergeCell ref="B77:K77"/>
    <mergeCell ref="C78:H78"/>
    <mergeCell ref="J78:K78"/>
    <mergeCell ref="C79:H79"/>
    <mergeCell ref="J79:K79"/>
    <mergeCell ref="C80:D80"/>
    <mergeCell ref="G80:H80"/>
    <mergeCell ref="J80:K80"/>
    <mergeCell ref="C70:J70"/>
    <mergeCell ref="C71:J71"/>
    <mergeCell ref="C72:J72"/>
    <mergeCell ref="C73:J73"/>
    <mergeCell ref="B74:F74"/>
    <mergeCell ref="G74:K74"/>
    <mergeCell ref="B89:K89"/>
    <mergeCell ref="C90:J90"/>
    <mergeCell ref="C91:J91"/>
    <mergeCell ref="C92:J92"/>
    <mergeCell ref="C93:J93"/>
    <mergeCell ref="C94:J94"/>
    <mergeCell ref="B81:K81"/>
    <mergeCell ref="C82:K82"/>
    <mergeCell ref="B83:K83"/>
    <mergeCell ref="C84:K84"/>
    <mergeCell ref="B87:K87"/>
    <mergeCell ref="C88:K88"/>
    <mergeCell ref="B102:K102"/>
    <mergeCell ref="C103:H103"/>
    <mergeCell ref="J103:K103"/>
    <mergeCell ref="C104:H104"/>
    <mergeCell ref="J104:K104"/>
    <mergeCell ref="C105:H105"/>
    <mergeCell ref="J105:K105"/>
    <mergeCell ref="C95:J95"/>
    <mergeCell ref="C96:J96"/>
    <mergeCell ref="C97:J97"/>
    <mergeCell ref="C98:J98"/>
    <mergeCell ref="B99:F99"/>
    <mergeCell ref="G99:K99"/>
    <mergeCell ref="B110:K110"/>
    <mergeCell ref="C111:K111"/>
    <mergeCell ref="B114:K114"/>
    <mergeCell ref="C115:K115"/>
    <mergeCell ref="B116:K116"/>
    <mergeCell ref="C117:J117"/>
    <mergeCell ref="C106:D106"/>
    <mergeCell ref="G106:H106"/>
    <mergeCell ref="J106:K106"/>
    <mergeCell ref="B107:K107"/>
    <mergeCell ref="C108:K108"/>
    <mergeCell ref="C109:K109"/>
    <mergeCell ref="C124:J124"/>
    <mergeCell ref="C125:J125"/>
    <mergeCell ref="B126:F126"/>
    <mergeCell ref="G126:K126"/>
    <mergeCell ref="B129:K129"/>
    <mergeCell ref="C130:H130"/>
    <mergeCell ref="J130:K130"/>
    <mergeCell ref="C118:J118"/>
    <mergeCell ref="C119:J119"/>
    <mergeCell ref="C120:J120"/>
    <mergeCell ref="C121:J121"/>
    <mergeCell ref="C122:J122"/>
    <mergeCell ref="C123:J123"/>
    <mergeCell ref="C134:K134"/>
    <mergeCell ref="B135:K135"/>
    <mergeCell ref="C136:K136"/>
    <mergeCell ref="B140:K140"/>
    <mergeCell ref="C141:K141"/>
    <mergeCell ref="B142:K142"/>
    <mergeCell ref="C131:H131"/>
    <mergeCell ref="J131:K131"/>
    <mergeCell ref="C132:D132"/>
    <mergeCell ref="G132:H132"/>
    <mergeCell ref="J132:K132"/>
    <mergeCell ref="B133:K133"/>
    <mergeCell ref="C149:J149"/>
    <mergeCell ref="C150:J150"/>
    <mergeCell ref="C151:J151"/>
    <mergeCell ref="B152:F152"/>
    <mergeCell ref="G152:K152"/>
    <mergeCell ref="B155:K155"/>
    <mergeCell ref="C143:J143"/>
    <mergeCell ref="C144:J144"/>
    <mergeCell ref="C145:J145"/>
    <mergeCell ref="C146:J146"/>
    <mergeCell ref="C147:J147"/>
    <mergeCell ref="C148:J148"/>
    <mergeCell ref="B159:K159"/>
    <mergeCell ref="C160:K160"/>
    <mergeCell ref="B161:K161"/>
    <mergeCell ref="C162:K162"/>
    <mergeCell ref="B166:K166"/>
    <mergeCell ref="C167:K167"/>
    <mergeCell ref="C156:H156"/>
    <mergeCell ref="J156:K156"/>
    <mergeCell ref="C157:H157"/>
    <mergeCell ref="J157:K157"/>
    <mergeCell ref="C158:D158"/>
    <mergeCell ref="G158:H158"/>
    <mergeCell ref="J158:K158"/>
    <mergeCell ref="C174:J174"/>
    <mergeCell ref="C175:J175"/>
    <mergeCell ref="C176:J176"/>
    <mergeCell ref="C177:J177"/>
    <mergeCell ref="B178:F178"/>
    <mergeCell ref="G178:K178"/>
    <mergeCell ref="B168:K168"/>
    <mergeCell ref="C169:J169"/>
    <mergeCell ref="C170:J170"/>
    <mergeCell ref="C171:J171"/>
    <mergeCell ref="C172:J172"/>
    <mergeCell ref="C173:J173"/>
    <mergeCell ref="B185:K185"/>
    <mergeCell ref="C186:K186"/>
    <mergeCell ref="B187:K187"/>
    <mergeCell ref="C188:K188"/>
    <mergeCell ref="B181:K181"/>
    <mergeCell ref="C182:H182"/>
    <mergeCell ref="J182:K182"/>
    <mergeCell ref="C183:H183"/>
    <mergeCell ref="J183:K183"/>
    <mergeCell ref="C184:D184"/>
    <mergeCell ref="G184:H184"/>
    <mergeCell ref="J184:K184"/>
  </mergeCells>
  <dataValidations count="1">
    <dataValidation type="list" allowBlank="1" showInputMessage="1" showErrorMessage="1" sqref="J28:K28 J55:K55 J80:K80 J106:K106 J132:K132 J158:K158 J184:K184 F28 F55 F80 F106 F132 F158 F184" xr:uid="{7F6A68CC-35C5-424C-A80D-06B4120E4D33}">
      <formula1>#REF!</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K92"/>
  <sheetViews>
    <sheetView topLeftCell="A83" workbookViewId="0"/>
  </sheetViews>
  <sheetFormatPr defaultColWidth="9.109375" defaultRowHeight="13.2" x14ac:dyDescent="0.3"/>
  <cols>
    <col min="1" max="1" width="4.6640625" style="352" customWidth="1"/>
    <col min="2" max="2" width="15.6640625" style="290" customWidth="1"/>
    <col min="3" max="3" width="14.6640625" style="290" customWidth="1"/>
    <col min="4" max="4" width="16" style="290" customWidth="1"/>
    <col min="5" max="8" width="14.6640625" style="290" customWidth="1"/>
    <col min="9" max="9" width="18.5546875" style="290" customWidth="1"/>
    <col min="10" max="11" width="14.6640625" style="290" customWidth="1"/>
    <col min="12" max="16384" width="9.109375" style="290"/>
  </cols>
  <sheetData>
    <row r="2" spans="1:11" x14ac:dyDescent="0.3">
      <c r="B2" s="353" t="s">
        <v>1270</v>
      </c>
    </row>
    <row r="3" spans="1:11" x14ac:dyDescent="0.3">
      <c r="B3" s="353" t="s">
        <v>1796</v>
      </c>
    </row>
    <row r="4" spans="1:11" ht="13.8" thickBot="1" x14ac:dyDescent="0.35"/>
    <row r="5" spans="1:11" ht="13.8" thickBot="1" x14ac:dyDescent="0.35">
      <c r="B5" s="837" t="s">
        <v>23</v>
      </c>
      <c r="C5" s="838"/>
      <c r="D5" s="839"/>
      <c r="E5" s="354"/>
      <c r="F5" s="355" t="s">
        <v>1655</v>
      </c>
    </row>
    <row r="6" spans="1:11" ht="13.8" thickBot="1" x14ac:dyDescent="0.35">
      <c r="B6" s="840" t="s">
        <v>860</v>
      </c>
      <c r="C6" s="841"/>
      <c r="D6" s="841"/>
      <c r="E6" s="356"/>
      <c r="F6" s="355" t="s">
        <v>615</v>
      </c>
    </row>
    <row r="7" spans="1:11" ht="13.8" thickBot="1" x14ac:dyDescent="0.35">
      <c r="B7" s="842" t="s">
        <v>1075</v>
      </c>
      <c r="C7" s="843"/>
      <c r="D7" s="844"/>
      <c r="E7" s="356"/>
      <c r="F7" s="357">
        <v>5175000</v>
      </c>
    </row>
    <row r="9" spans="1:11" x14ac:dyDescent="0.3">
      <c r="B9" s="353" t="s">
        <v>508</v>
      </c>
    </row>
    <row r="10" spans="1:11" ht="13.8" thickBot="1" x14ac:dyDescent="0.35">
      <c r="A10" s="358" t="s">
        <v>1097</v>
      </c>
      <c r="B10" s="359" t="s">
        <v>1349</v>
      </c>
    </row>
    <row r="11" spans="1:11" ht="13.8" thickBot="1" x14ac:dyDescent="0.35">
      <c r="B11" s="807" t="s">
        <v>1060</v>
      </c>
      <c r="C11" s="808"/>
      <c r="D11" s="808"/>
      <c r="E11" s="808"/>
      <c r="F11" s="808"/>
      <c r="G11" s="808"/>
      <c r="H11" s="808"/>
      <c r="I11" s="808"/>
      <c r="J11" s="808"/>
      <c r="K11" s="809"/>
    </row>
    <row r="12" spans="1:11" ht="25.5" customHeight="1" thickBot="1" x14ac:dyDescent="0.35">
      <c r="B12" s="360" t="s">
        <v>1350</v>
      </c>
      <c r="C12" s="810" t="s">
        <v>272</v>
      </c>
      <c r="D12" s="810"/>
      <c r="E12" s="810"/>
      <c r="F12" s="810"/>
      <c r="G12" s="810"/>
      <c r="H12" s="810"/>
      <c r="I12" s="810"/>
      <c r="J12" s="810"/>
      <c r="K12" s="811"/>
    </row>
    <row r="13" spans="1:11" ht="13.8" thickBot="1" x14ac:dyDescent="0.35">
      <c r="A13" s="290"/>
      <c r="B13" s="807" t="s">
        <v>1109</v>
      </c>
      <c r="C13" s="808"/>
      <c r="D13" s="808"/>
      <c r="E13" s="808"/>
      <c r="F13" s="808"/>
      <c r="G13" s="808"/>
      <c r="H13" s="808"/>
      <c r="I13" s="808"/>
      <c r="J13" s="808"/>
      <c r="K13" s="809"/>
    </row>
    <row r="14" spans="1:11" x14ac:dyDescent="0.3">
      <c r="A14" s="290"/>
      <c r="B14" s="361" t="s">
        <v>1110</v>
      </c>
      <c r="C14" s="812" t="s">
        <v>1111</v>
      </c>
      <c r="D14" s="812"/>
      <c r="E14" s="812"/>
      <c r="F14" s="812"/>
      <c r="G14" s="812"/>
      <c r="H14" s="812"/>
      <c r="I14" s="812"/>
      <c r="J14" s="812"/>
      <c r="K14" s="362" t="s">
        <v>35</v>
      </c>
    </row>
    <row r="15" spans="1:11" x14ac:dyDescent="0.3">
      <c r="A15" s="290"/>
      <c r="B15" s="363"/>
      <c r="C15" s="804" t="s">
        <v>1206</v>
      </c>
      <c r="D15" s="805"/>
      <c r="E15" s="805"/>
      <c r="F15" s="805"/>
      <c r="G15" s="805"/>
      <c r="H15" s="805"/>
      <c r="I15" s="805"/>
      <c r="J15" s="806"/>
      <c r="K15" s="364"/>
    </row>
    <row r="16" spans="1:11" x14ac:dyDescent="0.3">
      <c r="A16" s="290"/>
      <c r="B16" s="365" t="s">
        <v>1112</v>
      </c>
      <c r="C16" s="813" t="s">
        <v>1118</v>
      </c>
      <c r="D16" s="813"/>
      <c r="E16" s="813"/>
      <c r="F16" s="813"/>
      <c r="G16" s="813"/>
      <c r="H16" s="813"/>
      <c r="I16" s="813"/>
      <c r="J16" s="813"/>
      <c r="K16" s="366" t="s">
        <v>35</v>
      </c>
    </row>
    <row r="17" spans="1:11" x14ac:dyDescent="0.3">
      <c r="A17" s="290"/>
      <c r="B17" s="365" t="s">
        <v>1113</v>
      </c>
      <c r="C17" s="813" t="s">
        <v>1119</v>
      </c>
      <c r="D17" s="813"/>
      <c r="E17" s="813"/>
      <c r="F17" s="813"/>
      <c r="G17" s="813"/>
      <c r="H17" s="813"/>
      <c r="I17" s="813"/>
      <c r="J17" s="813"/>
      <c r="K17" s="366" t="s">
        <v>35</v>
      </c>
    </row>
    <row r="18" spans="1:11" x14ac:dyDescent="0.3">
      <c r="A18" s="290"/>
      <c r="B18" s="365" t="s">
        <v>1114</v>
      </c>
      <c r="C18" s="813" t="s">
        <v>1120</v>
      </c>
      <c r="D18" s="813"/>
      <c r="E18" s="813"/>
      <c r="F18" s="813"/>
      <c r="G18" s="813"/>
      <c r="H18" s="813"/>
      <c r="I18" s="813"/>
      <c r="J18" s="813"/>
      <c r="K18" s="366" t="s">
        <v>35</v>
      </c>
    </row>
    <row r="19" spans="1:11" ht="31.5" customHeight="1" x14ac:dyDescent="0.3">
      <c r="A19" s="290"/>
      <c r="B19" s="365" t="s">
        <v>1115</v>
      </c>
      <c r="C19" s="813" t="s">
        <v>1121</v>
      </c>
      <c r="D19" s="813"/>
      <c r="E19" s="813"/>
      <c r="F19" s="813"/>
      <c r="G19" s="813"/>
      <c r="H19" s="813"/>
      <c r="I19" s="813"/>
      <c r="J19" s="813"/>
      <c r="K19" s="366" t="s">
        <v>35</v>
      </c>
    </row>
    <row r="20" spans="1:11" ht="31.5" customHeight="1" x14ac:dyDescent="0.3">
      <c r="A20" s="290"/>
      <c r="B20" s="365" t="s">
        <v>1116</v>
      </c>
      <c r="C20" s="813" t="s">
        <v>1272</v>
      </c>
      <c r="D20" s="813"/>
      <c r="E20" s="813"/>
      <c r="F20" s="813"/>
      <c r="G20" s="813"/>
      <c r="H20" s="813"/>
      <c r="I20" s="813"/>
      <c r="J20" s="813"/>
      <c r="K20" s="366" t="s">
        <v>35</v>
      </c>
    </row>
    <row r="21" spans="1:11" ht="13.8" thickBot="1" x14ac:dyDescent="0.35">
      <c r="A21" s="290"/>
      <c r="B21" s="367" t="s">
        <v>1117</v>
      </c>
      <c r="C21" s="831" t="s">
        <v>1122</v>
      </c>
      <c r="D21" s="831"/>
      <c r="E21" s="831"/>
      <c r="F21" s="831"/>
      <c r="G21" s="831"/>
      <c r="H21" s="831"/>
      <c r="I21" s="831"/>
      <c r="J21" s="831"/>
      <c r="K21" s="368" t="s">
        <v>35</v>
      </c>
    </row>
    <row r="22" spans="1:11" ht="31.5" customHeight="1" thickBot="1" x14ac:dyDescent="0.35">
      <c r="A22" s="290"/>
      <c r="B22" s="369"/>
      <c r="C22" s="866" t="s">
        <v>1123</v>
      </c>
      <c r="D22" s="866"/>
      <c r="E22" s="866"/>
      <c r="F22" s="866"/>
      <c r="G22" s="866"/>
      <c r="H22" s="866"/>
      <c r="I22" s="866"/>
      <c r="J22" s="866"/>
      <c r="K22" s="387" t="str">
        <f>IF(OR(K14="Yes",K16="Yes",K17="Yes",K18="Yes",K19="Yes",K20="Yes",K21="Yes"),"Yes","No")</f>
        <v>No</v>
      </c>
    </row>
    <row r="23" spans="1:11" ht="13.8" thickBot="1" x14ac:dyDescent="0.35">
      <c r="B23" s="834" t="s">
        <v>1061</v>
      </c>
      <c r="C23" s="834"/>
      <c r="D23" s="834"/>
      <c r="E23" s="834"/>
      <c r="F23" s="834"/>
      <c r="G23" s="834" t="s">
        <v>1062</v>
      </c>
      <c r="H23" s="834"/>
      <c r="I23" s="834"/>
      <c r="J23" s="834"/>
      <c r="K23" s="834"/>
    </row>
    <row r="24" spans="1:11"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1:11" ht="15" thickBot="1" x14ac:dyDescent="0.35">
      <c r="B25" s="514" t="s">
        <v>619</v>
      </c>
      <c r="C25" s="515" t="s">
        <v>619</v>
      </c>
      <c r="D25" s="515" t="s">
        <v>621</v>
      </c>
      <c r="E25" s="515" t="s">
        <v>619</v>
      </c>
      <c r="F25" s="516" t="s">
        <v>621</v>
      </c>
      <c r="G25" s="517" t="s">
        <v>619</v>
      </c>
      <c r="H25" s="515" t="s">
        <v>621</v>
      </c>
      <c r="I25" s="515" t="s">
        <v>619</v>
      </c>
      <c r="J25" s="515" t="s">
        <v>621</v>
      </c>
      <c r="K25" s="516" t="s">
        <v>621</v>
      </c>
    </row>
    <row r="26" spans="1:11" ht="13.8" thickBot="1" x14ac:dyDescent="0.35">
      <c r="B26" s="807" t="s">
        <v>1068</v>
      </c>
      <c r="C26" s="808"/>
      <c r="D26" s="808"/>
      <c r="E26" s="808"/>
      <c r="F26" s="808"/>
      <c r="G26" s="808"/>
      <c r="H26" s="808"/>
      <c r="I26" s="808"/>
      <c r="J26" s="808"/>
      <c r="K26" s="809"/>
    </row>
    <row r="27" spans="1:11" ht="27" thickBot="1" x14ac:dyDescent="0.35">
      <c r="B27" s="369" t="s">
        <v>1124</v>
      </c>
      <c r="C27" s="827" t="s">
        <v>31</v>
      </c>
      <c r="D27" s="827"/>
      <c r="E27" s="827"/>
      <c r="F27" s="827"/>
      <c r="G27" s="827"/>
      <c r="H27" s="827"/>
      <c r="I27" s="381" t="s">
        <v>1125</v>
      </c>
      <c r="J27" s="828" t="s">
        <v>1074</v>
      </c>
      <c r="K27" s="829"/>
    </row>
    <row r="28" spans="1:11" ht="30.75" customHeight="1" thickBot="1" x14ac:dyDescent="0.35">
      <c r="B28" s="361" t="s">
        <v>1351</v>
      </c>
      <c r="C28" s="812" t="s">
        <v>1352</v>
      </c>
      <c r="D28" s="812"/>
      <c r="E28" s="812"/>
      <c r="F28" s="812"/>
      <c r="G28" s="812"/>
      <c r="H28" s="812"/>
      <c r="I28" s="385" t="s">
        <v>35</v>
      </c>
      <c r="J28" s="856" t="s">
        <v>863</v>
      </c>
      <c r="K28" s="857"/>
    </row>
    <row r="29" spans="1:11" ht="27" thickBot="1" x14ac:dyDescent="0.35">
      <c r="B29" s="383" t="s">
        <v>1072</v>
      </c>
      <c r="C29" s="814" t="s">
        <v>1274</v>
      </c>
      <c r="D29" s="815"/>
      <c r="E29" s="383" t="s">
        <v>1070</v>
      </c>
      <c r="F29" s="384" t="s">
        <v>1134</v>
      </c>
      <c r="G29" s="816" t="s">
        <v>1175</v>
      </c>
      <c r="H29" s="817"/>
      <c r="I29" s="383" t="s">
        <v>1130</v>
      </c>
      <c r="J29" s="814" t="s">
        <v>1133</v>
      </c>
      <c r="K29" s="815"/>
    </row>
    <row r="30" spans="1:11" ht="13.8" thickBot="1" x14ac:dyDescent="0.35">
      <c r="B30" s="824" t="s">
        <v>1076</v>
      </c>
      <c r="C30" s="825"/>
      <c r="D30" s="825"/>
      <c r="E30" s="825"/>
      <c r="F30" s="825"/>
      <c r="G30" s="825"/>
      <c r="H30" s="825"/>
      <c r="I30" s="825"/>
      <c r="J30" s="825"/>
      <c r="K30" s="826"/>
    </row>
    <row r="31" spans="1:11" ht="13.8" thickBot="1" x14ac:dyDescent="0.3">
      <c r="B31" s="367" t="s">
        <v>1351</v>
      </c>
      <c r="C31" s="984" t="s">
        <v>1437</v>
      </c>
      <c r="D31" s="985"/>
      <c r="E31" s="985"/>
      <c r="F31" s="985"/>
      <c r="G31" s="985"/>
      <c r="H31" s="985"/>
      <c r="I31" s="985"/>
      <c r="J31" s="985"/>
      <c r="K31" s="986"/>
    </row>
    <row r="32" spans="1:11" ht="13.8" thickBot="1" x14ac:dyDescent="0.35">
      <c r="B32" s="824" t="s">
        <v>1077</v>
      </c>
      <c r="C32" s="825"/>
      <c r="D32" s="825"/>
      <c r="E32" s="825"/>
      <c r="F32" s="825"/>
      <c r="G32" s="825"/>
      <c r="H32" s="825"/>
      <c r="I32" s="825"/>
      <c r="J32" s="825"/>
      <c r="K32" s="826"/>
    </row>
    <row r="33" spans="1:11" ht="55.5" customHeight="1" thickBot="1" x14ac:dyDescent="0.35">
      <c r="B33" s="360" t="s">
        <v>1353</v>
      </c>
      <c r="C33" s="830" t="s">
        <v>1810</v>
      </c>
      <c r="D33" s="816"/>
      <c r="E33" s="816"/>
      <c r="F33" s="816"/>
      <c r="G33" s="816"/>
      <c r="H33" s="816"/>
      <c r="I33" s="816"/>
      <c r="J33" s="816"/>
      <c r="K33" s="817"/>
    </row>
    <row r="34" spans="1:11" ht="13.8" thickBot="1" x14ac:dyDescent="0.35">
      <c r="B34" s="824" t="s">
        <v>1139</v>
      </c>
      <c r="C34" s="825"/>
      <c r="D34" s="825"/>
      <c r="E34" s="825"/>
      <c r="F34" s="825"/>
      <c r="G34" s="825"/>
      <c r="H34" s="825"/>
      <c r="I34" s="825"/>
      <c r="J34" s="825"/>
      <c r="K34" s="826"/>
    </row>
    <row r="35" spans="1:11" ht="13.8" thickBot="1" x14ac:dyDescent="0.35">
      <c r="B35" s="360" t="s">
        <v>863</v>
      </c>
      <c r="C35" s="835" t="s">
        <v>1140</v>
      </c>
      <c r="D35" s="835"/>
      <c r="E35" s="835"/>
      <c r="F35" s="835"/>
      <c r="G35" s="835"/>
      <c r="H35" s="835"/>
      <c r="I35" s="835"/>
      <c r="J35" s="835"/>
      <c r="K35" s="836"/>
    </row>
    <row r="38" spans="1:11" ht="13.8" thickBot="1" x14ac:dyDescent="0.3">
      <c r="A38" s="390" t="s">
        <v>1095</v>
      </c>
      <c r="B38" s="390" t="s">
        <v>1354</v>
      </c>
      <c r="C38" s="289"/>
      <c r="D38" s="289"/>
      <c r="E38" s="289"/>
      <c r="F38" s="289"/>
      <c r="G38" s="289"/>
      <c r="H38" s="289"/>
      <c r="I38" s="289"/>
      <c r="J38" s="289"/>
      <c r="K38" s="289"/>
    </row>
    <row r="39" spans="1:11" ht="13.8" thickBot="1" x14ac:dyDescent="0.3">
      <c r="A39" s="289"/>
      <c r="B39" s="921" t="s">
        <v>1060</v>
      </c>
      <c r="C39" s="922"/>
      <c r="D39" s="922"/>
      <c r="E39" s="922"/>
      <c r="F39" s="922"/>
      <c r="G39" s="922"/>
      <c r="H39" s="922"/>
      <c r="I39" s="922"/>
      <c r="J39" s="922"/>
      <c r="K39" s="923"/>
    </row>
    <row r="40" spans="1:11" ht="13.8" thickBot="1" x14ac:dyDescent="0.3">
      <c r="A40" s="289"/>
      <c r="B40" s="360" t="s">
        <v>1355</v>
      </c>
      <c r="C40" s="810" t="s">
        <v>1356</v>
      </c>
      <c r="D40" s="810"/>
      <c r="E40" s="810"/>
      <c r="F40" s="810"/>
      <c r="G40" s="810"/>
      <c r="H40" s="810"/>
      <c r="I40" s="810"/>
      <c r="J40" s="810"/>
      <c r="K40" s="811"/>
    </row>
    <row r="41" spans="1:11" ht="13.8" thickBot="1" x14ac:dyDescent="0.35">
      <c r="B41" s="929" t="s">
        <v>1109</v>
      </c>
      <c r="C41" s="930"/>
      <c r="D41" s="930"/>
      <c r="E41" s="930"/>
      <c r="F41" s="930"/>
      <c r="G41" s="930"/>
      <c r="H41" s="930"/>
      <c r="I41" s="930"/>
      <c r="J41" s="930"/>
      <c r="K41" s="931"/>
    </row>
    <row r="42" spans="1:11" x14ac:dyDescent="0.3">
      <c r="B42" s="361" t="s">
        <v>1110</v>
      </c>
      <c r="C42" s="812" t="s">
        <v>1111</v>
      </c>
      <c r="D42" s="812"/>
      <c r="E42" s="812"/>
      <c r="F42" s="812"/>
      <c r="G42" s="812"/>
      <c r="H42" s="812"/>
      <c r="I42" s="812"/>
      <c r="J42" s="812"/>
      <c r="K42" s="362" t="s">
        <v>35</v>
      </c>
    </row>
    <row r="43" spans="1:11" x14ac:dyDescent="0.3">
      <c r="B43" s="363"/>
      <c r="C43" s="804" t="s">
        <v>1206</v>
      </c>
      <c r="D43" s="805"/>
      <c r="E43" s="805"/>
      <c r="F43" s="805"/>
      <c r="G43" s="805"/>
      <c r="H43" s="805"/>
      <c r="I43" s="805"/>
      <c r="J43" s="806"/>
      <c r="K43" s="364"/>
    </row>
    <row r="44" spans="1:11" x14ac:dyDescent="0.3">
      <c r="B44" s="365" t="s">
        <v>1112</v>
      </c>
      <c r="C44" s="813" t="s">
        <v>1118</v>
      </c>
      <c r="D44" s="813"/>
      <c r="E44" s="813"/>
      <c r="F44" s="813"/>
      <c r="G44" s="813"/>
      <c r="H44" s="813"/>
      <c r="I44" s="813"/>
      <c r="J44" s="813"/>
      <c r="K44" s="366" t="s">
        <v>35</v>
      </c>
    </row>
    <row r="45" spans="1:11" x14ac:dyDescent="0.3">
      <c r="A45" s="290"/>
      <c r="B45" s="365" t="s">
        <v>1113</v>
      </c>
      <c r="C45" s="813" t="s">
        <v>1119</v>
      </c>
      <c r="D45" s="813"/>
      <c r="E45" s="813"/>
      <c r="F45" s="813"/>
      <c r="G45" s="813"/>
      <c r="H45" s="813"/>
      <c r="I45" s="813"/>
      <c r="J45" s="813"/>
      <c r="K45" s="366" t="s">
        <v>35</v>
      </c>
    </row>
    <row r="46" spans="1:11" x14ac:dyDescent="0.3">
      <c r="A46" s="290"/>
      <c r="B46" s="365" t="s">
        <v>1114</v>
      </c>
      <c r="C46" s="813" t="s">
        <v>1120</v>
      </c>
      <c r="D46" s="813"/>
      <c r="E46" s="813"/>
      <c r="F46" s="813"/>
      <c r="G46" s="813"/>
      <c r="H46" s="813"/>
      <c r="I46" s="813"/>
      <c r="J46" s="813"/>
      <c r="K46" s="366" t="s">
        <v>35</v>
      </c>
    </row>
    <row r="47" spans="1:11" x14ac:dyDescent="0.3">
      <c r="A47" s="290"/>
      <c r="B47" s="365" t="s">
        <v>1115</v>
      </c>
      <c r="C47" s="813" t="s">
        <v>1121</v>
      </c>
      <c r="D47" s="813"/>
      <c r="E47" s="813"/>
      <c r="F47" s="813"/>
      <c r="G47" s="813"/>
      <c r="H47" s="813"/>
      <c r="I47" s="813"/>
      <c r="J47" s="813"/>
      <c r="K47" s="366" t="s">
        <v>35</v>
      </c>
    </row>
    <row r="48" spans="1:11" x14ac:dyDescent="0.3">
      <c r="A48" s="290"/>
      <c r="B48" s="365" t="s">
        <v>1116</v>
      </c>
      <c r="C48" s="813" t="s">
        <v>1272</v>
      </c>
      <c r="D48" s="813"/>
      <c r="E48" s="813"/>
      <c r="F48" s="813"/>
      <c r="G48" s="813"/>
      <c r="H48" s="813"/>
      <c r="I48" s="813"/>
      <c r="J48" s="813"/>
      <c r="K48" s="366" t="s">
        <v>35</v>
      </c>
    </row>
    <row r="49" spans="1:11" ht="13.8" thickBot="1" x14ac:dyDescent="0.35">
      <c r="A49" s="290"/>
      <c r="B49" s="367" t="s">
        <v>1117</v>
      </c>
      <c r="C49" s="831" t="s">
        <v>1122</v>
      </c>
      <c r="D49" s="831"/>
      <c r="E49" s="831"/>
      <c r="F49" s="831"/>
      <c r="G49" s="831"/>
      <c r="H49" s="831"/>
      <c r="I49" s="831"/>
      <c r="J49" s="831"/>
      <c r="K49" s="368" t="s">
        <v>35</v>
      </c>
    </row>
    <row r="50" spans="1:11" ht="13.8" thickBot="1" x14ac:dyDescent="0.35">
      <c r="A50" s="290"/>
      <c r="B50" s="391"/>
      <c r="C50" s="915" t="s">
        <v>1123</v>
      </c>
      <c r="D50" s="916"/>
      <c r="E50" s="916"/>
      <c r="F50" s="916"/>
      <c r="G50" s="916"/>
      <c r="H50" s="916"/>
      <c r="I50" s="916"/>
      <c r="J50" s="917"/>
      <c r="K50" s="392" t="str">
        <f>IF(OR(K42="Yes",K44="Yes",K45="Yes",K46="Yes",K47="Yes",K48="Yes",K49="Yes"),"Yes","No")</f>
        <v>No</v>
      </c>
    </row>
    <row r="51" spans="1:11" ht="13.8" thickBot="1" x14ac:dyDescent="0.3">
      <c r="A51" s="290"/>
      <c r="B51" s="924" t="s">
        <v>1061</v>
      </c>
      <c r="C51" s="924"/>
      <c r="D51" s="924"/>
      <c r="E51" s="924"/>
      <c r="F51" s="924"/>
      <c r="G51" s="924" t="s">
        <v>1062</v>
      </c>
      <c r="H51" s="924"/>
      <c r="I51" s="924"/>
      <c r="J51" s="924"/>
      <c r="K51" s="924"/>
    </row>
    <row r="52" spans="1:11" ht="27" thickBot="1" x14ac:dyDescent="0.35">
      <c r="A52" s="290"/>
      <c r="B52" s="371" t="s">
        <v>26</v>
      </c>
      <c r="C52" s="372" t="s">
        <v>553</v>
      </c>
      <c r="D52" s="372" t="s">
        <v>19</v>
      </c>
      <c r="E52" s="372" t="s">
        <v>25</v>
      </c>
      <c r="F52" s="373" t="s">
        <v>554</v>
      </c>
      <c r="G52" s="393" t="s">
        <v>1063</v>
      </c>
      <c r="H52" s="394" t="s">
        <v>1064</v>
      </c>
      <c r="I52" s="395" t="s">
        <v>1065</v>
      </c>
      <c r="J52" s="395" t="s">
        <v>1066</v>
      </c>
      <c r="K52" s="396" t="s">
        <v>1067</v>
      </c>
    </row>
    <row r="53" spans="1:11" ht="15" thickBot="1" x14ac:dyDescent="0.4">
      <c r="A53" s="290"/>
      <c r="B53" s="518" t="s">
        <v>619</v>
      </c>
      <c r="C53" s="519" t="s">
        <v>621</v>
      </c>
      <c r="D53" s="519" t="s">
        <v>621</v>
      </c>
      <c r="E53" s="519" t="s">
        <v>619</v>
      </c>
      <c r="F53" s="520" t="s">
        <v>619</v>
      </c>
      <c r="G53" s="521" t="s">
        <v>619</v>
      </c>
      <c r="H53" s="519" t="s">
        <v>621</v>
      </c>
      <c r="I53" s="519" t="s">
        <v>621</v>
      </c>
      <c r="J53" s="519" t="s">
        <v>621</v>
      </c>
      <c r="K53" s="520" t="s">
        <v>619</v>
      </c>
    </row>
    <row r="54" spans="1:11" ht="13.8" thickBot="1" x14ac:dyDescent="0.35">
      <c r="A54" s="290"/>
      <c r="B54" s="807" t="s">
        <v>1068</v>
      </c>
      <c r="C54" s="808"/>
      <c r="D54" s="808"/>
      <c r="E54" s="808"/>
      <c r="F54" s="808"/>
      <c r="G54" s="808"/>
      <c r="H54" s="808"/>
      <c r="I54" s="808"/>
      <c r="J54" s="808"/>
      <c r="K54" s="809"/>
    </row>
    <row r="55" spans="1:11" ht="27" thickBot="1" x14ac:dyDescent="0.35">
      <c r="A55" s="290"/>
      <c r="B55" s="369" t="s">
        <v>1124</v>
      </c>
      <c r="C55" s="918" t="s">
        <v>31</v>
      </c>
      <c r="D55" s="918"/>
      <c r="E55" s="918"/>
      <c r="F55" s="918"/>
      <c r="G55" s="918"/>
      <c r="H55" s="918"/>
      <c r="I55" s="401" t="s">
        <v>1125</v>
      </c>
      <c r="J55" s="906" t="s">
        <v>1074</v>
      </c>
      <c r="K55" s="907"/>
    </row>
    <row r="56" spans="1:11" ht="44.25" customHeight="1" thickBot="1" x14ac:dyDescent="0.35">
      <c r="A56" s="290"/>
      <c r="B56" s="361" t="s">
        <v>1357</v>
      </c>
      <c r="C56" s="812" t="s">
        <v>1358</v>
      </c>
      <c r="D56" s="812"/>
      <c r="E56" s="812"/>
      <c r="F56" s="812"/>
      <c r="G56" s="812"/>
      <c r="H56" s="812"/>
      <c r="I56" s="385" t="s">
        <v>35</v>
      </c>
      <c r="J56" s="856" t="s">
        <v>863</v>
      </c>
      <c r="K56" s="857"/>
    </row>
    <row r="57" spans="1:11" ht="27" thickBot="1" x14ac:dyDescent="0.35">
      <c r="A57" s="290"/>
      <c r="B57" s="383" t="s">
        <v>1072</v>
      </c>
      <c r="C57" s="814" t="s">
        <v>1274</v>
      </c>
      <c r="D57" s="815"/>
      <c r="E57" s="383" t="s">
        <v>1070</v>
      </c>
      <c r="F57" s="402" t="s">
        <v>1134</v>
      </c>
      <c r="G57" s="816" t="s">
        <v>1131</v>
      </c>
      <c r="H57" s="817"/>
      <c r="I57" s="383" t="s">
        <v>1130</v>
      </c>
      <c r="J57" s="814" t="s">
        <v>1133</v>
      </c>
      <c r="K57" s="815"/>
    </row>
    <row r="58" spans="1:11" ht="13.8" thickBot="1" x14ac:dyDescent="0.3">
      <c r="A58" s="290"/>
      <c r="B58" s="938" t="s">
        <v>1076</v>
      </c>
      <c r="C58" s="939"/>
      <c r="D58" s="939"/>
      <c r="E58" s="939"/>
      <c r="F58" s="939"/>
      <c r="G58" s="939"/>
      <c r="H58" s="939"/>
      <c r="I58" s="939"/>
      <c r="J58" s="939"/>
      <c r="K58" s="940"/>
    </row>
    <row r="59" spans="1:11" ht="13.8" thickBot="1" x14ac:dyDescent="0.3">
      <c r="A59" s="290"/>
      <c r="B59" s="360" t="s">
        <v>1357</v>
      </c>
      <c r="C59" s="984" t="s">
        <v>1437</v>
      </c>
      <c r="D59" s="985"/>
      <c r="E59" s="985"/>
      <c r="F59" s="985"/>
      <c r="G59" s="985"/>
      <c r="H59" s="985"/>
      <c r="I59" s="985"/>
      <c r="J59" s="985"/>
      <c r="K59" s="986"/>
    </row>
    <row r="60" spans="1:11" ht="13.8" thickBot="1" x14ac:dyDescent="0.3">
      <c r="A60" s="290"/>
      <c r="B60" s="938" t="s">
        <v>1077</v>
      </c>
      <c r="C60" s="939"/>
      <c r="D60" s="939"/>
      <c r="E60" s="939"/>
      <c r="F60" s="939"/>
      <c r="G60" s="939"/>
      <c r="H60" s="939"/>
      <c r="I60" s="939"/>
      <c r="J60" s="939"/>
      <c r="K60" s="940"/>
    </row>
    <row r="61" spans="1:11" ht="42" customHeight="1" thickBot="1" x14ac:dyDescent="0.3">
      <c r="A61" s="290"/>
      <c r="B61" s="360" t="s">
        <v>1359</v>
      </c>
      <c r="C61" s="1109" t="s">
        <v>1360</v>
      </c>
      <c r="D61" s="1110"/>
      <c r="E61" s="1110"/>
      <c r="F61" s="1110"/>
      <c r="G61" s="1110"/>
      <c r="H61" s="1110"/>
      <c r="I61" s="1110"/>
      <c r="J61" s="1110"/>
      <c r="K61" s="1111"/>
    </row>
    <row r="64" spans="1:11" ht="13.8" thickBot="1" x14ac:dyDescent="0.3">
      <c r="A64" s="390" t="s">
        <v>1098</v>
      </c>
      <c r="B64" s="390" t="s">
        <v>1361</v>
      </c>
    </row>
    <row r="65" spans="1:11" ht="13.8" thickBot="1" x14ac:dyDescent="0.3">
      <c r="A65" s="290"/>
      <c r="B65" s="921" t="s">
        <v>1060</v>
      </c>
      <c r="C65" s="922"/>
      <c r="D65" s="922"/>
      <c r="E65" s="922"/>
      <c r="F65" s="922"/>
      <c r="G65" s="922"/>
      <c r="H65" s="922"/>
      <c r="I65" s="922"/>
      <c r="J65" s="922"/>
      <c r="K65" s="923"/>
    </row>
    <row r="66" spans="1:11" ht="13.8" thickBot="1" x14ac:dyDescent="0.35">
      <c r="A66" s="290"/>
      <c r="B66" s="360" t="s">
        <v>1362</v>
      </c>
      <c r="C66" s="810" t="s">
        <v>1363</v>
      </c>
      <c r="D66" s="810"/>
      <c r="E66" s="810"/>
      <c r="F66" s="810"/>
      <c r="G66" s="810"/>
      <c r="H66" s="810"/>
      <c r="I66" s="810"/>
      <c r="J66" s="810"/>
      <c r="K66" s="811"/>
    </row>
    <row r="67" spans="1:11" ht="13.8" thickBot="1" x14ac:dyDescent="0.35">
      <c r="A67" s="290"/>
      <c r="B67" s="929" t="s">
        <v>1109</v>
      </c>
      <c r="C67" s="930"/>
      <c r="D67" s="930"/>
      <c r="E67" s="930"/>
      <c r="F67" s="930"/>
      <c r="G67" s="930"/>
      <c r="H67" s="930"/>
      <c r="I67" s="930"/>
      <c r="J67" s="930"/>
      <c r="K67" s="931"/>
    </row>
    <row r="68" spans="1:11" x14ac:dyDescent="0.3">
      <c r="A68" s="290"/>
      <c r="B68" s="361" t="s">
        <v>1110</v>
      </c>
      <c r="C68" s="812" t="s">
        <v>1111</v>
      </c>
      <c r="D68" s="812"/>
      <c r="E68" s="812"/>
      <c r="F68" s="812"/>
      <c r="G68" s="812"/>
      <c r="H68" s="812"/>
      <c r="I68" s="812"/>
      <c r="J68" s="812"/>
      <c r="K68" s="362" t="s">
        <v>35</v>
      </c>
    </row>
    <row r="69" spans="1:11" x14ac:dyDescent="0.3">
      <c r="A69" s="290"/>
      <c r="B69" s="363"/>
      <c r="C69" s="804" t="s">
        <v>1206</v>
      </c>
      <c r="D69" s="805"/>
      <c r="E69" s="805"/>
      <c r="F69" s="805"/>
      <c r="G69" s="805"/>
      <c r="H69" s="805"/>
      <c r="I69" s="805"/>
      <c r="J69" s="806"/>
      <c r="K69" s="364"/>
    </row>
    <row r="70" spans="1:11" x14ac:dyDescent="0.3">
      <c r="A70" s="290"/>
      <c r="B70" s="365" t="s">
        <v>1112</v>
      </c>
      <c r="C70" s="813" t="s">
        <v>1118</v>
      </c>
      <c r="D70" s="813"/>
      <c r="E70" s="813"/>
      <c r="F70" s="813"/>
      <c r="G70" s="813"/>
      <c r="H70" s="813"/>
      <c r="I70" s="813"/>
      <c r="J70" s="813"/>
      <c r="K70" s="366" t="s">
        <v>35</v>
      </c>
    </row>
    <row r="71" spans="1:11" x14ac:dyDescent="0.3">
      <c r="A71" s="290"/>
      <c r="B71" s="365" t="s">
        <v>1113</v>
      </c>
      <c r="C71" s="813" t="s">
        <v>1119</v>
      </c>
      <c r="D71" s="813"/>
      <c r="E71" s="813"/>
      <c r="F71" s="813"/>
      <c r="G71" s="813"/>
      <c r="H71" s="813"/>
      <c r="I71" s="813"/>
      <c r="J71" s="813"/>
      <c r="K71" s="366" t="s">
        <v>35</v>
      </c>
    </row>
    <row r="72" spans="1:11" x14ac:dyDescent="0.3">
      <c r="A72" s="290"/>
      <c r="B72" s="365" t="s">
        <v>1114</v>
      </c>
      <c r="C72" s="813" t="s">
        <v>1120</v>
      </c>
      <c r="D72" s="813"/>
      <c r="E72" s="813"/>
      <c r="F72" s="813"/>
      <c r="G72" s="813"/>
      <c r="H72" s="813"/>
      <c r="I72" s="813"/>
      <c r="J72" s="813"/>
      <c r="K72" s="366" t="s">
        <v>35</v>
      </c>
    </row>
    <row r="73" spans="1:11" x14ac:dyDescent="0.3">
      <c r="A73" s="290"/>
      <c r="B73" s="365" t="s">
        <v>1115</v>
      </c>
      <c r="C73" s="813" t="s">
        <v>1121</v>
      </c>
      <c r="D73" s="813"/>
      <c r="E73" s="813"/>
      <c r="F73" s="813"/>
      <c r="G73" s="813"/>
      <c r="H73" s="813"/>
      <c r="I73" s="813"/>
      <c r="J73" s="813"/>
      <c r="K73" s="366" t="s">
        <v>35</v>
      </c>
    </row>
    <row r="74" spans="1:11" x14ac:dyDescent="0.3">
      <c r="A74" s="290"/>
      <c r="B74" s="365" t="s">
        <v>1116</v>
      </c>
      <c r="C74" s="813" t="s">
        <v>1272</v>
      </c>
      <c r="D74" s="813"/>
      <c r="E74" s="813"/>
      <c r="F74" s="813"/>
      <c r="G74" s="813"/>
      <c r="H74" s="813"/>
      <c r="I74" s="813"/>
      <c r="J74" s="813"/>
      <c r="K74" s="366" t="s">
        <v>35</v>
      </c>
    </row>
    <row r="75" spans="1:11" ht="13.8" thickBot="1" x14ac:dyDescent="0.35">
      <c r="A75" s="290"/>
      <c r="B75" s="367" t="s">
        <v>1117</v>
      </c>
      <c r="C75" s="831" t="s">
        <v>1122</v>
      </c>
      <c r="D75" s="831"/>
      <c r="E75" s="831"/>
      <c r="F75" s="831"/>
      <c r="G75" s="831"/>
      <c r="H75" s="831"/>
      <c r="I75" s="831"/>
      <c r="J75" s="831"/>
      <c r="K75" s="368" t="s">
        <v>35</v>
      </c>
    </row>
    <row r="76" spans="1:11" ht="13.8" thickBot="1" x14ac:dyDescent="0.35">
      <c r="A76" s="290"/>
      <c r="B76" s="391"/>
      <c r="C76" s="915" t="s">
        <v>1123</v>
      </c>
      <c r="D76" s="916"/>
      <c r="E76" s="916"/>
      <c r="F76" s="916"/>
      <c r="G76" s="916"/>
      <c r="H76" s="916"/>
      <c r="I76" s="916"/>
      <c r="J76" s="917"/>
      <c r="K76" s="392" t="str">
        <f>IF(OR(K68="Yes",K70="Yes",K71="Yes",K72="Yes",K73="Yes",K74="Yes",K75="Yes"),"Yes","No")</f>
        <v>No</v>
      </c>
    </row>
    <row r="77" spans="1:11" ht="13.8" thickBot="1" x14ac:dyDescent="0.3">
      <c r="A77" s="290"/>
      <c r="B77" s="924" t="s">
        <v>1061</v>
      </c>
      <c r="C77" s="924"/>
      <c r="D77" s="924"/>
      <c r="E77" s="924"/>
      <c r="F77" s="924"/>
      <c r="G77" s="924" t="s">
        <v>1062</v>
      </c>
      <c r="H77" s="924"/>
      <c r="I77" s="924"/>
      <c r="J77" s="924"/>
      <c r="K77" s="924"/>
    </row>
    <row r="78" spans="1:11" ht="27" thickBot="1" x14ac:dyDescent="0.35">
      <c r="A78" s="290"/>
      <c r="B78" s="371" t="s">
        <v>26</v>
      </c>
      <c r="C78" s="372" t="s">
        <v>553</v>
      </c>
      <c r="D78" s="372" t="s">
        <v>19</v>
      </c>
      <c r="E78" s="372" t="s">
        <v>25</v>
      </c>
      <c r="F78" s="373" t="s">
        <v>554</v>
      </c>
      <c r="G78" s="393" t="s">
        <v>1063</v>
      </c>
      <c r="H78" s="394" t="s">
        <v>1064</v>
      </c>
      <c r="I78" s="395" t="s">
        <v>1065</v>
      </c>
      <c r="J78" s="395" t="s">
        <v>1066</v>
      </c>
      <c r="K78" s="396" t="s">
        <v>1067</v>
      </c>
    </row>
    <row r="79" spans="1:11" ht="15" thickBot="1" x14ac:dyDescent="0.4">
      <c r="A79" s="290"/>
      <c r="B79" s="518" t="s">
        <v>621</v>
      </c>
      <c r="C79" s="519" t="s">
        <v>619</v>
      </c>
      <c r="D79" s="519" t="s">
        <v>619</v>
      </c>
      <c r="E79" s="519" t="s">
        <v>619</v>
      </c>
      <c r="F79" s="520" t="s">
        <v>619</v>
      </c>
      <c r="G79" s="521" t="s">
        <v>619</v>
      </c>
      <c r="H79" s="519" t="s">
        <v>621</v>
      </c>
      <c r="I79" s="519" t="s">
        <v>621</v>
      </c>
      <c r="J79" s="519" t="s">
        <v>619</v>
      </c>
      <c r="K79" s="520" t="s">
        <v>621</v>
      </c>
    </row>
    <row r="80" spans="1:11" ht="13.8" thickBot="1" x14ac:dyDescent="0.35">
      <c r="A80" s="290"/>
      <c r="B80" s="807" t="s">
        <v>1068</v>
      </c>
      <c r="C80" s="808"/>
      <c r="D80" s="808"/>
      <c r="E80" s="808"/>
      <c r="F80" s="808"/>
      <c r="G80" s="808"/>
      <c r="H80" s="808"/>
      <c r="I80" s="808"/>
      <c r="J80" s="808"/>
      <c r="K80" s="809"/>
    </row>
    <row r="81" spans="1:11" ht="27" thickBot="1" x14ac:dyDescent="0.35">
      <c r="A81" s="290"/>
      <c r="B81" s="369" t="s">
        <v>1124</v>
      </c>
      <c r="C81" s="918" t="s">
        <v>31</v>
      </c>
      <c r="D81" s="918"/>
      <c r="E81" s="918"/>
      <c r="F81" s="918"/>
      <c r="G81" s="918"/>
      <c r="H81" s="918"/>
      <c r="I81" s="401" t="s">
        <v>1125</v>
      </c>
      <c r="J81" s="906" t="s">
        <v>1074</v>
      </c>
      <c r="K81" s="907"/>
    </row>
    <row r="82" spans="1:11" ht="65.25" customHeight="1" x14ac:dyDescent="0.3">
      <c r="A82" s="290"/>
      <c r="B82" s="361" t="s">
        <v>1364</v>
      </c>
      <c r="C82" s="812" t="s">
        <v>1365</v>
      </c>
      <c r="D82" s="812"/>
      <c r="E82" s="812"/>
      <c r="F82" s="812"/>
      <c r="G82" s="812"/>
      <c r="H82" s="812"/>
      <c r="I82" s="385" t="s">
        <v>35</v>
      </c>
      <c r="J82" s="812" t="s">
        <v>863</v>
      </c>
      <c r="K82" s="853"/>
    </row>
    <row r="83" spans="1:11" ht="31.5" customHeight="1" thickBot="1" x14ac:dyDescent="0.35">
      <c r="A83" s="290"/>
      <c r="B83" s="367" t="s">
        <v>1366</v>
      </c>
      <c r="C83" s="831" t="s">
        <v>1367</v>
      </c>
      <c r="D83" s="831"/>
      <c r="E83" s="831"/>
      <c r="F83" s="831"/>
      <c r="G83" s="831"/>
      <c r="H83" s="831"/>
      <c r="I83" s="386" t="s">
        <v>35</v>
      </c>
      <c r="J83" s="831" t="s">
        <v>863</v>
      </c>
      <c r="K83" s="832"/>
    </row>
    <row r="84" spans="1:11" ht="27" thickBot="1" x14ac:dyDescent="0.35">
      <c r="A84" s="290"/>
      <c r="B84" s="383" t="s">
        <v>1072</v>
      </c>
      <c r="C84" s="814" t="s">
        <v>1274</v>
      </c>
      <c r="D84" s="815"/>
      <c r="E84" s="383" t="s">
        <v>1070</v>
      </c>
      <c r="F84" s="402" t="s">
        <v>1134</v>
      </c>
      <c r="G84" s="816" t="s">
        <v>1131</v>
      </c>
      <c r="H84" s="817"/>
      <c r="I84" s="383" t="s">
        <v>1130</v>
      </c>
      <c r="J84" s="814" t="s">
        <v>1133</v>
      </c>
      <c r="K84" s="815"/>
    </row>
    <row r="85" spans="1:11" ht="13.8" thickBot="1" x14ac:dyDescent="0.3">
      <c r="A85" s="290"/>
      <c r="B85" s="938" t="s">
        <v>1076</v>
      </c>
      <c r="C85" s="939"/>
      <c r="D85" s="939"/>
      <c r="E85" s="939"/>
      <c r="F85" s="939"/>
      <c r="G85" s="939"/>
      <c r="H85" s="939"/>
      <c r="I85" s="939"/>
      <c r="J85" s="939"/>
      <c r="K85" s="940"/>
    </row>
    <row r="86" spans="1:11" ht="13.8" thickBot="1" x14ac:dyDescent="0.35">
      <c r="A86" s="290"/>
      <c r="B86" s="360" t="s">
        <v>1364</v>
      </c>
      <c r="C86" s="830" t="s">
        <v>1437</v>
      </c>
      <c r="D86" s="816"/>
      <c r="E86" s="816"/>
      <c r="F86" s="816"/>
      <c r="G86" s="816"/>
      <c r="H86" s="816"/>
      <c r="I86" s="816"/>
      <c r="J86" s="816"/>
      <c r="K86" s="817"/>
    </row>
    <row r="87" spans="1:11" ht="13.8" thickBot="1" x14ac:dyDescent="0.35">
      <c r="A87" s="290"/>
      <c r="B87" s="360" t="s">
        <v>1366</v>
      </c>
      <c r="C87" s="830" t="s">
        <v>1437</v>
      </c>
      <c r="D87" s="816"/>
      <c r="E87" s="816"/>
      <c r="F87" s="816"/>
      <c r="G87" s="816"/>
      <c r="H87" s="816"/>
      <c r="I87" s="816"/>
      <c r="J87" s="816"/>
      <c r="K87" s="817"/>
    </row>
    <row r="88" spans="1:11" ht="13.8" thickBot="1" x14ac:dyDescent="0.3">
      <c r="A88" s="290"/>
      <c r="B88" s="938" t="s">
        <v>1077</v>
      </c>
      <c r="C88" s="939"/>
      <c r="D88" s="939"/>
      <c r="E88" s="939"/>
      <c r="F88" s="939"/>
      <c r="G88" s="939"/>
      <c r="H88" s="939"/>
      <c r="I88" s="939"/>
      <c r="J88" s="939"/>
      <c r="K88" s="940"/>
    </row>
    <row r="89" spans="1:11" ht="32.25" customHeight="1" thickBot="1" x14ac:dyDescent="0.35">
      <c r="A89" s="290"/>
      <c r="B89" s="360" t="s">
        <v>1368</v>
      </c>
      <c r="C89" s="830" t="s">
        <v>1369</v>
      </c>
      <c r="D89" s="816"/>
      <c r="E89" s="816"/>
      <c r="F89" s="816"/>
      <c r="G89" s="816"/>
      <c r="H89" s="816"/>
      <c r="I89" s="816"/>
      <c r="J89" s="816"/>
      <c r="K89" s="817"/>
    </row>
    <row r="90" spans="1:11" ht="32.25" customHeight="1" thickBot="1" x14ac:dyDescent="0.35">
      <c r="A90" s="290"/>
      <c r="B90" s="360" t="s">
        <v>1370</v>
      </c>
      <c r="C90" s="830" t="s">
        <v>1371</v>
      </c>
      <c r="D90" s="816"/>
      <c r="E90" s="816"/>
      <c r="F90" s="816"/>
      <c r="G90" s="816"/>
      <c r="H90" s="816"/>
      <c r="I90" s="816"/>
      <c r="J90" s="816"/>
      <c r="K90" s="817"/>
    </row>
    <row r="91" spans="1:11" ht="13.8" thickBot="1" x14ac:dyDescent="0.35">
      <c r="A91" s="290"/>
      <c r="B91" s="383" t="s">
        <v>1078</v>
      </c>
      <c r="C91" s="1116" t="s">
        <v>37</v>
      </c>
      <c r="D91" s="1117"/>
      <c r="E91" s="1117"/>
      <c r="F91" s="1117"/>
      <c r="G91" s="1117"/>
      <c r="H91" s="1117"/>
      <c r="I91" s="1117"/>
      <c r="J91" s="1117"/>
      <c r="K91" s="1118"/>
    </row>
    <row r="92" spans="1:11" ht="27" thickBot="1" x14ac:dyDescent="0.3">
      <c r="A92" s="290"/>
      <c r="B92" s="404" t="s">
        <v>1079</v>
      </c>
      <c r="C92" s="1119" t="s">
        <v>1081</v>
      </c>
      <c r="D92" s="1120"/>
      <c r="E92" s="1120"/>
      <c r="F92" s="1120"/>
      <c r="G92" s="1120"/>
      <c r="H92" s="1120"/>
      <c r="I92" s="1120"/>
      <c r="J92" s="1120"/>
      <c r="K92" s="1121"/>
    </row>
  </sheetData>
  <mergeCells count="89">
    <mergeCell ref="B13:K13"/>
    <mergeCell ref="B5:D5"/>
    <mergeCell ref="B6:D6"/>
    <mergeCell ref="B7:D7"/>
    <mergeCell ref="B11:K11"/>
    <mergeCell ref="C12:K12"/>
    <mergeCell ref="B26:K26"/>
    <mergeCell ref="C14:J14"/>
    <mergeCell ref="C15:J15"/>
    <mergeCell ref="C16:J16"/>
    <mergeCell ref="C17:J17"/>
    <mergeCell ref="C18:J18"/>
    <mergeCell ref="C19:J19"/>
    <mergeCell ref="C20:J20"/>
    <mergeCell ref="C21:J21"/>
    <mergeCell ref="C22:J22"/>
    <mergeCell ref="B23:F23"/>
    <mergeCell ref="G23:K23"/>
    <mergeCell ref="C35:K35"/>
    <mergeCell ref="C27:H27"/>
    <mergeCell ref="J27:K27"/>
    <mergeCell ref="C28:H28"/>
    <mergeCell ref="J28:K28"/>
    <mergeCell ref="C29:D29"/>
    <mergeCell ref="G29:H29"/>
    <mergeCell ref="J29:K29"/>
    <mergeCell ref="B30:K30"/>
    <mergeCell ref="C31:K31"/>
    <mergeCell ref="B32:K32"/>
    <mergeCell ref="C33:K33"/>
    <mergeCell ref="B34:K34"/>
    <mergeCell ref="C48:J48"/>
    <mergeCell ref="B39:K39"/>
    <mergeCell ref="C40:K40"/>
    <mergeCell ref="B41:K41"/>
    <mergeCell ref="C42:J42"/>
    <mergeCell ref="C43:J43"/>
    <mergeCell ref="C44:J44"/>
    <mergeCell ref="C45:J45"/>
    <mergeCell ref="C46:J46"/>
    <mergeCell ref="C47:J47"/>
    <mergeCell ref="B58:K58"/>
    <mergeCell ref="C49:J49"/>
    <mergeCell ref="C50:J50"/>
    <mergeCell ref="B51:F51"/>
    <mergeCell ref="G51:K51"/>
    <mergeCell ref="B54:K54"/>
    <mergeCell ref="C55:H55"/>
    <mergeCell ref="J55:K55"/>
    <mergeCell ref="C56:H56"/>
    <mergeCell ref="J56:K56"/>
    <mergeCell ref="C57:D57"/>
    <mergeCell ref="G57:H57"/>
    <mergeCell ref="J57:K57"/>
    <mergeCell ref="C71:J71"/>
    <mergeCell ref="C59:K59"/>
    <mergeCell ref="B60:K60"/>
    <mergeCell ref="C61:K61"/>
    <mergeCell ref="B65:K65"/>
    <mergeCell ref="C66:K66"/>
    <mergeCell ref="B67:K67"/>
    <mergeCell ref="C68:J68"/>
    <mergeCell ref="C69:J69"/>
    <mergeCell ref="C70:J70"/>
    <mergeCell ref="C83:H83"/>
    <mergeCell ref="J83:K83"/>
    <mergeCell ref="C72:J72"/>
    <mergeCell ref="C73:J73"/>
    <mergeCell ref="C74:J74"/>
    <mergeCell ref="C75:J75"/>
    <mergeCell ref="C76:J76"/>
    <mergeCell ref="B77:F77"/>
    <mergeCell ref="G77:K77"/>
    <mergeCell ref="B80:K80"/>
    <mergeCell ref="C81:H81"/>
    <mergeCell ref="J81:K81"/>
    <mergeCell ref="C82:H82"/>
    <mergeCell ref="J82:K82"/>
    <mergeCell ref="C89:K89"/>
    <mergeCell ref="C90:K90"/>
    <mergeCell ref="C91:K91"/>
    <mergeCell ref="C92:K92"/>
    <mergeCell ref="C84:D84"/>
    <mergeCell ref="G84:H84"/>
    <mergeCell ref="J84:K84"/>
    <mergeCell ref="B85:K85"/>
    <mergeCell ref="C86:K86"/>
    <mergeCell ref="B88:K88"/>
    <mergeCell ref="C87:K87"/>
  </mergeCells>
  <dataValidations count="1">
    <dataValidation type="list" allowBlank="1" showInputMessage="1" showErrorMessage="1" sqref="F29 F57 F84 C91:K91 J29:K29 J57:K57 J84:K84" xr:uid="{00000000-0002-0000-0E00-000000000000}">
      <formula1>#REF!</formula1>
    </dataValidation>
  </dataValidation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S165"/>
  <sheetViews>
    <sheetView workbookViewId="0"/>
  </sheetViews>
  <sheetFormatPr defaultColWidth="9.109375" defaultRowHeight="13.2" x14ac:dyDescent="0.25"/>
  <cols>
    <col min="1" max="1" width="3.109375" style="289" bestFit="1" customWidth="1"/>
    <col min="2" max="8" width="15.6640625" style="289" customWidth="1"/>
    <col min="9" max="9" width="16.88671875" style="289" customWidth="1"/>
    <col min="10" max="11" width="15.6640625" style="289" customWidth="1"/>
    <col min="12" max="16384" width="9.109375" style="289"/>
  </cols>
  <sheetData>
    <row r="2" spans="1:11" x14ac:dyDescent="0.25">
      <c r="B2" s="353" t="s">
        <v>1270</v>
      </c>
    </row>
    <row r="3" spans="1:11" x14ac:dyDescent="0.25">
      <c r="B3" s="353" t="s">
        <v>1796</v>
      </c>
    </row>
    <row r="4" spans="1:11" ht="13.8" thickBot="1" x14ac:dyDescent="0.3"/>
    <row r="5" spans="1:11" ht="13.8" thickBot="1" x14ac:dyDescent="0.3">
      <c r="B5" s="837" t="s">
        <v>23</v>
      </c>
      <c r="C5" s="838"/>
      <c r="D5" s="839"/>
      <c r="E5" s="405"/>
      <c r="F5" s="355" t="s">
        <v>535</v>
      </c>
      <c r="G5" s="290"/>
      <c r="H5" s="290"/>
      <c r="I5" s="290"/>
    </row>
    <row r="6" spans="1:11" ht="13.8" thickBot="1" x14ac:dyDescent="0.3">
      <c r="B6" s="840" t="s">
        <v>860</v>
      </c>
      <c r="C6" s="841"/>
      <c r="D6" s="841"/>
      <c r="E6" s="356"/>
      <c r="F6" s="355" t="s">
        <v>615</v>
      </c>
    </row>
    <row r="7" spans="1:11" ht="13.8" thickBot="1" x14ac:dyDescent="0.3">
      <c r="B7" s="842" t="s">
        <v>1075</v>
      </c>
      <c r="C7" s="843"/>
      <c r="D7" s="844"/>
      <c r="E7" s="356"/>
      <c r="F7" s="357">
        <v>5175000</v>
      </c>
    </row>
    <row r="9" spans="1:11" x14ac:dyDescent="0.25">
      <c r="B9" s="406" t="s">
        <v>508</v>
      </c>
    </row>
    <row r="10" spans="1:11" ht="13.8" thickBot="1" x14ac:dyDescent="0.3">
      <c r="A10" s="407" t="s">
        <v>1088</v>
      </c>
      <c r="B10" s="390" t="s">
        <v>930</v>
      </c>
    </row>
    <row r="11" spans="1:11" ht="13.8" thickBot="1" x14ac:dyDescent="0.3">
      <c r="B11" s="921" t="s">
        <v>1060</v>
      </c>
      <c r="C11" s="922"/>
      <c r="D11" s="922"/>
      <c r="E11" s="922"/>
      <c r="F11" s="922"/>
      <c r="G11" s="922"/>
      <c r="H11" s="922"/>
      <c r="I11" s="922"/>
      <c r="J11" s="922"/>
      <c r="K11" s="923"/>
    </row>
    <row r="12" spans="1:11" ht="13.8" thickBot="1" x14ac:dyDescent="0.3">
      <c r="B12" s="360" t="s">
        <v>609</v>
      </c>
      <c r="C12" s="810" t="s">
        <v>374</v>
      </c>
      <c r="D12" s="810"/>
      <c r="E12" s="810"/>
      <c r="F12" s="810"/>
      <c r="G12" s="810"/>
      <c r="H12" s="810"/>
      <c r="I12" s="810"/>
      <c r="J12" s="810"/>
      <c r="K12" s="811"/>
    </row>
    <row r="13" spans="1:11" s="290" customFormat="1" ht="13.8" thickBot="1" x14ac:dyDescent="0.35">
      <c r="B13" s="929" t="s">
        <v>1109</v>
      </c>
      <c r="C13" s="930"/>
      <c r="D13" s="930"/>
      <c r="E13" s="930"/>
      <c r="F13" s="930"/>
      <c r="G13" s="930"/>
      <c r="H13" s="930"/>
      <c r="I13" s="930"/>
      <c r="J13" s="930"/>
      <c r="K13" s="931"/>
    </row>
    <row r="14" spans="1:11" s="290" customFormat="1" x14ac:dyDescent="0.3">
      <c r="B14" s="361" t="s">
        <v>1110</v>
      </c>
      <c r="C14" s="812" t="s">
        <v>1111</v>
      </c>
      <c r="D14" s="812"/>
      <c r="E14" s="812"/>
      <c r="F14" s="812"/>
      <c r="G14" s="812"/>
      <c r="H14" s="812"/>
      <c r="I14" s="812"/>
      <c r="J14" s="812"/>
      <c r="K14" s="362" t="s">
        <v>35</v>
      </c>
    </row>
    <row r="15" spans="1:11" s="290" customFormat="1" x14ac:dyDescent="0.3">
      <c r="A15" s="352"/>
      <c r="B15" s="363"/>
      <c r="C15" s="804" t="s">
        <v>1206</v>
      </c>
      <c r="D15" s="805"/>
      <c r="E15" s="805"/>
      <c r="F15" s="805"/>
      <c r="G15" s="805"/>
      <c r="H15" s="805"/>
      <c r="I15" s="805"/>
      <c r="J15" s="806"/>
      <c r="K15" s="364"/>
    </row>
    <row r="16" spans="1:11" s="290" customFormat="1" x14ac:dyDescent="0.3">
      <c r="B16" s="365" t="s">
        <v>1112</v>
      </c>
      <c r="C16" s="813" t="s">
        <v>1118</v>
      </c>
      <c r="D16" s="813"/>
      <c r="E16" s="813"/>
      <c r="F16" s="813"/>
      <c r="G16" s="813"/>
      <c r="H16" s="813"/>
      <c r="I16" s="813"/>
      <c r="J16" s="813"/>
      <c r="K16" s="366" t="s">
        <v>35</v>
      </c>
    </row>
    <row r="17" spans="1:11" s="290" customFormat="1" x14ac:dyDescent="0.3">
      <c r="B17" s="365" t="s">
        <v>1113</v>
      </c>
      <c r="C17" s="813" t="s">
        <v>1119</v>
      </c>
      <c r="D17" s="813"/>
      <c r="E17" s="813"/>
      <c r="F17" s="813"/>
      <c r="G17" s="813"/>
      <c r="H17" s="813"/>
      <c r="I17" s="813"/>
      <c r="J17" s="813"/>
      <c r="K17" s="366" t="s">
        <v>35</v>
      </c>
    </row>
    <row r="18" spans="1:11" s="290" customFormat="1" x14ac:dyDescent="0.3">
      <c r="B18" s="365" t="s">
        <v>1114</v>
      </c>
      <c r="C18" s="813" t="s">
        <v>1120</v>
      </c>
      <c r="D18" s="813"/>
      <c r="E18" s="813"/>
      <c r="F18" s="813"/>
      <c r="G18" s="813"/>
      <c r="H18" s="813"/>
      <c r="I18" s="813"/>
      <c r="J18" s="813"/>
      <c r="K18" s="366" t="s">
        <v>35</v>
      </c>
    </row>
    <row r="19" spans="1:11" s="290" customFormat="1" ht="27" customHeight="1" x14ac:dyDescent="0.3">
      <c r="B19" s="365" t="s">
        <v>1115</v>
      </c>
      <c r="C19" s="813" t="s">
        <v>1121</v>
      </c>
      <c r="D19" s="813"/>
      <c r="E19" s="813"/>
      <c r="F19" s="813"/>
      <c r="G19" s="813"/>
      <c r="H19" s="813"/>
      <c r="I19" s="813"/>
      <c r="J19" s="813"/>
      <c r="K19" s="366" t="s">
        <v>35</v>
      </c>
    </row>
    <row r="20" spans="1:11" s="290" customFormat="1" x14ac:dyDescent="0.3">
      <c r="B20" s="365" t="s">
        <v>1116</v>
      </c>
      <c r="C20" s="813" t="s">
        <v>1272</v>
      </c>
      <c r="D20" s="813"/>
      <c r="E20" s="813"/>
      <c r="F20" s="813"/>
      <c r="G20" s="813"/>
      <c r="H20" s="813"/>
      <c r="I20" s="813"/>
      <c r="J20" s="813"/>
      <c r="K20" s="366" t="s">
        <v>35</v>
      </c>
    </row>
    <row r="21" spans="1:11" s="290" customFormat="1" ht="13.8" thickBot="1" x14ac:dyDescent="0.35">
      <c r="B21" s="367" t="s">
        <v>1117</v>
      </c>
      <c r="C21" s="831" t="s">
        <v>1122</v>
      </c>
      <c r="D21" s="831"/>
      <c r="E21" s="831"/>
      <c r="F21" s="831"/>
      <c r="G21" s="831"/>
      <c r="H21" s="831"/>
      <c r="I21" s="831"/>
      <c r="J21" s="831"/>
      <c r="K21" s="368" t="s">
        <v>35</v>
      </c>
    </row>
    <row r="22" spans="1:11" s="290" customFormat="1" ht="13.8" thickBot="1" x14ac:dyDescent="0.35">
      <c r="B22" s="391"/>
      <c r="C22" s="915" t="s">
        <v>1123</v>
      </c>
      <c r="D22" s="916"/>
      <c r="E22" s="916"/>
      <c r="F22" s="916"/>
      <c r="G22" s="916"/>
      <c r="H22" s="916"/>
      <c r="I22" s="916"/>
      <c r="J22" s="917"/>
      <c r="K22" s="392" t="str">
        <f>IF(OR(K14="Yes",K16="Yes",K17="Yes",K18="Yes",K19="Yes",K20="Yes",K21="Yes"),"Yes","No")</f>
        <v>No</v>
      </c>
    </row>
    <row r="23" spans="1:11" ht="13.8" thickBot="1" x14ac:dyDescent="0.3">
      <c r="B23" s="924" t="s">
        <v>1061</v>
      </c>
      <c r="C23" s="924"/>
      <c r="D23" s="924"/>
      <c r="E23" s="924"/>
      <c r="F23" s="924"/>
      <c r="G23" s="924" t="s">
        <v>1062</v>
      </c>
      <c r="H23" s="924"/>
      <c r="I23" s="924"/>
      <c r="J23" s="924"/>
      <c r="K23" s="924"/>
    </row>
    <row r="24" spans="1:11" ht="27" thickBot="1" x14ac:dyDescent="0.3">
      <c r="B24" s="408" t="s">
        <v>306</v>
      </c>
      <c r="C24" s="394" t="s">
        <v>19</v>
      </c>
      <c r="D24" s="394" t="s">
        <v>326</v>
      </c>
      <c r="E24" s="394" t="s">
        <v>310</v>
      </c>
      <c r="F24" s="409" t="s">
        <v>552</v>
      </c>
      <c r="G24" s="393" t="s">
        <v>1063</v>
      </c>
      <c r="H24" s="394" t="s">
        <v>1064</v>
      </c>
      <c r="I24" s="395" t="s">
        <v>1065</v>
      </c>
      <c r="J24" s="395" t="s">
        <v>1066</v>
      </c>
      <c r="K24" s="396" t="s">
        <v>1067</v>
      </c>
    </row>
    <row r="25" spans="1:11" ht="15" thickBot="1" x14ac:dyDescent="0.3">
      <c r="B25" s="490" t="s">
        <v>619</v>
      </c>
      <c r="C25" s="491" t="s">
        <v>621</v>
      </c>
      <c r="D25" s="491" t="s">
        <v>621</v>
      </c>
      <c r="E25" s="491" t="s">
        <v>621</v>
      </c>
      <c r="F25" s="492" t="s">
        <v>621</v>
      </c>
      <c r="G25" s="493" t="s">
        <v>619</v>
      </c>
      <c r="H25" s="491" t="s">
        <v>621</v>
      </c>
      <c r="I25" s="491" t="s">
        <v>621</v>
      </c>
      <c r="J25" s="491" t="s">
        <v>621</v>
      </c>
      <c r="K25" s="492" t="s">
        <v>621</v>
      </c>
    </row>
    <row r="26" spans="1:11" ht="13.8" thickBot="1" x14ac:dyDescent="0.3">
      <c r="A26" s="390"/>
      <c r="B26" s="807" t="s">
        <v>1068</v>
      </c>
      <c r="C26" s="808"/>
      <c r="D26" s="808"/>
      <c r="E26" s="808"/>
      <c r="F26" s="808"/>
      <c r="G26" s="808"/>
      <c r="H26" s="808"/>
      <c r="I26" s="808"/>
      <c r="J26" s="808"/>
      <c r="K26" s="809"/>
    </row>
    <row r="27" spans="1:11" ht="27" thickBot="1" x14ac:dyDescent="0.3">
      <c r="A27" s="390"/>
      <c r="B27" s="369" t="s">
        <v>1124</v>
      </c>
      <c r="C27" s="918" t="s">
        <v>31</v>
      </c>
      <c r="D27" s="918"/>
      <c r="E27" s="918"/>
      <c r="F27" s="918"/>
      <c r="G27" s="918"/>
      <c r="H27" s="918"/>
      <c r="I27" s="401" t="s">
        <v>1125</v>
      </c>
      <c r="J27" s="906" t="s">
        <v>1074</v>
      </c>
      <c r="K27" s="907"/>
    </row>
    <row r="28" spans="1:11" ht="13.8" thickBot="1" x14ac:dyDescent="0.3">
      <c r="A28" s="390"/>
      <c r="B28" s="363" t="s">
        <v>660</v>
      </c>
      <c r="C28" s="768" t="s">
        <v>1086</v>
      </c>
      <c r="D28" s="768"/>
      <c r="E28" s="768"/>
      <c r="F28" s="768"/>
      <c r="G28" s="768"/>
      <c r="H28" s="768"/>
      <c r="I28" s="410" t="s">
        <v>35</v>
      </c>
      <c r="J28" s="1107" t="s">
        <v>863</v>
      </c>
      <c r="K28" s="1108"/>
    </row>
    <row r="29" spans="1:11" ht="27" thickBot="1" x14ac:dyDescent="0.3">
      <c r="A29" s="390"/>
      <c r="B29" s="383" t="s">
        <v>1072</v>
      </c>
      <c r="C29" s="814" t="s">
        <v>1817</v>
      </c>
      <c r="D29" s="815"/>
      <c r="E29" s="383" t="s">
        <v>1070</v>
      </c>
      <c r="F29" s="402" t="s">
        <v>1134</v>
      </c>
      <c r="G29" s="816" t="s">
        <v>1131</v>
      </c>
      <c r="H29" s="817"/>
      <c r="I29" s="383" t="s">
        <v>1130</v>
      </c>
      <c r="J29" s="814" t="s">
        <v>1133</v>
      </c>
      <c r="K29" s="815"/>
    </row>
    <row r="30" spans="1:11" ht="13.8" thickBot="1" x14ac:dyDescent="0.3">
      <c r="B30" s="938" t="s">
        <v>1076</v>
      </c>
      <c r="C30" s="939"/>
      <c r="D30" s="939"/>
      <c r="E30" s="939"/>
      <c r="F30" s="939"/>
      <c r="G30" s="939"/>
      <c r="H30" s="939"/>
      <c r="I30" s="939"/>
      <c r="J30" s="939"/>
      <c r="K30" s="940"/>
    </row>
    <row r="31" spans="1:11" ht="13.8" thickBot="1" x14ac:dyDescent="0.3">
      <c r="B31" s="403" t="s">
        <v>863</v>
      </c>
      <c r="C31" s="943" t="s">
        <v>863</v>
      </c>
      <c r="D31" s="943"/>
      <c r="E31" s="943"/>
      <c r="F31" s="943"/>
      <c r="G31" s="943"/>
      <c r="H31" s="943"/>
      <c r="I31" s="943"/>
      <c r="J31" s="943"/>
      <c r="K31" s="944"/>
    </row>
    <row r="32" spans="1:11" ht="13.8" thickBot="1" x14ac:dyDescent="0.3">
      <c r="B32" s="938" t="s">
        <v>1077</v>
      </c>
      <c r="C32" s="939"/>
      <c r="D32" s="939"/>
      <c r="E32" s="939"/>
      <c r="F32" s="939"/>
      <c r="G32" s="939"/>
      <c r="H32" s="939"/>
      <c r="I32" s="939"/>
      <c r="J32" s="939"/>
      <c r="K32" s="940"/>
    </row>
    <row r="33" spans="1:19" ht="13.8" thickBot="1" x14ac:dyDescent="0.3">
      <c r="B33" s="403" t="s">
        <v>707</v>
      </c>
      <c r="C33" s="1129" t="s">
        <v>333</v>
      </c>
      <c r="D33" s="1130"/>
      <c r="E33" s="1130"/>
      <c r="F33" s="1130"/>
      <c r="G33" s="1130"/>
      <c r="H33" s="1130"/>
      <c r="I33" s="1130"/>
      <c r="J33" s="1130"/>
      <c r="K33" s="1131"/>
    </row>
    <row r="34" spans="1:19" x14ac:dyDescent="0.25">
      <c r="B34" s="411"/>
    </row>
    <row r="35" spans="1:19" x14ac:dyDescent="0.25">
      <c r="B35" s="411"/>
    </row>
    <row r="36" spans="1:19" ht="13.8" thickBot="1" x14ac:dyDescent="0.3">
      <c r="A36" s="412" t="s">
        <v>1090</v>
      </c>
      <c r="B36" s="413" t="s">
        <v>538</v>
      </c>
      <c r="C36" s="414"/>
      <c r="D36" s="414"/>
      <c r="E36" s="414"/>
      <c r="F36" s="414"/>
      <c r="G36" s="414"/>
      <c r="H36" s="414"/>
      <c r="I36" s="414"/>
      <c r="J36" s="414"/>
      <c r="K36" s="414"/>
      <c r="L36" s="414"/>
      <c r="M36" s="414"/>
      <c r="N36" s="414"/>
      <c r="O36" s="414"/>
      <c r="P36" s="414"/>
      <c r="Q36" s="414"/>
      <c r="R36" s="414"/>
      <c r="S36" s="414"/>
    </row>
    <row r="37" spans="1:19" ht="13.8" thickBot="1" x14ac:dyDescent="0.3">
      <c r="B37" s="921" t="s">
        <v>1060</v>
      </c>
      <c r="C37" s="922"/>
      <c r="D37" s="922"/>
      <c r="E37" s="922"/>
      <c r="F37" s="922"/>
      <c r="G37" s="922"/>
      <c r="H37" s="922"/>
      <c r="I37" s="922"/>
      <c r="J37" s="922"/>
      <c r="K37" s="923"/>
    </row>
    <row r="38" spans="1:19" ht="13.8" thickBot="1" x14ac:dyDescent="0.3">
      <c r="B38" s="360" t="s">
        <v>610</v>
      </c>
      <c r="C38" s="810" t="s">
        <v>1822</v>
      </c>
      <c r="D38" s="810"/>
      <c r="E38" s="810"/>
      <c r="F38" s="810"/>
      <c r="G38" s="810"/>
      <c r="H38" s="810"/>
      <c r="I38" s="810"/>
      <c r="J38" s="810"/>
      <c r="K38" s="811"/>
    </row>
    <row r="39" spans="1:19" s="290" customFormat="1" ht="13.8" thickBot="1" x14ac:dyDescent="0.35">
      <c r="B39" s="929" t="s">
        <v>1109</v>
      </c>
      <c r="C39" s="930"/>
      <c r="D39" s="930"/>
      <c r="E39" s="930"/>
      <c r="F39" s="930"/>
      <c r="G39" s="930"/>
      <c r="H39" s="930"/>
      <c r="I39" s="930"/>
      <c r="J39" s="930"/>
      <c r="K39" s="931"/>
    </row>
    <row r="40" spans="1:19" s="290" customFormat="1" x14ac:dyDescent="0.3">
      <c r="B40" s="361" t="s">
        <v>1110</v>
      </c>
      <c r="C40" s="812" t="s">
        <v>1111</v>
      </c>
      <c r="D40" s="812"/>
      <c r="E40" s="812"/>
      <c r="F40" s="812"/>
      <c r="G40" s="812"/>
      <c r="H40" s="812"/>
      <c r="I40" s="812"/>
      <c r="J40" s="812"/>
      <c r="K40" s="362" t="s">
        <v>35</v>
      </c>
    </row>
    <row r="41" spans="1:19" s="290" customFormat="1" x14ac:dyDescent="0.3">
      <c r="A41" s="352"/>
      <c r="B41" s="363"/>
      <c r="C41" s="804" t="s">
        <v>1206</v>
      </c>
      <c r="D41" s="805"/>
      <c r="E41" s="805"/>
      <c r="F41" s="805"/>
      <c r="G41" s="805"/>
      <c r="H41" s="805"/>
      <c r="I41" s="805"/>
      <c r="J41" s="806"/>
      <c r="K41" s="364"/>
    </row>
    <row r="42" spans="1:19" s="290" customFormat="1" x14ac:dyDescent="0.3">
      <c r="B42" s="365" t="s">
        <v>1112</v>
      </c>
      <c r="C42" s="813" t="s">
        <v>1118</v>
      </c>
      <c r="D42" s="813"/>
      <c r="E42" s="813"/>
      <c r="F42" s="813"/>
      <c r="G42" s="813"/>
      <c r="H42" s="813"/>
      <c r="I42" s="813"/>
      <c r="J42" s="813"/>
      <c r="K42" s="366" t="s">
        <v>35</v>
      </c>
    </row>
    <row r="43" spans="1:19" s="290" customFormat="1" x14ac:dyDescent="0.3">
      <c r="B43" s="365" t="s">
        <v>1113</v>
      </c>
      <c r="C43" s="813" t="s">
        <v>1119</v>
      </c>
      <c r="D43" s="813"/>
      <c r="E43" s="813"/>
      <c r="F43" s="813"/>
      <c r="G43" s="813"/>
      <c r="H43" s="813"/>
      <c r="I43" s="813"/>
      <c r="J43" s="813"/>
      <c r="K43" s="366" t="s">
        <v>35</v>
      </c>
    </row>
    <row r="44" spans="1:19" s="290" customFormat="1" x14ac:dyDescent="0.3">
      <c r="B44" s="365" t="s">
        <v>1114</v>
      </c>
      <c r="C44" s="813" t="s">
        <v>1120</v>
      </c>
      <c r="D44" s="813"/>
      <c r="E44" s="813"/>
      <c r="F44" s="813"/>
      <c r="G44" s="813"/>
      <c r="H44" s="813"/>
      <c r="I44" s="813"/>
      <c r="J44" s="813"/>
      <c r="K44" s="366" t="s">
        <v>35</v>
      </c>
    </row>
    <row r="45" spans="1:19" s="290" customFormat="1" ht="27" customHeight="1" x14ac:dyDescent="0.3">
      <c r="B45" s="365" t="s">
        <v>1115</v>
      </c>
      <c r="C45" s="813" t="s">
        <v>1121</v>
      </c>
      <c r="D45" s="813"/>
      <c r="E45" s="813"/>
      <c r="F45" s="813"/>
      <c r="G45" s="813"/>
      <c r="H45" s="813"/>
      <c r="I45" s="813"/>
      <c r="J45" s="813"/>
      <c r="K45" s="366" t="s">
        <v>35</v>
      </c>
    </row>
    <row r="46" spans="1:19" s="290" customFormat="1" x14ac:dyDescent="0.3">
      <c r="B46" s="365" t="s">
        <v>1116</v>
      </c>
      <c r="C46" s="813" t="s">
        <v>1272</v>
      </c>
      <c r="D46" s="813"/>
      <c r="E46" s="813"/>
      <c r="F46" s="813"/>
      <c r="G46" s="813"/>
      <c r="H46" s="813"/>
      <c r="I46" s="813"/>
      <c r="J46" s="813"/>
      <c r="K46" s="366" t="s">
        <v>35</v>
      </c>
    </row>
    <row r="47" spans="1:19" s="290" customFormat="1" ht="13.8" thickBot="1" x14ac:dyDescent="0.35">
      <c r="B47" s="367" t="s">
        <v>1117</v>
      </c>
      <c r="C47" s="831" t="s">
        <v>1122</v>
      </c>
      <c r="D47" s="831"/>
      <c r="E47" s="831"/>
      <c r="F47" s="831"/>
      <c r="G47" s="831"/>
      <c r="H47" s="831"/>
      <c r="I47" s="831"/>
      <c r="J47" s="831"/>
      <c r="K47" s="368" t="s">
        <v>35</v>
      </c>
    </row>
    <row r="48" spans="1:19" s="290" customFormat="1" ht="13.8" thickBot="1" x14ac:dyDescent="0.35">
      <c r="B48" s="391"/>
      <c r="C48" s="915" t="s">
        <v>1123</v>
      </c>
      <c r="D48" s="916"/>
      <c r="E48" s="916"/>
      <c r="F48" s="916"/>
      <c r="G48" s="916"/>
      <c r="H48" s="916"/>
      <c r="I48" s="916"/>
      <c r="J48" s="917"/>
      <c r="K48" s="392" t="str">
        <f>IF(OR(K40="Yes",K42="Yes",K43="Yes",K44="Yes",K45="Yes",K46="Yes",K47="Yes"),"Yes","No")</f>
        <v>No</v>
      </c>
    </row>
    <row r="49" spans="1:11" ht="13.8" thickBot="1" x14ac:dyDescent="0.3">
      <c r="B49" s="924" t="s">
        <v>1061</v>
      </c>
      <c r="C49" s="924"/>
      <c r="D49" s="924"/>
      <c r="E49" s="924"/>
      <c r="F49" s="924"/>
      <c r="G49" s="924" t="s">
        <v>1062</v>
      </c>
      <c r="H49" s="924"/>
      <c r="I49" s="924"/>
      <c r="J49" s="924"/>
      <c r="K49" s="924"/>
    </row>
    <row r="50" spans="1:11" ht="27" thickBot="1" x14ac:dyDescent="0.3">
      <c r="B50" s="408" t="s">
        <v>306</v>
      </c>
      <c r="C50" s="394" t="s">
        <v>19</v>
      </c>
      <c r="D50" s="394" t="s">
        <v>326</v>
      </c>
      <c r="E50" s="394" t="s">
        <v>310</v>
      </c>
      <c r="F50" s="409" t="s">
        <v>552</v>
      </c>
      <c r="G50" s="393" t="s">
        <v>1063</v>
      </c>
      <c r="H50" s="394" t="s">
        <v>1064</v>
      </c>
      <c r="I50" s="395" t="s">
        <v>1065</v>
      </c>
      <c r="J50" s="395" t="s">
        <v>1066</v>
      </c>
      <c r="K50" s="396" t="s">
        <v>1067</v>
      </c>
    </row>
    <row r="51" spans="1:11" ht="15" thickBot="1" x14ac:dyDescent="0.3">
      <c r="B51" s="490" t="s">
        <v>619</v>
      </c>
      <c r="C51" s="491" t="s">
        <v>619</v>
      </c>
      <c r="D51" s="491" t="s">
        <v>621</v>
      </c>
      <c r="E51" s="491" t="s">
        <v>621</v>
      </c>
      <c r="F51" s="492" t="s">
        <v>621</v>
      </c>
      <c r="G51" s="493" t="s">
        <v>619</v>
      </c>
      <c r="H51" s="491" t="s">
        <v>621</v>
      </c>
      <c r="I51" s="491" t="s">
        <v>621</v>
      </c>
      <c r="J51" s="491" t="s">
        <v>621</v>
      </c>
      <c r="K51" s="492" t="s">
        <v>621</v>
      </c>
    </row>
    <row r="52" spans="1:11" ht="13.8" thickBot="1" x14ac:dyDescent="0.3">
      <c r="A52" s="390"/>
      <c r="B52" s="807" t="s">
        <v>1068</v>
      </c>
      <c r="C52" s="808"/>
      <c r="D52" s="808"/>
      <c r="E52" s="808"/>
      <c r="F52" s="808"/>
      <c r="G52" s="808"/>
      <c r="H52" s="808"/>
      <c r="I52" s="808"/>
      <c r="J52" s="808"/>
      <c r="K52" s="809"/>
    </row>
    <row r="53" spans="1:11" ht="27" thickBot="1" x14ac:dyDescent="0.3">
      <c r="A53" s="390"/>
      <c r="B53" s="369" t="s">
        <v>1124</v>
      </c>
      <c r="C53" s="918" t="s">
        <v>31</v>
      </c>
      <c r="D53" s="918"/>
      <c r="E53" s="918"/>
      <c r="F53" s="918"/>
      <c r="G53" s="918"/>
      <c r="H53" s="918"/>
      <c r="I53" s="401" t="s">
        <v>1125</v>
      </c>
      <c r="J53" s="906" t="s">
        <v>1074</v>
      </c>
      <c r="K53" s="907"/>
    </row>
    <row r="54" spans="1:11" ht="13.8" thickBot="1" x14ac:dyDescent="0.3">
      <c r="A54" s="390"/>
      <c r="B54" s="363" t="s">
        <v>662</v>
      </c>
      <c r="C54" s="768" t="s">
        <v>663</v>
      </c>
      <c r="D54" s="768"/>
      <c r="E54" s="768"/>
      <c r="F54" s="768"/>
      <c r="G54" s="768"/>
      <c r="H54" s="768"/>
      <c r="I54" s="410" t="s">
        <v>37</v>
      </c>
      <c r="J54" s="910" t="s">
        <v>1797</v>
      </c>
      <c r="K54" s="911"/>
    </row>
    <row r="55" spans="1:11" ht="27" thickBot="1" x14ac:dyDescent="0.3">
      <c r="A55" s="390"/>
      <c r="B55" s="383" t="s">
        <v>1072</v>
      </c>
      <c r="C55" s="814" t="s">
        <v>1817</v>
      </c>
      <c r="D55" s="815"/>
      <c r="E55" s="383" t="s">
        <v>1070</v>
      </c>
      <c r="F55" s="402" t="s">
        <v>1134</v>
      </c>
      <c r="G55" s="816" t="s">
        <v>1131</v>
      </c>
      <c r="H55" s="817"/>
      <c r="I55" s="383" t="s">
        <v>1130</v>
      </c>
      <c r="J55" s="814" t="s">
        <v>1133</v>
      </c>
      <c r="K55" s="815"/>
    </row>
    <row r="56" spans="1:11" ht="13.8" thickBot="1" x14ac:dyDescent="0.3">
      <c r="B56" s="938" t="s">
        <v>1076</v>
      </c>
      <c r="C56" s="939"/>
      <c r="D56" s="939"/>
      <c r="E56" s="939"/>
      <c r="F56" s="939"/>
      <c r="G56" s="939"/>
      <c r="H56" s="939"/>
      <c r="I56" s="939"/>
      <c r="J56" s="939"/>
      <c r="K56" s="940"/>
    </row>
    <row r="57" spans="1:11" ht="13.5" customHeight="1" thickBot="1" x14ac:dyDescent="0.3">
      <c r="B57" s="360" t="s">
        <v>662</v>
      </c>
      <c r="C57" s="830" t="s">
        <v>1815</v>
      </c>
      <c r="D57" s="816"/>
      <c r="E57" s="816"/>
      <c r="F57" s="816"/>
      <c r="G57" s="816"/>
      <c r="H57" s="816"/>
      <c r="I57" s="816"/>
      <c r="J57" s="816"/>
      <c r="K57" s="817"/>
    </row>
    <row r="58" spans="1:11" ht="13.8" thickBot="1" x14ac:dyDescent="0.3">
      <c r="B58" s="938" t="s">
        <v>1077</v>
      </c>
      <c r="C58" s="939"/>
      <c r="D58" s="939"/>
      <c r="E58" s="939"/>
      <c r="F58" s="939"/>
      <c r="G58" s="939"/>
      <c r="H58" s="939"/>
      <c r="I58" s="939"/>
      <c r="J58" s="939"/>
      <c r="K58" s="940"/>
    </row>
    <row r="59" spans="1:11" ht="13.8" thickBot="1" x14ac:dyDescent="0.3">
      <c r="B59" s="360" t="s">
        <v>711</v>
      </c>
      <c r="C59" s="810" t="s">
        <v>1446</v>
      </c>
      <c r="D59" s="810"/>
      <c r="E59" s="810"/>
      <c r="F59" s="810"/>
      <c r="G59" s="810"/>
      <c r="H59" s="810"/>
      <c r="I59" s="810"/>
      <c r="J59" s="810"/>
      <c r="K59" s="811"/>
    </row>
    <row r="62" spans="1:11" ht="13.8" thickBot="1" x14ac:dyDescent="0.3">
      <c r="A62" s="412" t="s">
        <v>1091</v>
      </c>
      <c r="B62" s="413" t="s">
        <v>539</v>
      </c>
    </row>
    <row r="63" spans="1:11" ht="13.8" thickBot="1" x14ac:dyDescent="0.3">
      <c r="B63" s="921" t="s">
        <v>1060</v>
      </c>
      <c r="C63" s="922"/>
      <c r="D63" s="922"/>
      <c r="E63" s="922"/>
      <c r="F63" s="922"/>
      <c r="G63" s="922"/>
      <c r="H63" s="922"/>
      <c r="I63" s="922"/>
      <c r="J63" s="922"/>
      <c r="K63" s="923"/>
    </row>
    <row r="64" spans="1:11" ht="13.8" thickBot="1" x14ac:dyDescent="0.3">
      <c r="B64" s="360" t="s">
        <v>611</v>
      </c>
      <c r="C64" s="810" t="s">
        <v>1816</v>
      </c>
      <c r="D64" s="810"/>
      <c r="E64" s="810"/>
      <c r="F64" s="810"/>
      <c r="G64" s="810"/>
      <c r="H64" s="810"/>
      <c r="I64" s="810"/>
      <c r="J64" s="810"/>
      <c r="K64" s="811"/>
    </row>
    <row r="65" spans="1:11" s="290" customFormat="1" ht="13.8" thickBot="1" x14ac:dyDescent="0.35">
      <c r="B65" s="929" t="s">
        <v>1109</v>
      </c>
      <c r="C65" s="930"/>
      <c r="D65" s="930"/>
      <c r="E65" s="930"/>
      <c r="F65" s="930"/>
      <c r="G65" s="930"/>
      <c r="H65" s="930"/>
      <c r="I65" s="930"/>
      <c r="J65" s="930"/>
      <c r="K65" s="931"/>
    </row>
    <row r="66" spans="1:11" s="290" customFormat="1" x14ac:dyDescent="0.3">
      <c r="B66" s="361" t="s">
        <v>1110</v>
      </c>
      <c r="C66" s="812" t="s">
        <v>1111</v>
      </c>
      <c r="D66" s="812"/>
      <c r="E66" s="812"/>
      <c r="F66" s="812"/>
      <c r="G66" s="812"/>
      <c r="H66" s="812"/>
      <c r="I66" s="812"/>
      <c r="J66" s="812"/>
      <c r="K66" s="362" t="s">
        <v>35</v>
      </c>
    </row>
    <row r="67" spans="1:11" s="290" customFormat="1" x14ac:dyDescent="0.3">
      <c r="A67" s="352"/>
      <c r="B67" s="363"/>
      <c r="C67" s="804" t="s">
        <v>1206</v>
      </c>
      <c r="D67" s="805"/>
      <c r="E67" s="805"/>
      <c r="F67" s="805"/>
      <c r="G67" s="805"/>
      <c r="H67" s="805"/>
      <c r="I67" s="805"/>
      <c r="J67" s="806"/>
      <c r="K67" s="364"/>
    </row>
    <row r="68" spans="1:11" s="290" customFormat="1" x14ac:dyDescent="0.3">
      <c r="B68" s="365" t="s">
        <v>1112</v>
      </c>
      <c r="C68" s="813" t="s">
        <v>1118</v>
      </c>
      <c r="D68" s="813"/>
      <c r="E68" s="813"/>
      <c r="F68" s="813"/>
      <c r="G68" s="813"/>
      <c r="H68" s="813"/>
      <c r="I68" s="813"/>
      <c r="J68" s="813"/>
      <c r="K68" s="366" t="s">
        <v>35</v>
      </c>
    </row>
    <row r="69" spans="1:11" s="290" customFormat="1" x14ac:dyDescent="0.3">
      <c r="B69" s="365" t="s">
        <v>1113</v>
      </c>
      <c r="C69" s="813" t="s">
        <v>1119</v>
      </c>
      <c r="D69" s="813"/>
      <c r="E69" s="813"/>
      <c r="F69" s="813"/>
      <c r="G69" s="813"/>
      <c r="H69" s="813"/>
      <c r="I69" s="813"/>
      <c r="J69" s="813"/>
      <c r="K69" s="366" t="s">
        <v>35</v>
      </c>
    </row>
    <row r="70" spans="1:11" s="290" customFormat="1" x14ac:dyDescent="0.3">
      <c r="B70" s="365" t="s">
        <v>1114</v>
      </c>
      <c r="C70" s="813" t="s">
        <v>1120</v>
      </c>
      <c r="D70" s="813"/>
      <c r="E70" s="813"/>
      <c r="F70" s="813"/>
      <c r="G70" s="813"/>
      <c r="H70" s="813"/>
      <c r="I70" s="813"/>
      <c r="J70" s="813"/>
      <c r="K70" s="366" t="s">
        <v>35</v>
      </c>
    </row>
    <row r="71" spans="1:11" s="290" customFormat="1" ht="27" customHeight="1" x14ac:dyDescent="0.3">
      <c r="B71" s="365" t="s">
        <v>1115</v>
      </c>
      <c r="C71" s="813" t="s">
        <v>1121</v>
      </c>
      <c r="D71" s="813"/>
      <c r="E71" s="813"/>
      <c r="F71" s="813"/>
      <c r="G71" s="813"/>
      <c r="H71" s="813"/>
      <c r="I71" s="813"/>
      <c r="J71" s="813"/>
      <c r="K71" s="366" t="s">
        <v>35</v>
      </c>
    </row>
    <row r="72" spans="1:11" s="290" customFormat="1" x14ac:dyDescent="0.3">
      <c r="B72" s="365" t="s">
        <v>1116</v>
      </c>
      <c r="C72" s="813" t="s">
        <v>1272</v>
      </c>
      <c r="D72" s="813"/>
      <c r="E72" s="813"/>
      <c r="F72" s="813"/>
      <c r="G72" s="813"/>
      <c r="H72" s="813"/>
      <c r="I72" s="813"/>
      <c r="J72" s="813"/>
      <c r="K72" s="366" t="s">
        <v>35</v>
      </c>
    </row>
    <row r="73" spans="1:11" s="290" customFormat="1" ht="13.8" thickBot="1" x14ac:dyDescent="0.35">
      <c r="B73" s="367" t="s">
        <v>1117</v>
      </c>
      <c r="C73" s="831" t="s">
        <v>1122</v>
      </c>
      <c r="D73" s="831"/>
      <c r="E73" s="831"/>
      <c r="F73" s="831"/>
      <c r="G73" s="831"/>
      <c r="H73" s="831"/>
      <c r="I73" s="831"/>
      <c r="J73" s="831"/>
      <c r="K73" s="368" t="s">
        <v>35</v>
      </c>
    </row>
    <row r="74" spans="1:11" s="290" customFormat="1" ht="13.8" thickBot="1" x14ac:dyDescent="0.35">
      <c r="B74" s="391"/>
      <c r="C74" s="915" t="s">
        <v>1123</v>
      </c>
      <c r="D74" s="916"/>
      <c r="E74" s="916"/>
      <c r="F74" s="916"/>
      <c r="G74" s="916"/>
      <c r="H74" s="916"/>
      <c r="I74" s="916"/>
      <c r="J74" s="917"/>
      <c r="K74" s="392" t="str">
        <f>IF(OR(K66="Yes",K68="Yes",K69="Yes",K70="Yes",K71="Yes",K72="Yes",K73="Yes"),"Yes","No")</f>
        <v>No</v>
      </c>
    </row>
    <row r="75" spans="1:11" ht="13.8" thickBot="1" x14ac:dyDescent="0.3">
      <c r="B75" s="924" t="s">
        <v>1061</v>
      </c>
      <c r="C75" s="924"/>
      <c r="D75" s="924"/>
      <c r="E75" s="924"/>
      <c r="F75" s="924"/>
      <c r="G75" s="924" t="s">
        <v>1062</v>
      </c>
      <c r="H75" s="924"/>
      <c r="I75" s="924"/>
      <c r="J75" s="924"/>
      <c r="K75" s="924"/>
    </row>
    <row r="76" spans="1:11" ht="27" thickBot="1" x14ac:dyDescent="0.3">
      <c r="B76" s="408" t="s">
        <v>306</v>
      </c>
      <c r="C76" s="394" t="s">
        <v>19</v>
      </c>
      <c r="D76" s="394" t="s">
        <v>326</v>
      </c>
      <c r="E76" s="394" t="s">
        <v>310</v>
      </c>
      <c r="F76" s="409" t="s">
        <v>552</v>
      </c>
      <c r="G76" s="393" t="s">
        <v>1063</v>
      </c>
      <c r="H76" s="394" t="s">
        <v>1064</v>
      </c>
      <c r="I76" s="395" t="s">
        <v>1065</v>
      </c>
      <c r="J76" s="395" t="s">
        <v>1066</v>
      </c>
      <c r="K76" s="396" t="s">
        <v>1067</v>
      </c>
    </row>
    <row r="77" spans="1:11" ht="15" thickBot="1" x14ac:dyDescent="0.3">
      <c r="B77" s="490" t="s">
        <v>619</v>
      </c>
      <c r="C77" s="491" t="s">
        <v>619</v>
      </c>
      <c r="D77" s="491" t="s">
        <v>619</v>
      </c>
      <c r="E77" s="491" t="s">
        <v>621</v>
      </c>
      <c r="F77" s="492" t="s">
        <v>621</v>
      </c>
      <c r="G77" s="493" t="s">
        <v>619</v>
      </c>
      <c r="H77" s="491" t="s">
        <v>621</v>
      </c>
      <c r="I77" s="491" t="s">
        <v>621</v>
      </c>
      <c r="J77" s="491" t="s">
        <v>621</v>
      </c>
      <c r="K77" s="492" t="s">
        <v>621</v>
      </c>
    </row>
    <row r="78" spans="1:11" ht="13.8" thickBot="1" x14ac:dyDescent="0.3">
      <c r="A78" s="390"/>
      <c r="B78" s="807" t="s">
        <v>1068</v>
      </c>
      <c r="C78" s="808"/>
      <c r="D78" s="808"/>
      <c r="E78" s="808"/>
      <c r="F78" s="808"/>
      <c r="G78" s="808"/>
      <c r="H78" s="808"/>
      <c r="I78" s="808"/>
      <c r="J78" s="808"/>
      <c r="K78" s="809"/>
    </row>
    <row r="79" spans="1:11" ht="26.4" x14ac:dyDescent="0.25">
      <c r="A79" s="390"/>
      <c r="B79" s="369" t="s">
        <v>1124</v>
      </c>
      <c r="C79" s="918" t="s">
        <v>31</v>
      </c>
      <c r="D79" s="918"/>
      <c r="E79" s="918"/>
      <c r="F79" s="918"/>
      <c r="G79" s="918"/>
      <c r="H79" s="918"/>
      <c r="I79" s="401" t="s">
        <v>1125</v>
      </c>
      <c r="J79" s="906" t="s">
        <v>1074</v>
      </c>
      <c r="K79" s="907"/>
    </row>
    <row r="80" spans="1:11" ht="27" customHeight="1" thickBot="1" x14ac:dyDescent="0.3">
      <c r="A80" s="390"/>
      <c r="B80" s="363" t="s">
        <v>1128</v>
      </c>
      <c r="C80" s="768" t="s">
        <v>638</v>
      </c>
      <c r="D80" s="768"/>
      <c r="E80" s="768"/>
      <c r="F80" s="768"/>
      <c r="G80" s="768"/>
      <c r="H80" s="768"/>
      <c r="I80" s="410" t="s">
        <v>35</v>
      </c>
      <c r="J80" s="1107" t="s">
        <v>863</v>
      </c>
      <c r="K80" s="1108"/>
    </row>
    <row r="81" spans="1:11" ht="27" thickBot="1" x14ac:dyDescent="0.3">
      <c r="A81" s="390"/>
      <c r="B81" s="383" t="s">
        <v>1072</v>
      </c>
      <c r="C81" s="814" t="s">
        <v>1817</v>
      </c>
      <c r="D81" s="815"/>
      <c r="E81" s="383" t="s">
        <v>1070</v>
      </c>
      <c r="F81" s="402" t="s">
        <v>1134</v>
      </c>
      <c r="G81" s="816" t="s">
        <v>1131</v>
      </c>
      <c r="H81" s="817"/>
      <c r="I81" s="383" t="s">
        <v>1130</v>
      </c>
      <c r="J81" s="814" t="s">
        <v>1133</v>
      </c>
      <c r="K81" s="815"/>
    </row>
    <row r="82" spans="1:11" ht="13.8" thickBot="1" x14ac:dyDescent="0.3">
      <c r="B82" s="938" t="s">
        <v>1076</v>
      </c>
      <c r="C82" s="939"/>
      <c r="D82" s="939"/>
      <c r="E82" s="939"/>
      <c r="F82" s="939"/>
      <c r="G82" s="939"/>
      <c r="H82" s="939"/>
      <c r="I82" s="939"/>
      <c r="J82" s="939"/>
      <c r="K82" s="940"/>
    </row>
    <row r="83" spans="1:11" ht="13.8" thickBot="1" x14ac:dyDescent="0.3">
      <c r="B83" s="403" t="s">
        <v>863</v>
      </c>
      <c r="C83" s="943" t="s">
        <v>863</v>
      </c>
      <c r="D83" s="943"/>
      <c r="E83" s="943"/>
      <c r="F83" s="943"/>
      <c r="G83" s="943"/>
      <c r="H83" s="943"/>
      <c r="I83" s="943"/>
      <c r="J83" s="943"/>
      <c r="K83" s="944"/>
    </row>
    <row r="84" spans="1:11" ht="13.8" thickBot="1" x14ac:dyDescent="0.3">
      <c r="B84" s="912" t="s">
        <v>1077</v>
      </c>
      <c r="C84" s="913"/>
      <c r="D84" s="913"/>
      <c r="E84" s="913"/>
      <c r="F84" s="913"/>
      <c r="G84" s="913"/>
      <c r="H84" s="913"/>
      <c r="I84" s="913"/>
      <c r="J84" s="913"/>
      <c r="K84" s="914"/>
    </row>
    <row r="85" spans="1:11" x14ac:dyDescent="0.25">
      <c r="B85" s="487" t="s">
        <v>719</v>
      </c>
      <c r="C85" s="1096" t="s">
        <v>718</v>
      </c>
      <c r="D85" s="1096"/>
      <c r="E85" s="1096"/>
      <c r="F85" s="1096"/>
      <c r="G85" s="1096"/>
      <c r="H85" s="1096"/>
      <c r="I85" s="1096"/>
      <c r="J85" s="1096"/>
      <c r="K85" s="1097"/>
    </row>
    <row r="86" spans="1:11" ht="13.8" thickBot="1" x14ac:dyDescent="0.3">
      <c r="B86" s="489" t="s">
        <v>1147</v>
      </c>
      <c r="C86" s="1127" t="s">
        <v>526</v>
      </c>
      <c r="D86" s="1127"/>
      <c r="E86" s="1127"/>
      <c r="F86" s="1127"/>
      <c r="G86" s="1127"/>
      <c r="H86" s="1127"/>
      <c r="I86" s="1127"/>
      <c r="J86" s="1127"/>
      <c r="K86" s="1128"/>
    </row>
    <row r="89" spans="1:11" ht="13.8" thickBot="1" x14ac:dyDescent="0.3">
      <c r="A89" s="412" t="s">
        <v>1092</v>
      </c>
      <c r="B89" s="413" t="s">
        <v>540</v>
      </c>
    </row>
    <row r="90" spans="1:11" ht="13.8" thickBot="1" x14ac:dyDescent="0.3">
      <c r="B90" s="921" t="s">
        <v>1060</v>
      </c>
      <c r="C90" s="922"/>
      <c r="D90" s="922"/>
      <c r="E90" s="922"/>
      <c r="F90" s="922"/>
      <c r="G90" s="922"/>
      <c r="H90" s="922"/>
      <c r="I90" s="922"/>
      <c r="J90" s="922"/>
      <c r="K90" s="923"/>
    </row>
    <row r="91" spans="1:11" ht="13.8" thickBot="1" x14ac:dyDescent="0.3">
      <c r="B91" s="360" t="s">
        <v>612</v>
      </c>
      <c r="C91" s="810" t="s">
        <v>1818</v>
      </c>
      <c r="D91" s="810"/>
      <c r="E91" s="810"/>
      <c r="F91" s="810"/>
      <c r="G91" s="810"/>
      <c r="H91" s="810"/>
      <c r="I91" s="810"/>
      <c r="J91" s="810"/>
      <c r="K91" s="811"/>
    </row>
    <row r="92" spans="1:11" s="290" customFormat="1" ht="13.8" thickBot="1" x14ac:dyDescent="0.35">
      <c r="B92" s="929" t="s">
        <v>1109</v>
      </c>
      <c r="C92" s="930"/>
      <c r="D92" s="930"/>
      <c r="E92" s="930"/>
      <c r="F92" s="930"/>
      <c r="G92" s="930"/>
      <c r="H92" s="930"/>
      <c r="I92" s="930"/>
      <c r="J92" s="930"/>
      <c r="K92" s="931"/>
    </row>
    <row r="93" spans="1:11" s="290" customFormat="1" x14ac:dyDescent="0.3">
      <c r="B93" s="361" t="s">
        <v>1110</v>
      </c>
      <c r="C93" s="812" t="s">
        <v>1111</v>
      </c>
      <c r="D93" s="812"/>
      <c r="E93" s="812"/>
      <c r="F93" s="812"/>
      <c r="G93" s="812"/>
      <c r="H93" s="812"/>
      <c r="I93" s="812"/>
      <c r="J93" s="812"/>
      <c r="K93" s="362" t="s">
        <v>35</v>
      </c>
    </row>
    <row r="94" spans="1:11" s="290" customFormat="1" x14ac:dyDescent="0.3">
      <c r="A94" s="352"/>
      <c r="B94" s="363"/>
      <c r="C94" s="804" t="s">
        <v>1206</v>
      </c>
      <c r="D94" s="805"/>
      <c r="E94" s="805"/>
      <c r="F94" s="805"/>
      <c r="G94" s="805"/>
      <c r="H94" s="805"/>
      <c r="I94" s="805"/>
      <c r="J94" s="806"/>
      <c r="K94" s="364"/>
    </row>
    <row r="95" spans="1:11" s="290" customFormat="1" x14ac:dyDescent="0.3">
      <c r="B95" s="365" t="s">
        <v>1112</v>
      </c>
      <c r="C95" s="813" t="s">
        <v>1118</v>
      </c>
      <c r="D95" s="813"/>
      <c r="E95" s="813"/>
      <c r="F95" s="813"/>
      <c r="G95" s="813"/>
      <c r="H95" s="813"/>
      <c r="I95" s="813"/>
      <c r="J95" s="813"/>
      <c r="K95" s="366" t="s">
        <v>35</v>
      </c>
    </row>
    <row r="96" spans="1:11" s="290" customFormat="1" x14ac:dyDescent="0.3">
      <c r="B96" s="365" t="s">
        <v>1113</v>
      </c>
      <c r="C96" s="813" t="s">
        <v>1119</v>
      </c>
      <c r="D96" s="813"/>
      <c r="E96" s="813"/>
      <c r="F96" s="813"/>
      <c r="G96" s="813"/>
      <c r="H96" s="813"/>
      <c r="I96" s="813"/>
      <c r="J96" s="813"/>
      <c r="K96" s="366" t="s">
        <v>35</v>
      </c>
    </row>
    <row r="97" spans="1:11" s="290" customFormat="1" x14ac:dyDescent="0.3">
      <c r="B97" s="365" t="s">
        <v>1114</v>
      </c>
      <c r="C97" s="813" t="s">
        <v>1120</v>
      </c>
      <c r="D97" s="813"/>
      <c r="E97" s="813"/>
      <c r="F97" s="813"/>
      <c r="G97" s="813"/>
      <c r="H97" s="813"/>
      <c r="I97" s="813"/>
      <c r="J97" s="813"/>
      <c r="K97" s="366" t="s">
        <v>35</v>
      </c>
    </row>
    <row r="98" spans="1:11" s="290" customFormat="1" ht="27" customHeight="1" x14ac:dyDescent="0.3">
      <c r="B98" s="365" t="s">
        <v>1115</v>
      </c>
      <c r="C98" s="813" t="s">
        <v>1121</v>
      </c>
      <c r="D98" s="813"/>
      <c r="E98" s="813"/>
      <c r="F98" s="813"/>
      <c r="G98" s="813"/>
      <c r="H98" s="813"/>
      <c r="I98" s="813"/>
      <c r="J98" s="813"/>
      <c r="K98" s="366" t="s">
        <v>35</v>
      </c>
    </row>
    <row r="99" spans="1:11" s="290" customFormat="1" x14ac:dyDescent="0.3">
      <c r="B99" s="365" t="s">
        <v>1116</v>
      </c>
      <c r="C99" s="813" t="s">
        <v>1272</v>
      </c>
      <c r="D99" s="813"/>
      <c r="E99" s="813"/>
      <c r="F99" s="813"/>
      <c r="G99" s="813"/>
      <c r="H99" s="813"/>
      <c r="I99" s="813"/>
      <c r="J99" s="813"/>
      <c r="K99" s="366" t="s">
        <v>35</v>
      </c>
    </row>
    <row r="100" spans="1:11" s="290" customFormat="1" ht="13.8" thickBot="1" x14ac:dyDescent="0.35">
      <c r="B100" s="367" t="s">
        <v>1117</v>
      </c>
      <c r="C100" s="831" t="s">
        <v>1122</v>
      </c>
      <c r="D100" s="831"/>
      <c r="E100" s="831"/>
      <c r="F100" s="831"/>
      <c r="G100" s="831"/>
      <c r="H100" s="831"/>
      <c r="I100" s="831"/>
      <c r="J100" s="831"/>
      <c r="K100" s="368" t="s">
        <v>35</v>
      </c>
    </row>
    <row r="101" spans="1:11" s="290" customFormat="1" ht="13.8" thickBot="1" x14ac:dyDescent="0.35">
      <c r="B101" s="391"/>
      <c r="C101" s="915" t="s">
        <v>1123</v>
      </c>
      <c r="D101" s="916"/>
      <c r="E101" s="916"/>
      <c r="F101" s="916"/>
      <c r="G101" s="916"/>
      <c r="H101" s="916"/>
      <c r="I101" s="916"/>
      <c r="J101" s="917"/>
      <c r="K101" s="392" t="str">
        <f>IF(OR(K93="Yes",K95="Yes",K96="Yes",K97="Yes",K98="Yes",K99="Yes",K100="Yes"),"Yes","No")</f>
        <v>No</v>
      </c>
    </row>
    <row r="102" spans="1:11" ht="13.8" thickBot="1" x14ac:dyDescent="0.3">
      <c r="B102" s="924" t="s">
        <v>1061</v>
      </c>
      <c r="C102" s="924"/>
      <c r="D102" s="924"/>
      <c r="E102" s="924"/>
      <c r="F102" s="924"/>
      <c r="G102" s="924" t="s">
        <v>1062</v>
      </c>
      <c r="H102" s="924"/>
      <c r="I102" s="924"/>
      <c r="J102" s="924"/>
      <c r="K102" s="924"/>
    </row>
    <row r="103" spans="1:11" ht="27" thickBot="1" x14ac:dyDescent="0.3">
      <c r="B103" s="408" t="s">
        <v>306</v>
      </c>
      <c r="C103" s="394" t="s">
        <v>19</v>
      </c>
      <c r="D103" s="394" t="s">
        <v>326</v>
      </c>
      <c r="E103" s="394" t="s">
        <v>310</v>
      </c>
      <c r="F103" s="409" t="s">
        <v>552</v>
      </c>
      <c r="G103" s="501" t="s">
        <v>1063</v>
      </c>
      <c r="H103" s="502" t="s">
        <v>1064</v>
      </c>
      <c r="I103" s="503" t="s">
        <v>1065</v>
      </c>
      <c r="J103" s="503" t="s">
        <v>1066</v>
      </c>
      <c r="K103" s="504" t="s">
        <v>1067</v>
      </c>
    </row>
    <row r="104" spans="1:11" ht="14.4" x14ac:dyDescent="0.25">
      <c r="B104" s="490" t="s">
        <v>619</v>
      </c>
      <c r="C104" s="491" t="s">
        <v>619</v>
      </c>
      <c r="D104" s="491" t="s">
        <v>621</v>
      </c>
      <c r="E104" s="491" t="s">
        <v>621</v>
      </c>
      <c r="F104" s="500" t="s">
        <v>621</v>
      </c>
      <c r="G104" s="490" t="s">
        <v>621</v>
      </c>
      <c r="H104" s="491" t="s">
        <v>621</v>
      </c>
      <c r="I104" s="491" t="s">
        <v>621</v>
      </c>
      <c r="J104" s="491" t="s">
        <v>621</v>
      </c>
      <c r="K104" s="492" t="s">
        <v>621</v>
      </c>
    </row>
    <row r="105" spans="1:11" ht="13.8" thickBot="1" x14ac:dyDescent="0.3">
      <c r="A105" s="390"/>
      <c r="B105" s="807" t="s">
        <v>1068</v>
      </c>
      <c r="C105" s="808"/>
      <c r="D105" s="808"/>
      <c r="E105" s="808"/>
      <c r="F105" s="808"/>
      <c r="G105" s="1125"/>
      <c r="H105" s="1125"/>
      <c r="I105" s="1125"/>
      <c r="J105" s="1125"/>
      <c r="K105" s="1126"/>
    </row>
    <row r="106" spans="1:11" ht="27" thickBot="1" x14ac:dyDescent="0.3">
      <c r="A106" s="390"/>
      <c r="B106" s="369" t="s">
        <v>1124</v>
      </c>
      <c r="C106" s="918" t="s">
        <v>31</v>
      </c>
      <c r="D106" s="918"/>
      <c r="E106" s="918"/>
      <c r="F106" s="918"/>
      <c r="G106" s="918"/>
      <c r="H106" s="918"/>
      <c r="I106" s="401" t="s">
        <v>1125</v>
      </c>
      <c r="J106" s="906" t="s">
        <v>1074</v>
      </c>
      <c r="K106" s="907"/>
    </row>
    <row r="107" spans="1:11" ht="13.8" thickBot="1" x14ac:dyDescent="0.3">
      <c r="A107" s="390"/>
      <c r="B107" s="363" t="s">
        <v>863</v>
      </c>
      <c r="C107" s="768" t="s">
        <v>863</v>
      </c>
      <c r="D107" s="768"/>
      <c r="E107" s="768"/>
      <c r="F107" s="768"/>
      <c r="G107" s="768"/>
      <c r="H107" s="768"/>
      <c r="I107" s="410" t="s">
        <v>35</v>
      </c>
      <c r="J107" s="1107" t="s">
        <v>863</v>
      </c>
      <c r="K107" s="1108"/>
    </row>
    <row r="108" spans="1:11" ht="27" thickBot="1" x14ac:dyDescent="0.3">
      <c r="A108" s="390"/>
      <c r="B108" s="383" t="s">
        <v>1072</v>
      </c>
      <c r="C108" s="814" t="s">
        <v>1817</v>
      </c>
      <c r="D108" s="815"/>
      <c r="E108" s="383" t="s">
        <v>1070</v>
      </c>
      <c r="F108" s="402" t="s">
        <v>1135</v>
      </c>
      <c r="G108" s="816" t="s">
        <v>1267</v>
      </c>
      <c r="H108" s="817"/>
      <c r="I108" s="383" t="s">
        <v>1130</v>
      </c>
      <c r="J108" s="814" t="s">
        <v>1133</v>
      </c>
      <c r="K108" s="815"/>
    </row>
    <row r="109" spans="1:11" ht="13.8" thickBot="1" x14ac:dyDescent="0.3">
      <c r="B109" s="938" t="s">
        <v>1076</v>
      </c>
      <c r="C109" s="939"/>
      <c r="D109" s="939"/>
      <c r="E109" s="939"/>
      <c r="F109" s="939"/>
      <c r="G109" s="939"/>
      <c r="H109" s="939"/>
      <c r="I109" s="939"/>
      <c r="J109" s="939"/>
      <c r="K109" s="940"/>
    </row>
    <row r="110" spans="1:11" ht="13.8" thickBot="1" x14ac:dyDescent="0.3">
      <c r="B110" s="403" t="s">
        <v>863</v>
      </c>
      <c r="C110" s="943" t="s">
        <v>863</v>
      </c>
      <c r="D110" s="943"/>
      <c r="E110" s="943"/>
      <c r="F110" s="943"/>
      <c r="G110" s="943"/>
      <c r="H110" s="943"/>
      <c r="I110" s="943"/>
      <c r="J110" s="943"/>
      <c r="K110" s="944"/>
    </row>
    <row r="111" spans="1:11" ht="13.8" thickBot="1" x14ac:dyDescent="0.3">
      <c r="B111" s="938" t="s">
        <v>1077</v>
      </c>
      <c r="C111" s="939"/>
      <c r="D111" s="939"/>
      <c r="E111" s="939"/>
      <c r="F111" s="939"/>
      <c r="G111" s="939"/>
      <c r="H111" s="939"/>
      <c r="I111" s="939"/>
      <c r="J111" s="939"/>
      <c r="K111" s="940"/>
    </row>
    <row r="112" spans="1:11" ht="13.8" thickBot="1" x14ac:dyDescent="0.3">
      <c r="B112" s="360" t="s">
        <v>677</v>
      </c>
      <c r="C112" s="953" t="s">
        <v>1337</v>
      </c>
      <c r="D112" s="953"/>
      <c r="E112" s="953"/>
      <c r="F112" s="953"/>
      <c r="G112" s="953"/>
      <c r="H112" s="953"/>
      <c r="I112" s="953"/>
      <c r="J112" s="953"/>
      <c r="K112" s="954"/>
    </row>
    <row r="115" spans="1:11" ht="13.8" thickBot="1" x14ac:dyDescent="0.3">
      <c r="A115" s="412" t="s">
        <v>1093</v>
      </c>
      <c r="B115" s="413" t="s">
        <v>541</v>
      </c>
    </row>
    <row r="116" spans="1:11" ht="13.8" thickBot="1" x14ac:dyDescent="0.3">
      <c r="B116" s="921" t="s">
        <v>1060</v>
      </c>
      <c r="C116" s="922"/>
      <c r="D116" s="922"/>
      <c r="E116" s="922"/>
      <c r="F116" s="922"/>
      <c r="G116" s="922"/>
      <c r="H116" s="922"/>
      <c r="I116" s="922"/>
      <c r="J116" s="922"/>
      <c r="K116" s="923"/>
    </row>
    <row r="117" spans="1:11" ht="13.8" thickBot="1" x14ac:dyDescent="0.3">
      <c r="B117" s="360" t="s">
        <v>613</v>
      </c>
      <c r="C117" s="810" t="s">
        <v>1819</v>
      </c>
      <c r="D117" s="810"/>
      <c r="E117" s="810"/>
      <c r="F117" s="810"/>
      <c r="G117" s="810"/>
      <c r="H117" s="810"/>
      <c r="I117" s="810"/>
      <c r="J117" s="810"/>
      <c r="K117" s="811"/>
    </row>
    <row r="118" spans="1:11" s="290" customFormat="1" ht="13.8" thickBot="1" x14ac:dyDescent="0.35">
      <c r="B118" s="929" t="s">
        <v>1109</v>
      </c>
      <c r="C118" s="930"/>
      <c r="D118" s="930"/>
      <c r="E118" s="930"/>
      <c r="F118" s="930"/>
      <c r="G118" s="930"/>
      <c r="H118" s="930"/>
      <c r="I118" s="930"/>
      <c r="J118" s="930"/>
      <c r="K118" s="931"/>
    </row>
    <row r="119" spans="1:11" s="290" customFormat="1" x14ac:dyDescent="0.3">
      <c r="B119" s="361" t="s">
        <v>1110</v>
      </c>
      <c r="C119" s="812" t="s">
        <v>1111</v>
      </c>
      <c r="D119" s="812"/>
      <c r="E119" s="812"/>
      <c r="F119" s="812"/>
      <c r="G119" s="812"/>
      <c r="H119" s="812"/>
      <c r="I119" s="812"/>
      <c r="J119" s="812"/>
      <c r="K119" s="362" t="s">
        <v>35</v>
      </c>
    </row>
    <row r="120" spans="1:11" s="290" customFormat="1" x14ac:dyDescent="0.3">
      <c r="A120" s="352"/>
      <c r="B120" s="363"/>
      <c r="C120" s="804" t="s">
        <v>1206</v>
      </c>
      <c r="D120" s="805"/>
      <c r="E120" s="805"/>
      <c r="F120" s="805"/>
      <c r="G120" s="805"/>
      <c r="H120" s="805"/>
      <c r="I120" s="805"/>
      <c r="J120" s="806"/>
      <c r="K120" s="364"/>
    </row>
    <row r="121" spans="1:11" s="290" customFormat="1" x14ac:dyDescent="0.3">
      <c r="B121" s="365" t="s">
        <v>1112</v>
      </c>
      <c r="C121" s="813" t="s">
        <v>1118</v>
      </c>
      <c r="D121" s="813"/>
      <c r="E121" s="813"/>
      <c r="F121" s="813"/>
      <c r="G121" s="813"/>
      <c r="H121" s="813"/>
      <c r="I121" s="813"/>
      <c r="J121" s="813"/>
      <c r="K121" s="366" t="s">
        <v>35</v>
      </c>
    </row>
    <row r="122" spans="1:11" s="290" customFormat="1" x14ac:dyDescent="0.3">
      <c r="B122" s="365" t="s">
        <v>1113</v>
      </c>
      <c r="C122" s="813" t="s">
        <v>1119</v>
      </c>
      <c r="D122" s="813"/>
      <c r="E122" s="813"/>
      <c r="F122" s="813"/>
      <c r="G122" s="813"/>
      <c r="H122" s="813"/>
      <c r="I122" s="813"/>
      <c r="J122" s="813"/>
      <c r="K122" s="366" t="s">
        <v>35</v>
      </c>
    </row>
    <row r="123" spans="1:11" s="290" customFormat="1" x14ac:dyDescent="0.3">
      <c r="B123" s="365" t="s">
        <v>1114</v>
      </c>
      <c r="C123" s="813" t="s">
        <v>1120</v>
      </c>
      <c r="D123" s="813"/>
      <c r="E123" s="813"/>
      <c r="F123" s="813"/>
      <c r="G123" s="813"/>
      <c r="H123" s="813"/>
      <c r="I123" s="813"/>
      <c r="J123" s="813"/>
      <c r="K123" s="366" t="s">
        <v>35</v>
      </c>
    </row>
    <row r="124" spans="1:11" s="290" customFormat="1" ht="27" customHeight="1" x14ac:dyDescent="0.3">
      <c r="B124" s="365" t="s">
        <v>1115</v>
      </c>
      <c r="C124" s="813" t="s">
        <v>1121</v>
      </c>
      <c r="D124" s="813"/>
      <c r="E124" s="813"/>
      <c r="F124" s="813"/>
      <c r="G124" s="813"/>
      <c r="H124" s="813"/>
      <c r="I124" s="813"/>
      <c r="J124" s="813"/>
      <c r="K124" s="366" t="s">
        <v>35</v>
      </c>
    </row>
    <row r="125" spans="1:11" s="290" customFormat="1" x14ac:dyDescent="0.3">
      <c r="B125" s="365" t="s">
        <v>1116</v>
      </c>
      <c r="C125" s="813" t="s">
        <v>1272</v>
      </c>
      <c r="D125" s="813"/>
      <c r="E125" s="813"/>
      <c r="F125" s="813"/>
      <c r="G125" s="813"/>
      <c r="H125" s="813"/>
      <c r="I125" s="813"/>
      <c r="J125" s="813"/>
      <c r="K125" s="366" t="s">
        <v>35</v>
      </c>
    </row>
    <row r="126" spans="1:11" s="290" customFormat="1" ht="13.8" thickBot="1" x14ac:dyDescent="0.35">
      <c r="B126" s="367" t="s">
        <v>1117</v>
      </c>
      <c r="C126" s="831" t="s">
        <v>1122</v>
      </c>
      <c r="D126" s="831"/>
      <c r="E126" s="831"/>
      <c r="F126" s="831"/>
      <c r="G126" s="831"/>
      <c r="H126" s="831"/>
      <c r="I126" s="831"/>
      <c r="J126" s="831"/>
      <c r="K126" s="368" t="s">
        <v>35</v>
      </c>
    </row>
    <row r="127" spans="1:11" s="290" customFormat="1" ht="13.8" thickBot="1" x14ac:dyDescent="0.35">
      <c r="B127" s="391"/>
      <c r="C127" s="915" t="s">
        <v>1123</v>
      </c>
      <c r="D127" s="916"/>
      <c r="E127" s="916"/>
      <c r="F127" s="916"/>
      <c r="G127" s="916"/>
      <c r="H127" s="916"/>
      <c r="I127" s="916"/>
      <c r="J127" s="917"/>
      <c r="K127" s="392" t="str">
        <f>IF(OR(K119="Yes",K121="Yes",K122="Yes",K123="Yes",K124="Yes",K125="Yes",K126="Yes"),"Yes","No")</f>
        <v>No</v>
      </c>
    </row>
    <row r="128" spans="1:11" ht="13.8" thickBot="1" x14ac:dyDescent="0.3">
      <c r="B128" s="924" t="s">
        <v>1061</v>
      </c>
      <c r="C128" s="924"/>
      <c r="D128" s="924"/>
      <c r="E128" s="924"/>
      <c r="F128" s="924"/>
      <c r="G128" s="924" t="s">
        <v>1062</v>
      </c>
      <c r="H128" s="924"/>
      <c r="I128" s="924"/>
      <c r="J128" s="924"/>
      <c r="K128" s="924"/>
    </row>
    <row r="129" spans="1:12" ht="27" thickBot="1" x14ac:dyDescent="0.3">
      <c r="B129" s="505" t="s">
        <v>306</v>
      </c>
      <c r="C129" s="502" t="s">
        <v>19</v>
      </c>
      <c r="D129" s="502" t="s">
        <v>326</v>
      </c>
      <c r="E129" s="502" t="s">
        <v>310</v>
      </c>
      <c r="F129" s="506" t="s">
        <v>552</v>
      </c>
      <c r="G129" s="501" t="s">
        <v>1063</v>
      </c>
      <c r="H129" s="502" t="s">
        <v>1064</v>
      </c>
      <c r="I129" s="503" t="s">
        <v>1065</v>
      </c>
      <c r="J129" s="503" t="s">
        <v>1066</v>
      </c>
      <c r="K129" s="504" t="s">
        <v>1067</v>
      </c>
    </row>
    <row r="130" spans="1:12" ht="15" thickBot="1" x14ac:dyDescent="0.3">
      <c r="B130" s="490" t="s">
        <v>619</v>
      </c>
      <c r="C130" s="491" t="s">
        <v>619</v>
      </c>
      <c r="D130" s="491" t="s">
        <v>621</v>
      </c>
      <c r="E130" s="491" t="s">
        <v>621</v>
      </c>
      <c r="F130" s="492" t="s">
        <v>621</v>
      </c>
      <c r="G130" s="493" t="s">
        <v>621</v>
      </c>
      <c r="H130" s="491" t="s">
        <v>621</v>
      </c>
      <c r="I130" s="491" t="s">
        <v>621</v>
      </c>
      <c r="J130" s="491" t="s">
        <v>621</v>
      </c>
      <c r="K130" s="492" t="s">
        <v>621</v>
      </c>
    </row>
    <row r="131" spans="1:12" ht="13.8" thickBot="1" x14ac:dyDescent="0.3">
      <c r="A131" s="390"/>
      <c r="B131" s="1124" t="s">
        <v>1068</v>
      </c>
      <c r="C131" s="1125"/>
      <c r="D131" s="1125"/>
      <c r="E131" s="1125"/>
      <c r="F131" s="1125"/>
      <c r="G131" s="1125"/>
      <c r="H131" s="1125"/>
      <c r="I131" s="1125"/>
      <c r="J131" s="1125"/>
      <c r="K131" s="1126"/>
    </row>
    <row r="132" spans="1:12" ht="27" thickBot="1" x14ac:dyDescent="0.3">
      <c r="A132" s="390"/>
      <c r="B132" s="437" t="s">
        <v>1124</v>
      </c>
      <c r="C132" s="1006" t="s">
        <v>31</v>
      </c>
      <c r="D132" s="1006"/>
      <c r="E132" s="1006"/>
      <c r="F132" s="1006"/>
      <c r="G132" s="1006"/>
      <c r="H132" s="1006"/>
      <c r="I132" s="480" t="s">
        <v>1125</v>
      </c>
      <c r="J132" s="1007" t="s">
        <v>1074</v>
      </c>
      <c r="K132" s="1008"/>
    </row>
    <row r="133" spans="1:12" ht="27" customHeight="1" thickBot="1" x14ac:dyDescent="0.3">
      <c r="A133" s="390"/>
      <c r="B133" s="360" t="s">
        <v>1220</v>
      </c>
      <c r="C133" s="810" t="s">
        <v>1820</v>
      </c>
      <c r="D133" s="810"/>
      <c r="E133" s="810"/>
      <c r="F133" s="810"/>
      <c r="G133" s="810"/>
      <c r="H133" s="810"/>
      <c r="I133" s="378" t="s">
        <v>37</v>
      </c>
      <c r="J133" s="910" t="s">
        <v>1797</v>
      </c>
      <c r="K133" s="911"/>
      <c r="L133" s="289" t="s">
        <v>619</v>
      </c>
    </row>
    <row r="134" spans="1:12" ht="27" thickBot="1" x14ac:dyDescent="0.3">
      <c r="A134" s="390"/>
      <c r="B134" s="439" t="s">
        <v>1072</v>
      </c>
      <c r="C134" s="870" t="s">
        <v>1103</v>
      </c>
      <c r="D134" s="871"/>
      <c r="E134" s="439" t="s">
        <v>1070</v>
      </c>
      <c r="F134" s="481" t="s">
        <v>1134</v>
      </c>
      <c r="G134" s="887" t="s">
        <v>1131</v>
      </c>
      <c r="H134" s="888"/>
      <c r="I134" s="439" t="s">
        <v>1130</v>
      </c>
      <c r="J134" s="870" t="s">
        <v>1133</v>
      </c>
      <c r="K134" s="871"/>
    </row>
    <row r="135" spans="1:12" ht="13.8" thickBot="1" x14ac:dyDescent="0.3">
      <c r="B135" s="938" t="s">
        <v>1076</v>
      </c>
      <c r="C135" s="939"/>
      <c r="D135" s="939"/>
      <c r="E135" s="939"/>
      <c r="F135" s="939"/>
      <c r="G135" s="939"/>
      <c r="H135" s="939"/>
      <c r="I135" s="939"/>
      <c r="J135" s="939"/>
      <c r="K135" s="940"/>
    </row>
    <row r="136" spans="1:12" ht="13.8" customHeight="1" thickBot="1" x14ac:dyDescent="0.3">
      <c r="B136" s="403" t="s">
        <v>1220</v>
      </c>
      <c r="C136" s="830" t="s">
        <v>1719</v>
      </c>
      <c r="D136" s="816"/>
      <c r="E136" s="816"/>
      <c r="F136" s="816"/>
      <c r="G136" s="816"/>
      <c r="H136" s="816"/>
      <c r="I136" s="816"/>
      <c r="J136" s="816"/>
      <c r="K136" s="817"/>
    </row>
    <row r="137" spans="1:12" ht="13.8" thickBot="1" x14ac:dyDescent="0.3">
      <c r="B137" s="938" t="s">
        <v>1077</v>
      </c>
      <c r="C137" s="939"/>
      <c r="D137" s="939"/>
      <c r="E137" s="939"/>
      <c r="F137" s="939"/>
      <c r="G137" s="939"/>
      <c r="H137" s="939"/>
      <c r="I137" s="939"/>
      <c r="J137" s="939"/>
      <c r="K137" s="940"/>
    </row>
    <row r="138" spans="1:12" ht="13.8" thickBot="1" x14ac:dyDescent="0.3">
      <c r="B138" s="403" t="s">
        <v>903</v>
      </c>
      <c r="C138" s="943" t="s">
        <v>137</v>
      </c>
      <c r="D138" s="943"/>
      <c r="E138" s="943"/>
      <c r="F138" s="943"/>
      <c r="G138" s="943"/>
      <c r="H138" s="943"/>
      <c r="I138" s="943"/>
      <c r="J138" s="943"/>
      <c r="K138" s="944"/>
    </row>
    <row r="141" spans="1:12" ht="13.8" thickBot="1" x14ac:dyDescent="0.3">
      <c r="A141" s="412" t="s">
        <v>1094</v>
      </c>
      <c r="B141" s="413" t="s">
        <v>1445</v>
      </c>
    </row>
    <row r="142" spans="1:12" ht="13.8" thickBot="1" x14ac:dyDescent="0.3">
      <c r="B142" s="921" t="s">
        <v>1060</v>
      </c>
      <c r="C142" s="922"/>
      <c r="D142" s="922"/>
      <c r="E142" s="922"/>
      <c r="F142" s="922"/>
      <c r="G142" s="922"/>
      <c r="H142" s="922"/>
      <c r="I142" s="922"/>
      <c r="J142" s="922"/>
      <c r="K142" s="923"/>
    </row>
    <row r="143" spans="1:12" ht="27" customHeight="1" thickBot="1" x14ac:dyDescent="0.3">
      <c r="B143" s="360" t="s">
        <v>614</v>
      </c>
      <c r="C143" s="810" t="s">
        <v>1821</v>
      </c>
      <c r="D143" s="810"/>
      <c r="E143" s="810"/>
      <c r="F143" s="810"/>
      <c r="G143" s="810"/>
      <c r="H143" s="810"/>
      <c r="I143" s="810"/>
      <c r="J143" s="810"/>
      <c r="K143" s="811"/>
    </row>
    <row r="144" spans="1:12" s="290" customFormat="1" ht="13.8" thickBot="1" x14ac:dyDescent="0.35">
      <c r="B144" s="929" t="s">
        <v>1109</v>
      </c>
      <c r="C144" s="930"/>
      <c r="D144" s="930"/>
      <c r="E144" s="930"/>
      <c r="F144" s="930"/>
      <c r="G144" s="930"/>
      <c r="H144" s="930"/>
      <c r="I144" s="930"/>
      <c r="J144" s="930"/>
      <c r="K144" s="931"/>
    </row>
    <row r="145" spans="1:11" s="290" customFormat="1" x14ac:dyDescent="0.3">
      <c r="B145" s="361" t="s">
        <v>1110</v>
      </c>
      <c r="C145" s="812" t="s">
        <v>1111</v>
      </c>
      <c r="D145" s="812"/>
      <c r="E145" s="812"/>
      <c r="F145" s="812"/>
      <c r="G145" s="812"/>
      <c r="H145" s="812"/>
      <c r="I145" s="812"/>
      <c r="J145" s="812"/>
      <c r="K145" s="362" t="s">
        <v>35</v>
      </c>
    </row>
    <row r="146" spans="1:11" s="290" customFormat="1" x14ac:dyDescent="0.3">
      <c r="A146" s="352"/>
      <c r="B146" s="363"/>
      <c r="C146" s="804" t="s">
        <v>1206</v>
      </c>
      <c r="D146" s="805"/>
      <c r="E146" s="805"/>
      <c r="F146" s="805"/>
      <c r="G146" s="805"/>
      <c r="H146" s="805"/>
      <c r="I146" s="805"/>
      <c r="J146" s="806"/>
      <c r="K146" s="364"/>
    </row>
    <row r="147" spans="1:11" s="290" customFormat="1" x14ac:dyDescent="0.3">
      <c r="B147" s="365" t="s">
        <v>1112</v>
      </c>
      <c r="C147" s="813" t="s">
        <v>1118</v>
      </c>
      <c r="D147" s="813"/>
      <c r="E147" s="813"/>
      <c r="F147" s="813"/>
      <c r="G147" s="813"/>
      <c r="H147" s="813"/>
      <c r="I147" s="813"/>
      <c r="J147" s="813"/>
      <c r="K147" s="366" t="s">
        <v>35</v>
      </c>
    </row>
    <row r="148" spans="1:11" s="290" customFormat="1" x14ac:dyDescent="0.3">
      <c r="B148" s="365" t="s">
        <v>1113</v>
      </c>
      <c r="C148" s="813" t="s">
        <v>1119</v>
      </c>
      <c r="D148" s="813"/>
      <c r="E148" s="813"/>
      <c r="F148" s="813"/>
      <c r="G148" s="813"/>
      <c r="H148" s="813"/>
      <c r="I148" s="813"/>
      <c r="J148" s="813"/>
      <c r="K148" s="366" t="s">
        <v>35</v>
      </c>
    </row>
    <row r="149" spans="1:11" s="290" customFormat="1" x14ac:dyDescent="0.3">
      <c r="B149" s="365" t="s">
        <v>1114</v>
      </c>
      <c r="C149" s="813" t="s">
        <v>1120</v>
      </c>
      <c r="D149" s="813"/>
      <c r="E149" s="813"/>
      <c r="F149" s="813"/>
      <c r="G149" s="813"/>
      <c r="H149" s="813"/>
      <c r="I149" s="813"/>
      <c r="J149" s="813"/>
      <c r="K149" s="366" t="s">
        <v>35</v>
      </c>
    </row>
    <row r="150" spans="1:11" s="290" customFormat="1" ht="27" customHeight="1" x14ac:dyDescent="0.3">
      <c r="B150" s="365" t="s">
        <v>1115</v>
      </c>
      <c r="C150" s="813" t="s">
        <v>1121</v>
      </c>
      <c r="D150" s="813"/>
      <c r="E150" s="813"/>
      <c r="F150" s="813"/>
      <c r="G150" s="813"/>
      <c r="H150" s="813"/>
      <c r="I150" s="813"/>
      <c r="J150" s="813"/>
      <c r="K150" s="366" t="s">
        <v>35</v>
      </c>
    </row>
    <row r="151" spans="1:11" s="290" customFormat="1" x14ac:dyDescent="0.3">
      <c r="B151" s="365" t="s">
        <v>1116</v>
      </c>
      <c r="C151" s="813" t="s">
        <v>1272</v>
      </c>
      <c r="D151" s="813"/>
      <c r="E151" s="813"/>
      <c r="F151" s="813"/>
      <c r="G151" s="813"/>
      <c r="H151" s="813"/>
      <c r="I151" s="813"/>
      <c r="J151" s="813"/>
      <c r="K151" s="366" t="s">
        <v>35</v>
      </c>
    </row>
    <row r="152" spans="1:11" s="290" customFormat="1" ht="13.8" thickBot="1" x14ac:dyDescent="0.35">
      <c r="B152" s="367" t="s">
        <v>1117</v>
      </c>
      <c r="C152" s="831" t="s">
        <v>1122</v>
      </c>
      <c r="D152" s="831"/>
      <c r="E152" s="831"/>
      <c r="F152" s="831"/>
      <c r="G152" s="831"/>
      <c r="H152" s="831"/>
      <c r="I152" s="831"/>
      <c r="J152" s="831"/>
      <c r="K152" s="368" t="s">
        <v>35</v>
      </c>
    </row>
    <row r="153" spans="1:11" s="290" customFormat="1" ht="13.8" thickBot="1" x14ac:dyDescent="0.35">
      <c r="B153" s="391"/>
      <c r="C153" s="915" t="s">
        <v>1123</v>
      </c>
      <c r="D153" s="916"/>
      <c r="E153" s="916"/>
      <c r="F153" s="916"/>
      <c r="G153" s="916"/>
      <c r="H153" s="916"/>
      <c r="I153" s="916"/>
      <c r="J153" s="917"/>
      <c r="K153" s="392" t="str">
        <f>IF(OR(K145="Yes",K147="Yes",K148="Yes",K149="Yes",K150="Yes",K151="Yes",K152="Yes"),"Yes","No")</f>
        <v>No</v>
      </c>
    </row>
    <row r="154" spans="1:11" ht="13.8" thickBot="1" x14ac:dyDescent="0.3">
      <c r="B154" s="924" t="s">
        <v>1061</v>
      </c>
      <c r="C154" s="924"/>
      <c r="D154" s="924"/>
      <c r="E154" s="924"/>
      <c r="F154" s="924"/>
      <c r="G154" s="924" t="s">
        <v>1062</v>
      </c>
      <c r="H154" s="924"/>
      <c r="I154" s="924"/>
      <c r="J154" s="924"/>
      <c r="K154" s="924"/>
    </row>
    <row r="155" spans="1:11" ht="27" thickBot="1" x14ac:dyDescent="0.3">
      <c r="B155" s="408" t="s">
        <v>306</v>
      </c>
      <c r="C155" s="394" t="s">
        <v>19</v>
      </c>
      <c r="D155" s="394" t="s">
        <v>326</v>
      </c>
      <c r="E155" s="394" t="s">
        <v>310</v>
      </c>
      <c r="F155" s="409" t="s">
        <v>552</v>
      </c>
      <c r="G155" s="501" t="s">
        <v>1063</v>
      </c>
      <c r="H155" s="502" t="s">
        <v>1064</v>
      </c>
      <c r="I155" s="503" t="s">
        <v>1065</v>
      </c>
      <c r="J155" s="503" t="s">
        <v>1066</v>
      </c>
      <c r="K155" s="504" t="s">
        <v>1067</v>
      </c>
    </row>
    <row r="156" spans="1:11" ht="15" thickBot="1" x14ac:dyDescent="0.3">
      <c r="B156" s="490" t="s">
        <v>619</v>
      </c>
      <c r="C156" s="491" t="s">
        <v>619</v>
      </c>
      <c r="D156" s="491" t="s">
        <v>619</v>
      </c>
      <c r="E156" s="491" t="s">
        <v>621</v>
      </c>
      <c r="F156" s="500" t="s">
        <v>619</v>
      </c>
      <c r="G156" s="490" t="s">
        <v>619</v>
      </c>
      <c r="H156" s="491" t="s">
        <v>621</v>
      </c>
      <c r="I156" s="491" t="s">
        <v>621</v>
      </c>
      <c r="J156" s="491" t="s">
        <v>621</v>
      </c>
      <c r="K156" s="492" t="s">
        <v>621</v>
      </c>
    </row>
    <row r="157" spans="1:11" ht="13.8" thickBot="1" x14ac:dyDescent="0.3">
      <c r="A157" s="390"/>
      <c r="B157" s="807" t="s">
        <v>1068</v>
      </c>
      <c r="C157" s="808"/>
      <c r="D157" s="808"/>
      <c r="E157" s="808"/>
      <c r="F157" s="808"/>
      <c r="G157" s="1125"/>
      <c r="H157" s="1125"/>
      <c r="I157" s="1125"/>
      <c r="J157" s="1125"/>
      <c r="K157" s="1126"/>
    </row>
    <row r="158" spans="1:11" ht="27" thickBot="1" x14ac:dyDescent="0.3">
      <c r="A158" s="390"/>
      <c r="B158" s="369" t="s">
        <v>1124</v>
      </c>
      <c r="C158" s="918" t="s">
        <v>31</v>
      </c>
      <c r="D158" s="918"/>
      <c r="E158" s="918"/>
      <c r="F158" s="918"/>
      <c r="G158" s="918"/>
      <c r="H158" s="918"/>
      <c r="I158" s="401" t="s">
        <v>1125</v>
      </c>
      <c r="J158" s="906" t="s">
        <v>1074</v>
      </c>
      <c r="K158" s="907"/>
    </row>
    <row r="159" spans="1:11" ht="13.8" thickBot="1" x14ac:dyDescent="0.3">
      <c r="A159" s="390"/>
      <c r="B159" s="363" t="s">
        <v>662</v>
      </c>
      <c r="C159" s="768" t="s">
        <v>663</v>
      </c>
      <c r="D159" s="768"/>
      <c r="E159" s="768"/>
      <c r="F159" s="768"/>
      <c r="G159" s="768"/>
      <c r="H159" s="768"/>
      <c r="I159" s="410" t="s">
        <v>37</v>
      </c>
      <c r="J159" s="910" t="s">
        <v>1797</v>
      </c>
      <c r="K159" s="911"/>
    </row>
    <row r="160" spans="1:11" ht="27" thickBot="1" x14ac:dyDescent="0.3">
      <c r="A160" s="390"/>
      <c r="B160" s="383" t="s">
        <v>1072</v>
      </c>
      <c r="C160" s="814" t="s">
        <v>1268</v>
      </c>
      <c r="D160" s="815"/>
      <c r="E160" s="383" t="s">
        <v>1070</v>
      </c>
      <c r="F160" s="402" t="s">
        <v>1134</v>
      </c>
      <c r="G160" s="816" t="s">
        <v>1131</v>
      </c>
      <c r="H160" s="817"/>
      <c r="I160" s="383" t="s">
        <v>1130</v>
      </c>
      <c r="J160" s="814" t="s">
        <v>1133</v>
      </c>
      <c r="K160" s="815"/>
    </row>
    <row r="161" spans="2:11" ht="13.8" thickBot="1" x14ac:dyDescent="0.3">
      <c r="B161" s="938" t="s">
        <v>1076</v>
      </c>
      <c r="C161" s="939"/>
      <c r="D161" s="939"/>
      <c r="E161" s="939"/>
      <c r="F161" s="939"/>
      <c r="G161" s="939"/>
      <c r="H161" s="939"/>
      <c r="I161" s="939"/>
      <c r="J161" s="939"/>
      <c r="K161" s="940"/>
    </row>
    <row r="162" spans="2:11" ht="13.5" customHeight="1" thickBot="1" x14ac:dyDescent="0.3">
      <c r="B162" s="360" t="s">
        <v>662</v>
      </c>
      <c r="C162" s="830" t="s">
        <v>1815</v>
      </c>
      <c r="D162" s="816"/>
      <c r="E162" s="816"/>
      <c r="F162" s="816"/>
      <c r="G162" s="816"/>
      <c r="H162" s="816"/>
      <c r="I162" s="816"/>
      <c r="J162" s="816"/>
      <c r="K162" s="817"/>
    </row>
    <row r="163" spans="2:11" ht="13.8" thickBot="1" x14ac:dyDescent="0.3">
      <c r="B163" s="912" t="s">
        <v>1077</v>
      </c>
      <c r="C163" s="913"/>
      <c r="D163" s="913"/>
      <c r="E163" s="913"/>
      <c r="F163" s="913"/>
      <c r="G163" s="913"/>
      <c r="H163" s="913"/>
      <c r="I163" s="913"/>
      <c r="J163" s="913"/>
      <c r="K163" s="914"/>
    </row>
    <row r="164" spans="2:11" x14ac:dyDescent="0.25">
      <c r="B164" s="487" t="s">
        <v>711</v>
      </c>
      <c r="C164" s="1122" t="s">
        <v>1446</v>
      </c>
      <c r="D164" s="1122"/>
      <c r="E164" s="1122"/>
      <c r="F164" s="1122"/>
      <c r="G164" s="1122"/>
      <c r="H164" s="1122"/>
      <c r="I164" s="1122"/>
      <c r="J164" s="1122"/>
      <c r="K164" s="1123"/>
    </row>
    <row r="165" spans="2:11" ht="27" customHeight="1" thickBot="1" x14ac:dyDescent="0.3">
      <c r="B165" s="507" t="s">
        <v>710</v>
      </c>
      <c r="C165" s="1098" t="s">
        <v>537</v>
      </c>
      <c r="D165" s="1098"/>
      <c r="E165" s="1098"/>
      <c r="F165" s="1098"/>
      <c r="G165" s="1098"/>
      <c r="H165" s="1098"/>
      <c r="I165" s="1098"/>
      <c r="J165" s="1098"/>
      <c r="K165" s="1099"/>
    </row>
  </sheetData>
  <autoFilter ref="A2:S165" xr:uid="{00000000-0009-0000-0000-000013000000}"/>
  <mergeCells count="161">
    <mergeCell ref="B157:K157"/>
    <mergeCell ref="C158:H158"/>
    <mergeCell ref="J158:K158"/>
    <mergeCell ref="B144:K144"/>
    <mergeCell ref="C145:J145"/>
    <mergeCell ref="C146:J146"/>
    <mergeCell ref="C147:J147"/>
    <mergeCell ref="B142:K142"/>
    <mergeCell ref="C143:K143"/>
    <mergeCell ref="B154:F154"/>
    <mergeCell ref="G154:K154"/>
    <mergeCell ref="C148:J148"/>
    <mergeCell ref="C149:J149"/>
    <mergeCell ref="C150:J150"/>
    <mergeCell ref="C151:J151"/>
    <mergeCell ref="C152:J152"/>
    <mergeCell ref="C153:J153"/>
    <mergeCell ref="B105:K105"/>
    <mergeCell ref="C106:H106"/>
    <mergeCell ref="J106:K106"/>
    <mergeCell ref="C107:H107"/>
    <mergeCell ref="J107:K107"/>
    <mergeCell ref="C108:D108"/>
    <mergeCell ref="G108:H108"/>
    <mergeCell ref="J108:K108"/>
    <mergeCell ref="B118:K118"/>
    <mergeCell ref="B109:K109"/>
    <mergeCell ref="C110:K110"/>
    <mergeCell ref="C43:J43"/>
    <mergeCell ref="C44:J44"/>
    <mergeCell ref="J79:K79"/>
    <mergeCell ref="C80:H80"/>
    <mergeCell ref="J80:K80"/>
    <mergeCell ref="C81:D81"/>
    <mergeCell ref="G81:H81"/>
    <mergeCell ref="J81:K81"/>
    <mergeCell ref="B52:K52"/>
    <mergeCell ref="C53:H53"/>
    <mergeCell ref="J53:K53"/>
    <mergeCell ref="C54:H54"/>
    <mergeCell ref="J54:K54"/>
    <mergeCell ref="C55:D55"/>
    <mergeCell ref="G55:H55"/>
    <mergeCell ref="J55:K55"/>
    <mergeCell ref="B56:K56"/>
    <mergeCell ref="C57:K57"/>
    <mergeCell ref="B58:K58"/>
    <mergeCell ref="C59:K59"/>
    <mergeCell ref="B63:K63"/>
    <mergeCell ref="C64:K64"/>
    <mergeCell ref="B75:F75"/>
    <mergeCell ref="G75:K75"/>
    <mergeCell ref="B5:D5"/>
    <mergeCell ref="B6:D6"/>
    <mergeCell ref="B7:D7"/>
    <mergeCell ref="B11:K11"/>
    <mergeCell ref="C12:K12"/>
    <mergeCell ref="B23:F23"/>
    <mergeCell ref="G23:K23"/>
    <mergeCell ref="B13:K13"/>
    <mergeCell ref="C14:J14"/>
    <mergeCell ref="C15:J15"/>
    <mergeCell ref="C16:J16"/>
    <mergeCell ref="C17:J17"/>
    <mergeCell ref="C18:J18"/>
    <mergeCell ref="C19:J19"/>
    <mergeCell ref="C20:J20"/>
    <mergeCell ref="C21:J21"/>
    <mergeCell ref="C22:J22"/>
    <mergeCell ref="B26:K26"/>
    <mergeCell ref="C27:H27"/>
    <mergeCell ref="J27:K27"/>
    <mergeCell ref="C28:H28"/>
    <mergeCell ref="J28:K28"/>
    <mergeCell ref="B30:K30"/>
    <mergeCell ref="C31:K31"/>
    <mergeCell ref="B49:F49"/>
    <mergeCell ref="G49:K49"/>
    <mergeCell ref="B32:K32"/>
    <mergeCell ref="C33:K33"/>
    <mergeCell ref="B37:K37"/>
    <mergeCell ref="C38:K38"/>
    <mergeCell ref="C45:J45"/>
    <mergeCell ref="C46:J46"/>
    <mergeCell ref="C47:J47"/>
    <mergeCell ref="C48:J48"/>
    <mergeCell ref="C29:D29"/>
    <mergeCell ref="G29:H29"/>
    <mergeCell ref="J29:K29"/>
    <mergeCell ref="B39:K39"/>
    <mergeCell ref="C40:J40"/>
    <mergeCell ref="C41:J41"/>
    <mergeCell ref="C42:J42"/>
    <mergeCell ref="B65:K65"/>
    <mergeCell ref="C66:J66"/>
    <mergeCell ref="C67:J67"/>
    <mergeCell ref="C68:J68"/>
    <mergeCell ref="C69:J69"/>
    <mergeCell ref="C70:J70"/>
    <mergeCell ref="C71:J71"/>
    <mergeCell ref="C72:J72"/>
    <mergeCell ref="C73:J73"/>
    <mergeCell ref="C74:J74"/>
    <mergeCell ref="B78:K78"/>
    <mergeCell ref="C79:H79"/>
    <mergeCell ref="C86:K86"/>
    <mergeCell ref="B90:K90"/>
    <mergeCell ref="C91:K91"/>
    <mergeCell ref="B102:F102"/>
    <mergeCell ref="G102:K102"/>
    <mergeCell ref="B82:K82"/>
    <mergeCell ref="C83:K83"/>
    <mergeCell ref="B84:K84"/>
    <mergeCell ref="C85:K85"/>
    <mergeCell ref="C95:J95"/>
    <mergeCell ref="C96:J96"/>
    <mergeCell ref="C97:J97"/>
    <mergeCell ref="C98:J98"/>
    <mergeCell ref="C99:J99"/>
    <mergeCell ref="C100:J100"/>
    <mergeCell ref="C101:J101"/>
    <mergeCell ref="B92:K92"/>
    <mergeCell ref="C93:J93"/>
    <mergeCell ref="C94:J94"/>
    <mergeCell ref="B128:F128"/>
    <mergeCell ref="G128:K128"/>
    <mergeCell ref="B111:K111"/>
    <mergeCell ref="C112:K112"/>
    <mergeCell ref="B116:K116"/>
    <mergeCell ref="C117:K117"/>
    <mergeCell ref="C119:J119"/>
    <mergeCell ref="C120:J120"/>
    <mergeCell ref="C121:J121"/>
    <mergeCell ref="C122:J122"/>
    <mergeCell ref="C123:J123"/>
    <mergeCell ref="C124:J124"/>
    <mergeCell ref="C125:J125"/>
    <mergeCell ref="C126:J126"/>
    <mergeCell ref="C127:J127"/>
    <mergeCell ref="B131:K131"/>
    <mergeCell ref="C132:H132"/>
    <mergeCell ref="J132:K132"/>
    <mergeCell ref="B135:K135"/>
    <mergeCell ref="C136:K136"/>
    <mergeCell ref="B137:K137"/>
    <mergeCell ref="C138:K138"/>
    <mergeCell ref="C133:H133"/>
    <mergeCell ref="J133:K133"/>
    <mergeCell ref="C134:D134"/>
    <mergeCell ref="G134:H134"/>
    <mergeCell ref="J134:K134"/>
    <mergeCell ref="C159:H159"/>
    <mergeCell ref="J159:K159"/>
    <mergeCell ref="C160:D160"/>
    <mergeCell ref="C165:K165"/>
    <mergeCell ref="B161:K161"/>
    <mergeCell ref="C162:K162"/>
    <mergeCell ref="B163:K163"/>
    <mergeCell ref="C164:K164"/>
    <mergeCell ref="G160:H160"/>
    <mergeCell ref="J160:K160"/>
  </mergeCells>
  <dataValidations count="1">
    <dataValidation type="list" allowBlank="1" showInputMessage="1" showErrorMessage="1" sqref="F29 F55 F81 F108 F134 F160 J29:K29 J55:K55 J81:K81 J108:K108 J134:K134 J160:K160" xr:uid="{00000000-0002-0000-1300-000000000000}">
      <formula1>#REF!</formula1>
    </dataValidation>
  </dataValidations>
  <pageMargins left="0.7" right="0.7" top="0.75" bottom="0.75" header="0.3" footer="0.3"/>
  <pageSetup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L96"/>
  <sheetViews>
    <sheetView topLeftCell="A33" workbookViewId="0">
      <selection activeCell="B33" sqref="B33:K33"/>
    </sheetView>
  </sheetViews>
  <sheetFormatPr defaultColWidth="9.109375" defaultRowHeight="13.2" x14ac:dyDescent="0.3"/>
  <cols>
    <col min="1" max="1" width="4.6640625" style="352" customWidth="1"/>
    <col min="2" max="2" width="15.6640625" style="290" customWidth="1"/>
    <col min="3" max="3" width="14.6640625" style="290" customWidth="1"/>
    <col min="4" max="4" width="16" style="290" customWidth="1"/>
    <col min="5" max="8" width="14.6640625" style="290" customWidth="1"/>
    <col min="9" max="9" width="18.5546875" style="290" customWidth="1"/>
    <col min="10" max="11" width="14.6640625" style="290" customWidth="1"/>
    <col min="12" max="16384" width="9.109375" style="290"/>
  </cols>
  <sheetData>
    <row r="2" spans="1:11" x14ac:dyDescent="0.3">
      <c r="B2" s="353" t="s">
        <v>1270</v>
      </c>
    </row>
    <row r="3" spans="1:11" x14ac:dyDescent="0.3">
      <c r="B3" s="353" t="s">
        <v>1392</v>
      </c>
    </row>
    <row r="4" spans="1:11" ht="13.8" thickBot="1" x14ac:dyDescent="0.35"/>
    <row r="5" spans="1:11" ht="13.8" thickBot="1" x14ac:dyDescent="0.35">
      <c r="B5" s="837" t="s">
        <v>23</v>
      </c>
      <c r="C5" s="838"/>
      <c r="D5" s="839"/>
      <c r="E5" s="354"/>
      <c r="F5" s="355" t="s">
        <v>291</v>
      </c>
    </row>
    <row r="6" spans="1:11" ht="13.8" thickBot="1" x14ac:dyDescent="0.35">
      <c r="B6" s="840" t="s">
        <v>860</v>
      </c>
      <c r="C6" s="841"/>
      <c r="D6" s="841"/>
      <c r="E6" s="356"/>
      <c r="F6" s="355" t="s">
        <v>615</v>
      </c>
    </row>
    <row r="7" spans="1:11" ht="13.8" thickBot="1" x14ac:dyDescent="0.35">
      <c r="B7" s="842" t="s">
        <v>1075</v>
      </c>
      <c r="C7" s="843"/>
      <c r="D7" s="844"/>
      <c r="E7" s="356"/>
      <c r="F7" s="357"/>
    </row>
    <row r="9" spans="1:11" x14ac:dyDescent="0.3">
      <c r="B9" s="353" t="s">
        <v>508</v>
      </c>
    </row>
    <row r="10" spans="1:11" ht="13.8" thickBot="1" x14ac:dyDescent="0.35">
      <c r="A10" s="358" t="s">
        <v>1097</v>
      </c>
      <c r="B10" s="359" t="s">
        <v>907</v>
      </c>
    </row>
    <row r="11" spans="1:11" ht="13.8" thickBot="1" x14ac:dyDescent="0.35">
      <c r="B11" s="807" t="s">
        <v>1060</v>
      </c>
      <c r="C11" s="808"/>
      <c r="D11" s="808"/>
      <c r="E11" s="808"/>
      <c r="F11" s="808"/>
      <c r="G11" s="808"/>
      <c r="H11" s="808"/>
      <c r="I11" s="808"/>
      <c r="J11" s="808"/>
      <c r="K11" s="809"/>
    </row>
    <row r="12" spans="1:11" ht="13.8" thickBot="1" x14ac:dyDescent="0.35">
      <c r="B12" s="360" t="s">
        <v>555</v>
      </c>
      <c r="C12" s="810" t="s">
        <v>292</v>
      </c>
      <c r="D12" s="810"/>
      <c r="E12" s="810"/>
      <c r="F12" s="810"/>
      <c r="G12" s="810"/>
      <c r="H12" s="810"/>
      <c r="I12" s="810"/>
      <c r="J12" s="810"/>
      <c r="K12" s="811"/>
    </row>
    <row r="13" spans="1:11" ht="13.8" thickBot="1" x14ac:dyDescent="0.35">
      <c r="A13" s="290"/>
      <c r="B13" s="807" t="s">
        <v>1109</v>
      </c>
      <c r="C13" s="808"/>
      <c r="D13" s="808"/>
      <c r="E13" s="808"/>
      <c r="F13" s="808"/>
      <c r="G13" s="808"/>
      <c r="H13" s="808"/>
      <c r="I13" s="808"/>
      <c r="J13" s="808"/>
      <c r="K13" s="809"/>
    </row>
    <row r="14" spans="1:11" x14ac:dyDescent="0.3">
      <c r="A14" s="290"/>
      <c r="B14" s="361" t="s">
        <v>1110</v>
      </c>
      <c r="C14" s="812" t="s">
        <v>1111</v>
      </c>
      <c r="D14" s="812"/>
      <c r="E14" s="812"/>
      <c r="F14" s="812"/>
      <c r="G14" s="812"/>
      <c r="H14" s="812"/>
      <c r="I14" s="812"/>
      <c r="J14" s="812"/>
      <c r="K14" s="362" t="s">
        <v>35</v>
      </c>
    </row>
    <row r="15" spans="1:11" x14ac:dyDescent="0.3">
      <c r="A15" s="290"/>
      <c r="B15" s="363"/>
      <c r="C15" s="804" t="s">
        <v>1206</v>
      </c>
      <c r="D15" s="805"/>
      <c r="E15" s="805"/>
      <c r="F15" s="805"/>
      <c r="G15" s="805"/>
      <c r="H15" s="805"/>
      <c r="I15" s="805"/>
      <c r="J15" s="806"/>
      <c r="K15" s="364"/>
    </row>
    <row r="16" spans="1:11" ht="31.5" customHeight="1" x14ac:dyDescent="0.3">
      <c r="A16" s="290"/>
      <c r="B16" s="365" t="s">
        <v>1112</v>
      </c>
      <c r="C16" s="813" t="s">
        <v>1118</v>
      </c>
      <c r="D16" s="813"/>
      <c r="E16" s="813"/>
      <c r="F16" s="813"/>
      <c r="G16" s="813"/>
      <c r="H16" s="813"/>
      <c r="I16" s="813"/>
      <c r="J16" s="813"/>
      <c r="K16" s="366" t="s">
        <v>35</v>
      </c>
    </row>
    <row r="17" spans="1:12" x14ac:dyDescent="0.3">
      <c r="A17" s="290"/>
      <c r="B17" s="365" t="s">
        <v>1113</v>
      </c>
      <c r="C17" s="813" t="s">
        <v>1119</v>
      </c>
      <c r="D17" s="813"/>
      <c r="E17" s="813"/>
      <c r="F17" s="813"/>
      <c r="G17" s="813"/>
      <c r="H17" s="813"/>
      <c r="I17" s="813"/>
      <c r="J17" s="813"/>
      <c r="K17" s="366" t="s">
        <v>35</v>
      </c>
    </row>
    <row r="18" spans="1:12" x14ac:dyDescent="0.3">
      <c r="A18" s="290"/>
      <c r="B18" s="365" t="s">
        <v>1114</v>
      </c>
      <c r="C18" s="813" t="s">
        <v>1120</v>
      </c>
      <c r="D18" s="813"/>
      <c r="E18" s="813"/>
      <c r="F18" s="813"/>
      <c r="G18" s="813"/>
      <c r="H18" s="813"/>
      <c r="I18" s="813"/>
      <c r="J18" s="813"/>
      <c r="K18" s="366" t="s">
        <v>35</v>
      </c>
    </row>
    <row r="19" spans="1:12" ht="31.5" customHeight="1" x14ac:dyDescent="0.3">
      <c r="A19" s="290"/>
      <c r="B19" s="365" t="s">
        <v>1115</v>
      </c>
      <c r="C19" s="813" t="s">
        <v>1121</v>
      </c>
      <c r="D19" s="813"/>
      <c r="E19" s="813"/>
      <c r="F19" s="813"/>
      <c r="G19" s="813"/>
      <c r="H19" s="813"/>
      <c r="I19" s="813"/>
      <c r="J19" s="813"/>
      <c r="K19" s="366" t="s">
        <v>35</v>
      </c>
    </row>
    <row r="20" spans="1:12" ht="31.5" customHeight="1" x14ac:dyDescent="0.3">
      <c r="A20" s="290"/>
      <c r="B20" s="365" t="s">
        <v>1116</v>
      </c>
      <c r="C20" s="813" t="s">
        <v>1272</v>
      </c>
      <c r="D20" s="813"/>
      <c r="E20" s="813"/>
      <c r="F20" s="813"/>
      <c r="G20" s="813"/>
      <c r="H20" s="813"/>
      <c r="I20" s="813"/>
      <c r="J20" s="813"/>
      <c r="K20" s="366" t="s">
        <v>35</v>
      </c>
    </row>
    <row r="21" spans="1:12" ht="13.8" thickBot="1" x14ac:dyDescent="0.35">
      <c r="A21" s="290"/>
      <c r="B21" s="367" t="s">
        <v>1117</v>
      </c>
      <c r="C21" s="831" t="s">
        <v>1122</v>
      </c>
      <c r="D21" s="831"/>
      <c r="E21" s="831"/>
      <c r="F21" s="831"/>
      <c r="G21" s="831"/>
      <c r="H21" s="831"/>
      <c r="I21" s="831"/>
      <c r="J21" s="831"/>
      <c r="K21" s="368" t="s">
        <v>35</v>
      </c>
    </row>
    <row r="22" spans="1:12" ht="31.5" customHeight="1" thickBot="1" x14ac:dyDescent="0.35">
      <c r="A22" s="290"/>
      <c r="B22" s="369"/>
      <c r="C22" s="866" t="s">
        <v>1123</v>
      </c>
      <c r="D22" s="866"/>
      <c r="E22" s="866"/>
      <c r="F22" s="866"/>
      <c r="G22" s="866"/>
      <c r="H22" s="866"/>
      <c r="I22" s="866"/>
      <c r="J22" s="866"/>
      <c r="K22" s="387" t="str">
        <f>IF(OR(K14="Yes",K16="Yes",K17="Yes",K18="Yes",K19="Yes",K20="Yes",K21="Yes"),"Yes","No")</f>
        <v>No</v>
      </c>
    </row>
    <row r="23" spans="1:12" ht="13.8" thickBot="1" x14ac:dyDescent="0.35">
      <c r="B23" s="834" t="s">
        <v>1061</v>
      </c>
      <c r="C23" s="834"/>
      <c r="D23" s="834"/>
      <c r="E23" s="834"/>
      <c r="F23" s="834"/>
      <c r="G23" s="834" t="s">
        <v>1062</v>
      </c>
      <c r="H23" s="834"/>
      <c r="I23" s="834"/>
      <c r="J23" s="834"/>
      <c r="K23" s="834"/>
    </row>
    <row r="24" spans="1:12" ht="27" thickBot="1" x14ac:dyDescent="0.35">
      <c r="B24" s="371" t="s">
        <v>26</v>
      </c>
      <c r="C24" s="372" t="s">
        <v>553</v>
      </c>
      <c r="D24" s="372" t="s">
        <v>19</v>
      </c>
      <c r="E24" s="372" t="s">
        <v>25</v>
      </c>
      <c r="F24" s="373" t="s">
        <v>554</v>
      </c>
      <c r="G24" s="374" t="s">
        <v>1063</v>
      </c>
      <c r="H24" s="372" t="s">
        <v>1064</v>
      </c>
      <c r="I24" s="375" t="s">
        <v>1065</v>
      </c>
      <c r="J24" s="375" t="s">
        <v>1066</v>
      </c>
      <c r="K24" s="376" t="s">
        <v>1067</v>
      </c>
    </row>
    <row r="25" spans="1:12" ht="13.8" thickBot="1" x14ac:dyDescent="0.35">
      <c r="B25" s="377" t="s">
        <v>619</v>
      </c>
      <c r="C25" s="378" t="s">
        <v>619</v>
      </c>
      <c r="D25" s="378" t="s">
        <v>621</v>
      </c>
      <c r="E25" s="378" t="s">
        <v>619</v>
      </c>
      <c r="F25" s="379" t="s">
        <v>621</v>
      </c>
      <c r="G25" s="380" t="s">
        <v>621</v>
      </c>
      <c r="H25" s="378" t="s">
        <v>621</v>
      </c>
      <c r="I25" s="378" t="s">
        <v>621</v>
      </c>
      <c r="J25" s="378" t="s">
        <v>621</v>
      </c>
      <c r="K25" s="379" t="s">
        <v>621</v>
      </c>
    </row>
    <row r="26" spans="1:12" ht="13.8" thickBot="1" x14ac:dyDescent="0.35">
      <c r="B26" s="807" t="s">
        <v>1068</v>
      </c>
      <c r="C26" s="808"/>
      <c r="D26" s="808"/>
      <c r="E26" s="808"/>
      <c r="F26" s="808"/>
      <c r="G26" s="808"/>
      <c r="H26" s="808"/>
      <c r="I26" s="808"/>
      <c r="J26" s="808"/>
      <c r="K26" s="809"/>
    </row>
    <row r="27" spans="1:12" ht="27" thickBot="1" x14ac:dyDescent="0.35">
      <c r="B27" s="369" t="s">
        <v>1124</v>
      </c>
      <c r="C27" s="827" t="s">
        <v>31</v>
      </c>
      <c r="D27" s="827"/>
      <c r="E27" s="827"/>
      <c r="F27" s="827"/>
      <c r="G27" s="827"/>
      <c r="H27" s="827"/>
      <c r="I27" s="381" t="s">
        <v>1125</v>
      </c>
      <c r="J27" s="828" t="s">
        <v>1074</v>
      </c>
      <c r="K27" s="829"/>
    </row>
    <row r="28" spans="1:12" ht="30.75" customHeight="1" thickBot="1" x14ac:dyDescent="0.35">
      <c r="B28" s="361" t="s">
        <v>637</v>
      </c>
      <c r="C28" s="1132" t="s">
        <v>636</v>
      </c>
      <c r="D28" s="1132"/>
      <c r="E28" s="1132"/>
      <c r="F28" s="1132"/>
      <c r="G28" s="1132"/>
      <c r="H28" s="1132"/>
      <c r="I28" s="385" t="s">
        <v>35</v>
      </c>
      <c r="J28" s="856" t="s">
        <v>863</v>
      </c>
      <c r="K28" s="857"/>
    </row>
    <row r="29" spans="1:12" ht="27" thickBot="1" x14ac:dyDescent="0.35">
      <c r="B29" s="383" t="s">
        <v>1072</v>
      </c>
      <c r="C29" s="814" t="s">
        <v>1273</v>
      </c>
      <c r="D29" s="815"/>
      <c r="E29" s="383" t="s">
        <v>1070</v>
      </c>
      <c r="F29" s="384" t="s">
        <v>1134</v>
      </c>
      <c r="G29" s="816" t="s">
        <v>1175</v>
      </c>
      <c r="H29" s="817"/>
      <c r="I29" s="383" t="s">
        <v>1130</v>
      </c>
      <c r="J29" s="814" t="s">
        <v>1133</v>
      </c>
      <c r="K29" s="815"/>
    </row>
    <row r="30" spans="1:12" ht="13.8" thickBot="1" x14ac:dyDescent="0.35">
      <c r="B30" s="824" t="s">
        <v>1076</v>
      </c>
      <c r="C30" s="825"/>
      <c r="D30" s="825"/>
      <c r="E30" s="825"/>
      <c r="F30" s="825"/>
      <c r="G30" s="825"/>
      <c r="H30" s="825"/>
      <c r="I30" s="825"/>
      <c r="J30" s="825"/>
      <c r="K30" s="826"/>
    </row>
    <row r="31" spans="1:12" x14ac:dyDescent="0.3">
      <c r="B31" s="388"/>
      <c r="C31" s="1136"/>
      <c r="D31" s="1137"/>
      <c r="E31" s="1137"/>
      <c r="F31" s="1137"/>
      <c r="G31" s="1137"/>
      <c r="H31" s="1137"/>
      <c r="I31" s="1137"/>
      <c r="J31" s="1137"/>
      <c r="K31" s="1138"/>
      <c r="L31" s="389" t="s">
        <v>1271</v>
      </c>
    </row>
    <row r="32" spans="1:12" ht="13.8" thickBot="1" x14ac:dyDescent="0.35">
      <c r="B32" s="367"/>
      <c r="C32" s="984"/>
      <c r="D32" s="985"/>
      <c r="E32" s="985"/>
      <c r="F32" s="985"/>
      <c r="G32" s="985"/>
      <c r="H32" s="985"/>
      <c r="I32" s="985"/>
      <c r="J32" s="985"/>
      <c r="K32" s="986"/>
      <c r="L32" s="389"/>
    </row>
    <row r="33" spans="1:11" ht="13.8" thickBot="1" x14ac:dyDescent="0.35">
      <c r="B33" s="824" t="s">
        <v>1077</v>
      </c>
      <c r="C33" s="825"/>
      <c r="D33" s="825"/>
      <c r="E33" s="825"/>
      <c r="F33" s="825"/>
      <c r="G33" s="825"/>
      <c r="H33" s="825"/>
      <c r="I33" s="825"/>
      <c r="J33" s="825"/>
      <c r="K33" s="826"/>
    </row>
    <row r="34" spans="1:11" ht="69.599999999999994" customHeight="1" thickBot="1" x14ac:dyDescent="0.35">
      <c r="B34" s="360" t="s">
        <v>690</v>
      </c>
      <c r="C34" s="830" t="s">
        <v>300</v>
      </c>
      <c r="D34" s="816"/>
      <c r="E34" s="816"/>
      <c r="F34" s="816"/>
      <c r="G34" s="816"/>
      <c r="H34" s="816"/>
      <c r="I34" s="816"/>
      <c r="J34" s="816"/>
      <c r="K34" s="817"/>
    </row>
    <row r="35" spans="1:11" ht="14.4" customHeight="1" thickBot="1" x14ac:dyDescent="0.35">
      <c r="B35" s="824" t="s">
        <v>1139</v>
      </c>
      <c r="C35" s="825"/>
      <c r="D35" s="825"/>
      <c r="E35" s="825"/>
      <c r="F35" s="825"/>
      <c r="G35" s="825"/>
      <c r="H35" s="825"/>
      <c r="I35" s="825"/>
      <c r="J35" s="825"/>
      <c r="K35" s="826"/>
    </row>
    <row r="36" spans="1:11" ht="13.8" thickBot="1" x14ac:dyDescent="0.35">
      <c r="B36" s="360" t="s">
        <v>863</v>
      </c>
      <c r="C36" s="835" t="s">
        <v>1140</v>
      </c>
      <c r="D36" s="835"/>
      <c r="E36" s="835"/>
      <c r="F36" s="835"/>
      <c r="G36" s="835"/>
      <c r="H36" s="835"/>
      <c r="I36" s="835"/>
      <c r="J36" s="835"/>
      <c r="K36" s="836"/>
    </row>
    <row r="37" spans="1:11" ht="13.8" thickBot="1" x14ac:dyDescent="0.35">
      <c r="B37" s="383" t="s">
        <v>1078</v>
      </c>
      <c r="C37" s="1116" t="s">
        <v>37</v>
      </c>
      <c r="D37" s="1117"/>
      <c r="E37" s="1117"/>
      <c r="F37" s="1117"/>
      <c r="G37" s="1117"/>
      <c r="H37" s="1117"/>
      <c r="I37" s="1117"/>
      <c r="J37" s="1117"/>
      <c r="K37" s="1118"/>
    </row>
    <row r="38" spans="1:11" ht="45.75" customHeight="1" thickBot="1" x14ac:dyDescent="0.35">
      <c r="B38" s="383" t="s">
        <v>1079</v>
      </c>
      <c r="C38" s="1133" t="s">
        <v>1081</v>
      </c>
      <c r="D38" s="1134"/>
      <c r="E38" s="1134"/>
      <c r="F38" s="1134"/>
      <c r="G38" s="1134"/>
      <c r="H38" s="1134"/>
      <c r="I38" s="1134"/>
      <c r="J38" s="1134"/>
      <c r="K38" s="1135"/>
    </row>
    <row r="41" spans="1:11" x14ac:dyDescent="0.25">
      <c r="A41" s="390" t="s">
        <v>1095</v>
      </c>
      <c r="B41" s="390" t="s">
        <v>522</v>
      </c>
      <c r="C41" s="289"/>
      <c r="D41" s="289"/>
      <c r="E41" s="289"/>
      <c r="F41" s="289"/>
      <c r="G41" s="289"/>
      <c r="H41" s="289"/>
      <c r="I41" s="289"/>
      <c r="J41" s="289"/>
      <c r="K41" s="289"/>
    </row>
    <row r="42" spans="1:11" ht="13.8" thickBot="1" x14ac:dyDescent="0.3">
      <c r="A42" s="289"/>
      <c r="B42" s="289"/>
      <c r="C42" s="289"/>
      <c r="D42" s="289"/>
      <c r="E42" s="289"/>
      <c r="F42" s="289"/>
      <c r="G42" s="289"/>
      <c r="H42" s="289"/>
      <c r="I42" s="289"/>
      <c r="J42" s="289"/>
      <c r="K42" s="289"/>
    </row>
    <row r="43" spans="1:11" ht="13.8" thickBot="1" x14ac:dyDescent="0.3">
      <c r="A43" s="289"/>
      <c r="B43" s="921" t="s">
        <v>1060</v>
      </c>
      <c r="C43" s="922"/>
      <c r="D43" s="922"/>
      <c r="E43" s="922"/>
      <c r="F43" s="922"/>
      <c r="G43" s="922"/>
      <c r="H43" s="922"/>
      <c r="I43" s="922"/>
      <c r="J43" s="922"/>
      <c r="K43" s="923"/>
    </row>
    <row r="44" spans="1:11" ht="15" customHeight="1" thickBot="1" x14ac:dyDescent="0.3">
      <c r="A44" s="289"/>
      <c r="B44" s="360" t="s">
        <v>578</v>
      </c>
      <c r="C44" s="810" t="s">
        <v>295</v>
      </c>
      <c r="D44" s="810"/>
      <c r="E44" s="810"/>
      <c r="F44" s="810"/>
      <c r="G44" s="810"/>
      <c r="H44" s="810"/>
      <c r="I44" s="810"/>
      <c r="J44" s="810"/>
      <c r="K44" s="811"/>
    </row>
    <row r="45" spans="1:11" ht="15" customHeight="1" thickBot="1" x14ac:dyDescent="0.35">
      <c r="B45" s="929" t="s">
        <v>1109</v>
      </c>
      <c r="C45" s="930"/>
      <c r="D45" s="930"/>
      <c r="E45" s="930"/>
      <c r="F45" s="930"/>
      <c r="G45" s="930"/>
      <c r="H45" s="930"/>
      <c r="I45" s="930"/>
      <c r="J45" s="930"/>
      <c r="K45" s="931"/>
    </row>
    <row r="46" spans="1:11" ht="15" customHeight="1" x14ac:dyDescent="0.3">
      <c r="B46" s="361" t="s">
        <v>1110</v>
      </c>
      <c r="C46" s="812" t="s">
        <v>1111</v>
      </c>
      <c r="D46" s="812"/>
      <c r="E46" s="812"/>
      <c r="F46" s="812"/>
      <c r="G46" s="812"/>
      <c r="H46" s="812"/>
      <c r="I46" s="812"/>
      <c r="J46" s="812"/>
      <c r="K46" s="362" t="s">
        <v>35</v>
      </c>
    </row>
    <row r="47" spans="1:11" ht="14.4" customHeight="1" x14ac:dyDescent="0.3">
      <c r="B47" s="363"/>
      <c r="C47" s="804" t="s">
        <v>1206</v>
      </c>
      <c r="D47" s="805"/>
      <c r="E47" s="805"/>
      <c r="F47" s="805"/>
      <c r="G47" s="805"/>
      <c r="H47" s="805"/>
      <c r="I47" s="805"/>
      <c r="J47" s="806"/>
      <c r="K47" s="364"/>
    </row>
    <row r="48" spans="1:11" ht="14.4" customHeight="1" x14ac:dyDescent="0.3">
      <c r="B48" s="365" t="s">
        <v>1112</v>
      </c>
      <c r="C48" s="813" t="s">
        <v>1118</v>
      </c>
      <c r="D48" s="813"/>
      <c r="E48" s="813"/>
      <c r="F48" s="813"/>
      <c r="G48" s="813"/>
      <c r="H48" s="813"/>
      <c r="I48" s="813"/>
      <c r="J48" s="813"/>
      <c r="K48" s="366" t="s">
        <v>35</v>
      </c>
    </row>
    <row r="49" spans="2:11" ht="14.4" customHeight="1" x14ac:dyDescent="0.3">
      <c r="B49" s="365" t="s">
        <v>1113</v>
      </c>
      <c r="C49" s="813" t="s">
        <v>1119</v>
      </c>
      <c r="D49" s="813"/>
      <c r="E49" s="813"/>
      <c r="F49" s="813"/>
      <c r="G49" s="813"/>
      <c r="H49" s="813"/>
      <c r="I49" s="813"/>
      <c r="J49" s="813"/>
      <c r="K49" s="366" t="s">
        <v>35</v>
      </c>
    </row>
    <row r="50" spans="2:11" ht="14.4" customHeight="1" x14ac:dyDescent="0.3">
      <c r="B50" s="365" t="s">
        <v>1114</v>
      </c>
      <c r="C50" s="813" t="s">
        <v>1120</v>
      </c>
      <c r="D50" s="813"/>
      <c r="E50" s="813"/>
      <c r="F50" s="813"/>
      <c r="G50" s="813"/>
      <c r="H50" s="813"/>
      <c r="I50" s="813"/>
      <c r="J50" s="813"/>
      <c r="K50" s="366" t="s">
        <v>35</v>
      </c>
    </row>
    <row r="51" spans="2:11" ht="14.4" customHeight="1" x14ac:dyDescent="0.3">
      <c r="B51" s="365" t="s">
        <v>1115</v>
      </c>
      <c r="C51" s="813" t="s">
        <v>1121</v>
      </c>
      <c r="D51" s="813"/>
      <c r="E51" s="813"/>
      <c r="F51" s="813"/>
      <c r="G51" s="813"/>
      <c r="H51" s="813"/>
      <c r="I51" s="813"/>
      <c r="J51" s="813"/>
      <c r="K51" s="366" t="s">
        <v>35</v>
      </c>
    </row>
    <row r="52" spans="2:11" ht="14.4" customHeight="1" x14ac:dyDescent="0.3">
      <c r="B52" s="365" t="s">
        <v>1116</v>
      </c>
      <c r="C52" s="813" t="s">
        <v>1272</v>
      </c>
      <c r="D52" s="813"/>
      <c r="E52" s="813"/>
      <c r="F52" s="813"/>
      <c r="G52" s="813"/>
      <c r="H52" s="813"/>
      <c r="I52" s="813"/>
      <c r="J52" s="813"/>
      <c r="K52" s="366" t="s">
        <v>35</v>
      </c>
    </row>
    <row r="53" spans="2:11" ht="14.4" customHeight="1" thickBot="1" x14ac:dyDescent="0.35">
      <c r="B53" s="367" t="s">
        <v>1117</v>
      </c>
      <c r="C53" s="831" t="s">
        <v>1122</v>
      </c>
      <c r="D53" s="831"/>
      <c r="E53" s="831"/>
      <c r="F53" s="831"/>
      <c r="G53" s="831"/>
      <c r="H53" s="831"/>
      <c r="I53" s="831"/>
      <c r="J53" s="831"/>
      <c r="K53" s="368" t="s">
        <v>35</v>
      </c>
    </row>
    <row r="54" spans="2:11" ht="15" customHeight="1" thickBot="1" x14ac:dyDescent="0.35">
      <c r="B54" s="391"/>
      <c r="C54" s="915" t="s">
        <v>1123</v>
      </c>
      <c r="D54" s="916"/>
      <c r="E54" s="916"/>
      <c r="F54" s="916"/>
      <c r="G54" s="916"/>
      <c r="H54" s="916"/>
      <c r="I54" s="916"/>
      <c r="J54" s="917"/>
      <c r="K54" s="392" t="str">
        <f>IF(OR(K46="Yes",K48="Yes",K49="Yes",K50="Yes",K51="Yes",K52="Yes",K53="Yes"),"Yes","No")</f>
        <v>No</v>
      </c>
    </row>
    <row r="55" spans="2:11" ht="15" customHeight="1" thickBot="1" x14ac:dyDescent="0.3">
      <c r="B55" s="924" t="s">
        <v>1061</v>
      </c>
      <c r="C55" s="924"/>
      <c r="D55" s="924"/>
      <c r="E55" s="924"/>
      <c r="F55" s="924"/>
      <c r="G55" s="924" t="s">
        <v>1062</v>
      </c>
      <c r="H55" s="924"/>
      <c r="I55" s="924"/>
      <c r="J55" s="924"/>
      <c r="K55" s="924"/>
    </row>
    <row r="56" spans="2:11" ht="27" thickBot="1" x14ac:dyDescent="0.35">
      <c r="B56" s="371" t="s">
        <v>26</v>
      </c>
      <c r="C56" s="372" t="s">
        <v>553</v>
      </c>
      <c r="D56" s="372" t="s">
        <v>19</v>
      </c>
      <c r="E56" s="372" t="s">
        <v>25</v>
      </c>
      <c r="F56" s="373" t="s">
        <v>554</v>
      </c>
      <c r="G56" s="393" t="s">
        <v>1063</v>
      </c>
      <c r="H56" s="394" t="s">
        <v>1064</v>
      </c>
      <c r="I56" s="395" t="s">
        <v>1065</v>
      </c>
      <c r="J56" s="395" t="s">
        <v>1066</v>
      </c>
      <c r="K56" s="396" t="s">
        <v>1067</v>
      </c>
    </row>
    <row r="57" spans="2:11" ht="13.8" thickBot="1" x14ac:dyDescent="0.3">
      <c r="B57" s="397" t="s">
        <v>619</v>
      </c>
      <c r="C57" s="398" t="s">
        <v>621</v>
      </c>
      <c r="D57" s="398" t="s">
        <v>621</v>
      </c>
      <c r="E57" s="398" t="s">
        <v>619</v>
      </c>
      <c r="F57" s="399" t="s">
        <v>619</v>
      </c>
      <c r="G57" s="400" t="s">
        <v>621</v>
      </c>
      <c r="H57" s="398" t="s">
        <v>621</v>
      </c>
      <c r="I57" s="398" t="s">
        <v>621</v>
      </c>
      <c r="J57" s="398" t="s">
        <v>621</v>
      </c>
      <c r="K57" s="399" t="s">
        <v>621</v>
      </c>
    </row>
    <row r="58" spans="2:11" ht="13.8" thickBot="1" x14ac:dyDescent="0.35">
      <c r="B58" s="807" t="s">
        <v>1068</v>
      </c>
      <c r="C58" s="808"/>
      <c r="D58" s="808"/>
      <c r="E58" s="808"/>
      <c r="F58" s="808"/>
      <c r="G58" s="808"/>
      <c r="H58" s="808"/>
      <c r="I58" s="808"/>
      <c r="J58" s="808"/>
      <c r="K58" s="809"/>
    </row>
    <row r="59" spans="2:11" ht="27" thickBot="1" x14ac:dyDescent="0.35">
      <c r="B59" s="369" t="s">
        <v>1124</v>
      </c>
      <c r="C59" s="918" t="s">
        <v>31</v>
      </c>
      <c r="D59" s="918"/>
      <c r="E59" s="918"/>
      <c r="F59" s="918"/>
      <c r="G59" s="918"/>
      <c r="H59" s="918"/>
      <c r="I59" s="401" t="s">
        <v>1125</v>
      </c>
      <c r="J59" s="906" t="s">
        <v>1074</v>
      </c>
      <c r="K59" s="907"/>
    </row>
    <row r="60" spans="2:11" ht="28.2" customHeight="1" thickBot="1" x14ac:dyDescent="0.35">
      <c r="B60" s="361" t="s">
        <v>637</v>
      </c>
      <c r="C60" s="1132" t="s">
        <v>636</v>
      </c>
      <c r="D60" s="1132"/>
      <c r="E60" s="1132"/>
      <c r="F60" s="1132"/>
      <c r="G60" s="1132"/>
      <c r="H60" s="1132"/>
      <c r="I60" s="385" t="s">
        <v>35</v>
      </c>
      <c r="J60" s="856" t="s">
        <v>863</v>
      </c>
      <c r="K60" s="857"/>
    </row>
    <row r="61" spans="2:11" ht="37.200000000000003" customHeight="1" thickBot="1" x14ac:dyDescent="0.35">
      <c r="B61" s="383" t="s">
        <v>1072</v>
      </c>
      <c r="C61" s="814" t="s">
        <v>1274</v>
      </c>
      <c r="D61" s="815"/>
      <c r="E61" s="383" t="s">
        <v>1070</v>
      </c>
      <c r="F61" s="402" t="s">
        <v>1134</v>
      </c>
      <c r="G61" s="816" t="s">
        <v>1131</v>
      </c>
      <c r="H61" s="817"/>
      <c r="I61" s="383" t="s">
        <v>1130</v>
      </c>
      <c r="J61" s="814" t="s">
        <v>1133</v>
      </c>
      <c r="K61" s="815"/>
    </row>
    <row r="62" spans="2:11" ht="28.2" customHeight="1" thickBot="1" x14ac:dyDescent="0.3">
      <c r="B62" s="938" t="s">
        <v>1076</v>
      </c>
      <c r="C62" s="939"/>
      <c r="D62" s="939"/>
      <c r="E62" s="939"/>
      <c r="F62" s="939"/>
      <c r="G62" s="939"/>
      <c r="H62" s="939"/>
      <c r="I62" s="939"/>
      <c r="J62" s="939"/>
      <c r="K62" s="940"/>
    </row>
    <row r="63" spans="2:11" ht="13.8" thickBot="1" x14ac:dyDescent="0.35">
      <c r="B63" s="360"/>
      <c r="C63" s="830"/>
      <c r="D63" s="816"/>
      <c r="E63" s="816"/>
      <c r="F63" s="816"/>
      <c r="G63" s="816"/>
      <c r="H63" s="816"/>
      <c r="I63" s="816"/>
      <c r="J63" s="816"/>
      <c r="K63" s="817"/>
    </row>
    <row r="64" spans="2:11" ht="15" customHeight="1" thickBot="1" x14ac:dyDescent="0.3">
      <c r="B64" s="938" t="s">
        <v>1077</v>
      </c>
      <c r="C64" s="939"/>
      <c r="D64" s="939"/>
      <c r="E64" s="939"/>
      <c r="F64" s="939"/>
      <c r="G64" s="939"/>
      <c r="H64" s="939"/>
      <c r="I64" s="939"/>
      <c r="J64" s="939"/>
      <c r="K64" s="940"/>
    </row>
    <row r="65" spans="2:11" ht="57.6" customHeight="1" thickBot="1" x14ac:dyDescent="0.3">
      <c r="B65" s="403" t="s">
        <v>691</v>
      </c>
      <c r="C65" s="1109" t="s">
        <v>301</v>
      </c>
      <c r="D65" s="1110"/>
      <c r="E65" s="1110"/>
      <c r="F65" s="1110"/>
      <c r="G65" s="1110"/>
      <c r="H65" s="1110"/>
      <c r="I65" s="1110"/>
      <c r="J65" s="1110"/>
      <c r="K65" s="1111"/>
    </row>
    <row r="66" spans="2:11" ht="33.6" customHeight="1" thickBot="1" x14ac:dyDescent="0.3">
      <c r="B66" s="403" t="s">
        <v>692</v>
      </c>
      <c r="C66" s="1109" t="s">
        <v>302</v>
      </c>
      <c r="D66" s="1110"/>
      <c r="E66" s="1110"/>
      <c r="F66" s="1110"/>
      <c r="G66" s="1110"/>
      <c r="H66" s="1110"/>
      <c r="I66" s="1110"/>
      <c r="J66" s="1110"/>
      <c r="K66" s="1111"/>
    </row>
    <row r="67" spans="2:11" ht="15" customHeight="1" thickBot="1" x14ac:dyDescent="0.35">
      <c r="B67" s="383" t="s">
        <v>1078</v>
      </c>
      <c r="C67" s="1116" t="s">
        <v>37</v>
      </c>
      <c r="D67" s="1117"/>
      <c r="E67" s="1117"/>
      <c r="F67" s="1117"/>
      <c r="G67" s="1117"/>
      <c r="H67" s="1117"/>
      <c r="I67" s="1117"/>
      <c r="J67" s="1117"/>
      <c r="K67" s="1118"/>
    </row>
    <row r="68" spans="2:11" ht="27" thickBot="1" x14ac:dyDescent="0.3">
      <c r="B68" s="404" t="s">
        <v>1079</v>
      </c>
      <c r="C68" s="1119" t="s">
        <v>1081</v>
      </c>
      <c r="D68" s="1120"/>
      <c r="E68" s="1120"/>
      <c r="F68" s="1120"/>
      <c r="G68" s="1120"/>
      <c r="H68" s="1120"/>
      <c r="I68" s="1120"/>
      <c r="J68" s="1120"/>
      <c r="K68" s="1121"/>
    </row>
    <row r="70" spans="2:11" ht="13.8" thickBot="1" x14ac:dyDescent="0.35"/>
    <row r="71" spans="2:11" ht="13.8" thickBot="1" x14ac:dyDescent="0.3">
      <c r="B71" s="921" t="s">
        <v>1060</v>
      </c>
      <c r="C71" s="922"/>
      <c r="D71" s="922"/>
      <c r="E71" s="922"/>
      <c r="F71" s="922"/>
      <c r="G71" s="922"/>
      <c r="H71" s="922"/>
      <c r="I71" s="922"/>
      <c r="J71" s="922"/>
      <c r="K71" s="923"/>
    </row>
    <row r="72" spans="2:11" ht="13.8" thickBot="1" x14ac:dyDescent="0.35">
      <c r="B72" s="360" t="s">
        <v>579</v>
      </c>
      <c r="C72" s="810" t="s">
        <v>298</v>
      </c>
      <c r="D72" s="810"/>
      <c r="E72" s="810"/>
      <c r="F72" s="810"/>
      <c r="G72" s="810"/>
      <c r="H72" s="810"/>
      <c r="I72" s="810"/>
      <c r="J72" s="810"/>
      <c r="K72" s="811"/>
    </row>
    <row r="73" spans="2:11" ht="13.8" thickBot="1" x14ac:dyDescent="0.35">
      <c r="B73" s="929" t="s">
        <v>1109</v>
      </c>
      <c r="C73" s="930"/>
      <c r="D73" s="930"/>
      <c r="E73" s="930"/>
      <c r="F73" s="930"/>
      <c r="G73" s="930"/>
      <c r="H73" s="930"/>
      <c r="I73" s="930"/>
      <c r="J73" s="930"/>
      <c r="K73" s="931"/>
    </row>
    <row r="74" spans="2:11" x14ac:dyDescent="0.3">
      <c r="B74" s="361" t="s">
        <v>1110</v>
      </c>
      <c r="C74" s="812" t="s">
        <v>1111</v>
      </c>
      <c r="D74" s="812"/>
      <c r="E74" s="812"/>
      <c r="F74" s="812"/>
      <c r="G74" s="812"/>
      <c r="H74" s="812"/>
      <c r="I74" s="812"/>
      <c r="J74" s="812"/>
      <c r="K74" s="362" t="s">
        <v>35</v>
      </c>
    </row>
    <row r="75" spans="2:11" x14ac:dyDescent="0.3">
      <c r="B75" s="363"/>
      <c r="C75" s="804" t="s">
        <v>1206</v>
      </c>
      <c r="D75" s="805"/>
      <c r="E75" s="805"/>
      <c r="F75" s="805"/>
      <c r="G75" s="805"/>
      <c r="H75" s="805"/>
      <c r="I75" s="805"/>
      <c r="J75" s="806"/>
      <c r="K75" s="364"/>
    </row>
    <row r="76" spans="2:11" x14ac:dyDescent="0.3">
      <c r="B76" s="365" t="s">
        <v>1112</v>
      </c>
      <c r="C76" s="813" t="s">
        <v>1118</v>
      </c>
      <c r="D76" s="813"/>
      <c r="E76" s="813"/>
      <c r="F76" s="813"/>
      <c r="G76" s="813"/>
      <c r="H76" s="813"/>
      <c r="I76" s="813"/>
      <c r="J76" s="813"/>
      <c r="K76" s="366" t="s">
        <v>35</v>
      </c>
    </row>
    <row r="77" spans="2:11" x14ac:dyDescent="0.3">
      <c r="B77" s="365" t="s">
        <v>1113</v>
      </c>
      <c r="C77" s="813" t="s">
        <v>1119</v>
      </c>
      <c r="D77" s="813"/>
      <c r="E77" s="813"/>
      <c r="F77" s="813"/>
      <c r="G77" s="813"/>
      <c r="H77" s="813"/>
      <c r="I77" s="813"/>
      <c r="J77" s="813"/>
      <c r="K77" s="366" t="s">
        <v>35</v>
      </c>
    </row>
    <row r="78" spans="2:11" x14ac:dyDescent="0.3">
      <c r="B78" s="365" t="s">
        <v>1114</v>
      </c>
      <c r="C78" s="813" t="s">
        <v>1120</v>
      </c>
      <c r="D78" s="813"/>
      <c r="E78" s="813"/>
      <c r="F78" s="813"/>
      <c r="G78" s="813"/>
      <c r="H78" s="813"/>
      <c r="I78" s="813"/>
      <c r="J78" s="813"/>
      <c r="K78" s="366" t="s">
        <v>35</v>
      </c>
    </row>
    <row r="79" spans="2:11" x14ac:dyDescent="0.3">
      <c r="B79" s="365" t="s">
        <v>1115</v>
      </c>
      <c r="C79" s="813" t="s">
        <v>1121</v>
      </c>
      <c r="D79" s="813"/>
      <c r="E79" s="813"/>
      <c r="F79" s="813"/>
      <c r="G79" s="813"/>
      <c r="H79" s="813"/>
      <c r="I79" s="813"/>
      <c r="J79" s="813"/>
      <c r="K79" s="366" t="s">
        <v>35</v>
      </c>
    </row>
    <row r="80" spans="2:11" x14ac:dyDescent="0.3">
      <c r="B80" s="365" t="s">
        <v>1116</v>
      </c>
      <c r="C80" s="813" t="s">
        <v>1272</v>
      </c>
      <c r="D80" s="813"/>
      <c r="E80" s="813"/>
      <c r="F80" s="813"/>
      <c r="G80" s="813"/>
      <c r="H80" s="813"/>
      <c r="I80" s="813"/>
      <c r="J80" s="813"/>
      <c r="K80" s="366" t="s">
        <v>35</v>
      </c>
    </row>
    <row r="81" spans="2:11" ht="13.8" thickBot="1" x14ac:dyDescent="0.35">
      <c r="B81" s="367" t="s">
        <v>1117</v>
      </c>
      <c r="C81" s="831" t="s">
        <v>1122</v>
      </c>
      <c r="D81" s="831"/>
      <c r="E81" s="831"/>
      <c r="F81" s="831"/>
      <c r="G81" s="831"/>
      <c r="H81" s="831"/>
      <c r="I81" s="831"/>
      <c r="J81" s="831"/>
      <c r="K81" s="368" t="s">
        <v>35</v>
      </c>
    </row>
    <row r="82" spans="2:11" ht="13.8" thickBot="1" x14ac:dyDescent="0.35">
      <c r="B82" s="391"/>
      <c r="C82" s="915" t="s">
        <v>1123</v>
      </c>
      <c r="D82" s="916"/>
      <c r="E82" s="916"/>
      <c r="F82" s="916"/>
      <c r="G82" s="916"/>
      <c r="H82" s="916"/>
      <c r="I82" s="916"/>
      <c r="J82" s="917"/>
      <c r="K82" s="392" t="str">
        <f>IF(OR(K74="Yes",K76="Yes",K77="Yes",K78="Yes",K79="Yes",K80="Yes",K81="Yes"),"Yes","No")</f>
        <v>No</v>
      </c>
    </row>
    <row r="83" spans="2:11" ht="13.8" thickBot="1" x14ac:dyDescent="0.3">
      <c r="B83" s="924" t="s">
        <v>1061</v>
      </c>
      <c r="C83" s="924"/>
      <c r="D83" s="924"/>
      <c r="E83" s="924"/>
      <c r="F83" s="924"/>
      <c r="G83" s="924" t="s">
        <v>1062</v>
      </c>
      <c r="H83" s="924"/>
      <c r="I83" s="924"/>
      <c r="J83" s="924"/>
      <c r="K83" s="924"/>
    </row>
    <row r="84" spans="2:11" ht="27" thickBot="1" x14ac:dyDescent="0.35">
      <c r="B84" s="371" t="s">
        <v>26</v>
      </c>
      <c r="C84" s="372" t="s">
        <v>553</v>
      </c>
      <c r="D84" s="372" t="s">
        <v>19</v>
      </c>
      <c r="E84" s="372" t="s">
        <v>25</v>
      </c>
      <c r="F84" s="373" t="s">
        <v>554</v>
      </c>
      <c r="G84" s="393" t="s">
        <v>1063</v>
      </c>
      <c r="H84" s="394" t="s">
        <v>1064</v>
      </c>
      <c r="I84" s="395" t="s">
        <v>1065</v>
      </c>
      <c r="J84" s="395" t="s">
        <v>1066</v>
      </c>
      <c r="K84" s="396" t="s">
        <v>1067</v>
      </c>
    </row>
    <row r="85" spans="2:11" ht="13.8" thickBot="1" x14ac:dyDescent="0.3">
      <c r="B85" s="397" t="s">
        <v>621</v>
      </c>
      <c r="C85" s="398" t="s">
        <v>621</v>
      </c>
      <c r="D85" s="398" t="s">
        <v>621</v>
      </c>
      <c r="E85" s="398" t="s">
        <v>619</v>
      </c>
      <c r="F85" s="399" t="s">
        <v>619</v>
      </c>
      <c r="G85" s="400" t="s">
        <v>621</v>
      </c>
      <c r="H85" s="398" t="s">
        <v>621</v>
      </c>
      <c r="I85" s="398" t="s">
        <v>621</v>
      </c>
      <c r="J85" s="398" t="s">
        <v>621</v>
      </c>
      <c r="K85" s="399" t="s">
        <v>621</v>
      </c>
    </row>
    <row r="86" spans="2:11" ht="13.8" thickBot="1" x14ac:dyDescent="0.35">
      <c r="B86" s="807" t="s">
        <v>1068</v>
      </c>
      <c r="C86" s="808"/>
      <c r="D86" s="808"/>
      <c r="E86" s="808"/>
      <c r="F86" s="808"/>
      <c r="G86" s="808"/>
      <c r="H86" s="808"/>
      <c r="I86" s="808"/>
      <c r="J86" s="808"/>
      <c r="K86" s="809"/>
    </row>
    <row r="87" spans="2:11" ht="27" thickBot="1" x14ac:dyDescent="0.35">
      <c r="B87" s="369" t="s">
        <v>1124</v>
      </c>
      <c r="C87" s="918" t="s">
        <v>31</v>
      </c>
      <c r="D87" s="918"/>
      <c r="E87" s="918"/>
      <c r="F87" s="918"/>
      <c r="G87" s="918"/>
      <c r="H87" s="918"/>
      <c r="I87" s="401" t="s">
        <v>1125</v>
      </c>
      <c r="J87" s="906" t="s">
        <v>1074</v>
      </c>
      <c r="K87" s="907"/>
    </row>
    <row r="88" spans="2:11" ht="30.6" customHeight="1" thickBot="1" x14ac:dyDescent="0.35">
      <c r="B88" s="361" t="s">
        <v>637</v>
      </c>
      <c r="C88" s="1132" t="s">
        <v>636</v>
      </c>
      <c r="D88" s="1132"/>
      <c r="E88" s="1132"/>
      <c r="F88" s="1132"/>
      <c r="G88" s="1132"/>
      <c r="H88" s="1132"/>
      <c r="I88" s="385" t="s">
        <v>35</v>
      </c>
      <c r="J88" s="856" t="s">
        <v>863</v>
      </c>
      <c r="K88" s="857"/>
    </row>
    <row r="89" spans="2:11" ht="27" thickBot="1" x14ac:dyDescent="0.35">
      <c r="B89" s="383" t="s">
        <v>1072</v>
      </c>
      <c r="C89" s="814" t="s">
        <v>1274</v>
      </c>
      <c r="D89" s="815"/>
      <c r="E89" s="383" t="s">
        <v>1070</v>
      </c>
      <c r="F89" s="402" t="s">
        <v>1134</v>
      </c>
      <c r="G89" s="816" t="s">
        <v>1131</v>
      </c>
      <c r="H89" s="817"/>
      <c r="I89" s="383" t="s">
        <v>1130</v>
      </c>
      <c r="J89" s="814" t="s">
        <v>1133</v>
      </c>
      <c r="K89" s="815"/>
    </row>
    <row r="90" spans="2:11" ht="13.8" thickBot="1" x14ac:dyDescent="0.3">
      <c r="B90" s="938" t="s">
        <v>1076</v>
      </c>
      <c r="C90" s="939"/>
      <c r="D90" s="939"/>
      <c r="E90" s="939"/>
      <c r="F90" s="939"/>
      <c r="G90" s="939"/>
      <c r="H90" s="939"/>
      <c r="I90" s="939"/>
      <c r="J90" s="939"/>
      <c r="K90" s="940"/>
    </row>
    <row r="91" spans="2:11" ht="15" customHeight="1" thickBot="1" x14ac:dyDescent="0.35">
      <c r="B91" s="360"/>
      <c r="C91" s="830"/>
      <c r="D91" s="816"/>
      <c r="E91" s="816"/>
      <c r="F91" s="816"/>
      <c r="G91" s="816"/>
      <c r="H91" s="816"/>
      <c r="I91" s="816"/>
      <c r="J91" s="816"/>
      <c r="K91" s="817"/>
    </row>
    <row r="92" spans="2:11" ht="13.8" thickBot="1" x14ac:dyDescent="0.3">
      <c r="B92" s="938" t="s">
        <v>1077</v>
      </c>
      <c r="C92" s="939"/>
      <c r="D92" s="939"/>
      <c r="E92" s="939"/>
      <c r="F92" s="939"/>
      <c r="G92" s="939"/>
      <c r="H92" s="939"/>
      <c r="I92" s="939"/>
      <c r="J92" s="939"/>
      <c r="K92" s="940"/>
    </row>
    <row r="93" spans="2:11" ht="58.2" customHeight="1" thickBot="1" x14ac:dyDescent="0.3">
      <c r="B93" s="403" t="s">
        <v>691</v>
      </c>
      <c r="C93" s="1109" t="s">
        <v>301</v>
      </c>
      <c r="D93" s="1110"/>
      <c r="E93" s="1110"/>
      <c r="F93" s="1110"/>
      <c r="G93" s="1110"/>
      <c r="H93" s="1110"/>
      <c r="I93" s="1110"/>
      <c r="J93" s="1110"/>
      <c r="K93" s="1111"/>
    </row>
    <row r="94" spans="2:11" ht="33.6" customHeight="1" thickBot="1" x14ac:dyDescent="0.3">
      <c r="B94" s="403" t="s">
        <v>692</v>
      </c>
      <c r="C94" s="1109" t="s">
        <v>302</v>
      </c>
      <c r="D94" s="1110"/>
      <c r="E94" s="1110"/>
      <c r="F94" s="1110"/>
      <c r="G94" s="1110"/>
      <c r="H94" s="1110"/>
      <c r="I94" s="1110"/>
      <c r="J94" s="1110"/>
      <c r="K94" s="1111"/>
    </row>
    <row r="95" spans="2:11" ht="13.8" thickBot="1" x14ac:dyDescent="0.35">
      <c r="B95" s="383" t="s">
        <v>1078</v>
      </c>
      <c r="C95" s="1116" t="s">
        <v>37</v>
      </c>
      <c r="D95" s="1117"/>
      <c r="E95" s="1117"/>
      <c r="F95" s="1117"/>
      <c r="G95" s="1117"/>
      <c r="H95" s="1117"/>
      <c r="I95" s="1117"/>
      <c r="J95" s="1117"/>
      <c r="K95" s="1118"/>
    </row>
    <row r="96" spans="2:11" ht="27" thickBot="1" x14ac:dyDescent="0.3">
      <c r="B96" s="404" t="s">
        <v>1079</v>
      </c>
      <c r="C96" s="1119" t="s">
        <v>1081</v>
      </c>
      <c r="D96" s="1120"/>
      <c r="E96" s="1120"/>
      <c r="F96" s="1120"/>
      <c r="G96" s="1120"/>
      <c r="H96" s="1120"/>
      <c r="I96" s="1120"/>
      <c r="J96" s="1120"/>
      <c r="K96" s="1121"/>
    </row>
  </sheetData>
  <autoFilter ref="A1:O40" xr:uid="{00000000-0009-0000-0000-000014000000}"/>
  <mergeCells count="91">
    <mergeCell ref="C19:J19"/>
    <mergeCell ref="B5:D5"/>
    <mergeCell ref="B6:D6"/>
    <mergeCell ref="B7:D7"/>
    <mergeCell ref="B11:K11"/>
    <mergeCell ref="C12:K12"/>
    <mergeCell ref="B13:K13"/>
    <mergeCell ref="C14:J14"/>
    <mergeCell ref="C15:J15"/>
    <mergeCell ref="C16:J16"/>
    <mergeCell ref="C17:J17"/>
    <mergeCell ref="C18:J18"/>
    <mergeCell ref="C27:H27"/>
    <mergeCell ref="J27:K27"/>
    <mergeCell ref="C28:H28"/>
    <mergeCell ref="J28:K28"/>
    <mergeCell ref="C20:J20"/>
    <mergeCell ref="C21:J21"/>
    <mergeCell ref="C22:J22"/>
    <mergeCell ref="B23:F23"/>
    <mergeCell ref="G23:K23"/>
    <mergeCell ref="B26:K26"/>
    <mergeCell ref="C31:K32"/>
    <mergeCell ref="B33:K33"/>
    <mergeCell ref="C34:K34"/>
    <mergeCell ref="C29:D29"/>
    <mergeCell ref="G29:H29"/>
    <mergeCell ref="J29:K29"/>
    <mergeCell ref="B30:K30"/>
    <mergeCell ref="B43:K43"/>
    <mergeCell ref="C46:J46"/>
    <mergeCell ref="C47:J47"/>
    <mergeCell ref="C44:K44"/>
    <mergeCell ref="B35:K35"/>
    <mergeCell ref="C36:K36"/>
    <mergeCell ref="C37:K37"/>
    <mergeCell ref="C38:K38"/>
    <mergeCell ref="B45:K45"/>
    <mergeCell ref="C67:K67"/>
    <mergeCell ref="J60:K60"/>
    <mergeCell ref="J61:K61"/>
    <mergeCell ref="C59:H59"/>
    <mergeCell ref="J59:K59"/>
    <mergeCell ref="B62:K62"/>
    <mergeCell ref="C63:K63"/>
    <mergeCell ref="B64:K64"/>
    <mergeCell ref="C66:K66"/>
    <mergeCell ref="C65:K65"/>
    <mergeCell ref="B86:K86"/>
    <mergeCell ref="C87:H87"/>
    <mergeCell ref="J87:K87"/>
    <mergeCell ref="C88:H88"/>
    <mergeCell ref="C78:J78"/>
    <mergeCell ref="C79:J79"/>
    <mergeCell ref="C80:J80"/>
    <mergeCell ref="C81:J81"/>
    <mergeCell ref="J88:K88"/>
    <mergeCell ref="C96:K96"/>
    <mergeCell ref="C93:K93"/>
    <mergeCell ref="C94:K94"/>
    <mergeCell ref="C95:K95"/>
    <mergeCell ref="J89:K89"/>
    <mergeCell ref="B92:K92"/>
    <mergeCell ref="C89:D89"/>
    <mergeCell ref="G89:H89"/>
    <mergeCell ref="B90:K90"/>
    <mergeCell ref="C91:K91"/>
    <mergeCell ref="G55:K55"/>
    <mergeCell ref="B58:K58"/>
    <mergeCell ref="C61:D61"/>
    <mergeCell ref="G61:H61"/>
    <mergeCell ref="C48:J48"/>
    <mergeCell ref="C49:J49"/>
    <mergeCell ref="C50:J50"/>
    <mergeCell ref="C51:J51"/>
    <mergeCell ref="C52:J52"/>
    <mergeCell ref="C53:J53"/>
    <mergeCell ref="C54:J54"/>
    <mergeCell ref="C60:H60"/>
    <mergeCell ref="B55:F55"/>
    <mergeCell ref="B71:K71"/>
    <mergeCell ref="C72:K72"/>
    <mergeCell ref="C68:K68"/>
    <mergeCell ref="C82:J82"/>
    <mergeCell ref="B83:F83"/>
    <mergeCell ref="G83:K83"/>
    <mergeCell ref="B73:K73"/>
    <mergeCell ref="C76:J76"/>
    <mergeCell ref="C77:J77"/>
    <mergeCell ref="C74:J74"/>
    <mergeCell ref="C75:J75"/>
  </mergeCells>
  <dataValidations count="1">
    <dataValidation type="list" allowBlank="1" showInputMessage="1" showErrorMessage="1" sqref="J29:K29 J61:K61 J89:K89 F29 F61 F89 C37:K37 C67:K67 C95:K95" xr:uid="{00000000-0002-0000-1400-000000000000}">
      <formula1>#REF!</formula1>
    </dataValidation>
  </dataValidation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dimension ref="B1:H17"/>
  <sheetViews>
    <sheetView topLeftCell="A4" workbookViewId="0">
      <selection activeCell="I17" sqref="I17"/>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7.33203125" style="1" customWidth="1"/>
    <col min="7" max="7" width="15.88671875" style="1" customWidth="1"/>
    <col min="8" max="8" width="26.5546875" style="1" customWidth="1"/>
    <col min="9" max="16384" width="9.109375" style="1"/>
  </cols>
  <sheetData>
    <row r="1" spans="2:8" customFormat="1" ht="15" thickBot="1" x14ac:dyDescent="0.35"/>
    <row r="2" spans="2:8" customFormat="1" ht="21" thickBot="1" x14ac:dyDescent="0.4">
      <c r="B2" s="8" t="s">
        <v>23</v>
      </c>
      <c r="C2" s="9"/>
      <c r="D2" s="959" t="s">
        <v>291</v>
      </c>
      <c r="E2" s="960"/>
    </row>
    <row r="3" spans="2:8" customFormat="1" ht="14.4" x14ac:dyDescent="0.3"/>
    <row r="4" spans="2:8" customFormat="1" ht="14.4" x14ac:dyDescent="0.3"/>
    <row r="5" spans="2:8" customFormat="1" ht="15" thickBot="1" x14ac:dyDescent="0.35">
      <c r="B5" s="114" t="s">
        <v>0</v>
      </c>
      <c r="C5" s="1"/>
      <c r="D5" s="1"/>
      <c r="E5" s="1"/>
      <c r="F5" s="1"/>
    </row>
    <row r="6" spans="2:8" customFormat="1" ht="26.4" thickBot="1" x14ac:dyDescent="0.35">
      <c r="B6" s="30" t="s">
        <v>1</v>
      </c>
      <c r="C6" s="781" t="s">
        <v>2</v>
      </c>
      <c r="D6" s="782"/>
      <c r="E6" s="31" t="s">
        <v>3</v>
      </c>
      <c r="F6" s="30" t="s">
        <v>62</v>
      </c>
    </row>
    <row r="7" spans="2:8" customFormat="1" ht="107.25" customHeight="1" x14ac:dyDescent="0.3">
      <c r="B7" s="123" t="s">
        <v>294</v>
      </c>
      <c r="C7" s="1142" t="s">
        <v>300</v>
      </c>
      <c r="D7" s="1142"/>
      <c r="E7" s="3" t="s">
        <v>47</v>
      </c>
      <c r="F7" s="174" t="s">
        <v>416</v>
      </c>
    </row>
    <row r="8" spans="2:8" customFormat="1" ht="108.75" customHeight="1" x14ac:dyDescent="0.3">
      <c r="B8" s="124" t="s">
        <v>297</v>
      </c>
      <c r="C8" s="1143" t="s">
        <v>301</v>
      </c>
      <c r="D8" s="1143"/>
      <c r="E8" s="5" t="s">
        <v>296</v>
      </c>
      <c r="F8" s="171" t="s">
        <v>440</v>
      </c>
    </row>
    <row r="9" spans="2:8" customFormat="1" ht="73.5" customHeight="1" thickBot="1" x14ac:dyDescent="0.35">
      <c r="B9" s="125" t="s">
        <v>299</v>
      </c>
      <c r="C9" s="1144" t="s">
        <v>302</v>
      </c>
      <c r="D9" s="1144"/>
      <c r="E9" s="7" t="s">
        <v>296</v>
      </c>
      <c r="F9" s="172" t="s">
        <v>440</v>
      </c>
    </row>
    <row r="10" spans="2:8" customFormat="1" ht="14.4" x14ac:dyDescent="0.3"/>
    <row r="11" spans="2:8" customFormat="1" ht="14.4" x14ac:dyDescent="0.3"/>
    <row r="12" spans="2:8" customFormat="1" ht="17.399999999999999" x14ac:dyDescent="0.3">
      <c r="B12" s="101" t="s">
        <v>209</v>
      </c>
    </row>
    <row r="13" spans="2:8" customFormat="1" ht="15" thickBot="1" x14ac:dyDescent="0.35"/>
    <row r="14" spans="2:8" customFormat="1" ht="28.2" thickBot="1" x14ac:dyDescent="0.35">
      <c r="B14" s="32" t="s">
        <v>1</v>
      </c>
      <c r="C14" s="32" t="s">
        <v>28</v>
      </c>
      <c r="D14" s="32" t="s">
        <v>29</v>
      </c>
      <c r="E14" s="32" t="s">
        <v>30</v>
      </c>
      <c r="F14" s="32" t="s">
        <v>31</v>
      </c>
      <c r="G14" s="32" t="s">
        <v>32</v>
      </c>
      <c r="H14" s="32" t="s">
        <v>33</v>
      </c>
    </row>
    <row r="15" spans="2:8" ht="25.2" x14ac:dyDescent="0.25">
      <c r="B15" s="129">
        <v>1</v>
      </c>
      <c r="C15" s="12" t="s">
        <v>292</v>
      </c>
      <c r="D15" s="12" t="s">
        <v>35</v>
      </c>
      <c r="E15" s="12" t="s">
        <v>47</v>
      </c>
      <c r="F15" s="1139" t="s">
        <v>293</v>
      </c>
      <c r="G15" s="130" t="s">
        <v>35</v>
      </c>
      <c r="H15" s="37" t="s">
        <v>294</v>
      </c>
    </row>
    <row r="16" spans="2:8" ht="37.799999999999997" x14ac:dyDescent="0.25">
      <c r="B16" s="131">
        <v>2</v>
      </c>
      <c r="C16" s="40" t="s">
        <v>295</v>
      </c>
      <c r="D16" s="40" t="s">
        <v>35</v>
      </c>
      <c r="E16" s="40" t="s">
        <v>296</v>
      </c>
      <c r="F16" s="1140"/>
      <c r="G16" s="132" t="s">
        <v>35</v>
      </c>
      <c r="H16" s="39" t="s">
        <v>441</v>
      </c>
    </row>
    <row r="17" spans="2:8" ht="38.4" thickBot="1" x14ac:dyDescent="0.3">
      <c r="B17" s="133">
        <v>3</v>
      </c>
      <c r="C17" s="54" t="s">
        <v>298</v>
      </c>
      <c r="D17" s="54" t="s">
        <v>35</v>
      </c>
      <c r="E17" s="54" t="s">
        <v>175</v>
      </c>
      <c r="F17" s="1141"/>
      <c r="G17" s="113" t="s">
        <v>35</v>
      </c>
      <c r="H17" s="53" t="s">
        <v>442</v>
      </c>
    </row>
  </sheetData>
  <mergeCells count="6">
    <mergeCell ref="F15:F17"/>
    <mergeCell ref="D2:E2"/>
    <mergeCell ref="C6:D6"/>
    <mergeCell ref="C7:D7"/>
    <mergeCell ref="C8:D8"/>
    <mergeCell ref="C9:D9"/>
  </mergeCells>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FFFF00"/>
  </sheetPr>
  <dimension ref="B1:H34"/>
  <sheetViews>
    <sheetView workbookViewId="0">
      <selection activeCell="E9" sqref="E9"/>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7.33203125" style="1" customWidth="1"/>
    <col min="7" max="7" width="15.88671875" style="1" customWidth="1"/>
    <col min="8" max="8" width="25.109375" style="1" customWidth="1"/>
    <col min="9" max="16384" width="9.109375" style="1"/>
  </cols>
  <sheetData>
    <row r="1" spans="2:8" customFormat="1" ht="15" thickBot="1" x14ac:dyDescent="0.35"/>
    <row r="2" spans="2:8" customFormat="1" ht="21" thickBot="1" x14ac:dyDescent="0.4">
      <c r="B2" s="8" t="s">
        <v>23</v>
      </c>
      <c r="C2" s="9"/>
      <c r="D2" s="175" t="s">
        <v>452</v>
      </c>
    </row>
    <row r="3" spans="2:8" customFormat="1" ht="14.4" x14ac:dyDescent="0.3"/>
    <row r="4" spans="2:8" customFormat="1" ht="15" thickBot="1" x14ac:dyDescent="0.35">
      <c r="B4" s="114" t="s">
        <v>0</v>
      </c>
      <c r="C4" s="1"/>
      <c r="D4" s="1"/>
      <c r="E4" s="1"/>
      <c r="F4" s="1"/>
    </row>
    <row r="5" spans="2:8" customFormat="1" ht="26.4" thickBot="1" x14ac:dyDescent="0.35">
      <c r="B5" s="30" t="s">
        <v>1</v>
      </c>
      <c r="C5" s="781" t="s">
        <v>2</v>
      </c>
      <c r="D5" s="782"/>
      <c r="E5" s="31" t="s">
        <v>3</v>
      </c>
      <c r="F5" s="30" t="s">
        <v>62</v>
      </c>
    </row>
    <row r="6" spans="2:8" customFormat="1" ht="39" thickBot="1" x14ac:dyDescent="0.35">
      <c r="B6" s="123" t="s">
        <v>261</v>
      </c>
      <c r="C6" s="783" t="s">
        <v>262</v>
      </c>
      <c r="D6" s="783"/>
      <c r="E6" s="84" t="s">
        <v>44</v>
      </c>
      <c r="F6" s="84" t="s">
        <v>443</v>
      </c>
    </row>
    <row r="7" spans="2:8" customFormat="1" ht="39" thickBot="1" x14ac:dyDescent="0.35">
      <c r="B7" s="124" t="s">
        <v>263</v>
      </c>
      <c r="C7" s="774" t="s">
        <v>264</v>
      </c>
      <c r="D7" s="774"/>
      <c r="E7" s="88" t="s">
        <v>44</v>
      </c>
      <c r="F7" s="84" t="s">
        <v>443</v>
      </c>
    </row>
    <row r="8" spans="2:8" customFormat="1" ht="25.8" x14ac:dyDescent="0.3">
      <c r="B8" s="124" t="s">
        <v>265</v>
      </c>
      <c r="C8" s="774" t="s">
        <v>266</v>
      </c>
      <c r="D8" s="774"/>
      <c r="E8" s="88" t="s">
        <v>267</v>
      </c>
      <c r="F8" s="84" t="s">
        <v>444</v>
      </c>
    </row>
    <row r="9" spans="2:8" customFormat="1" ht="39" thickBot="1" x14ac:dyDescent="0.35">
      <c r="B9" s="124" t="s">
        <v>268</v>
      </c>
      <c r="C9" s="975" t="s">
        <v>269</v>
      </c>
      <c r="D9" s="976"/>
      <c r="E9" s="88" t="s">
        <v>267</v>
      </c>
      <c r="F9" s="88" t="s">
        <v>445</v>
      </c>
    </row>
    <row r="10" spans="2:8" customFormat="1" ht="26.4" thickBot="1" x14ac:dyDescent="0.35">
      <c r="B10" s="125" t="s">
        <v>260</v>
      </c>
      <c r="C10" s="1146" t="s">
        <v>270</v>
      </c>
      <c r="D10" s="1146"/>
      <c r="E10" s="94" t="s">
        <v>267</v>
      </c>
      <c r="F10" s="84" t="s">
        <v>443</v>
      </c>
    </row>
    <row r="11" spans="2:8" customFormat="1" ht="14.4" x14ac:dyDescent="0.3"/>
    <row r="12" spans="2:8" customFormat="1" ht="17.399999999999999" x14ac:dyDescent="0.3">
      <c r="B12" s="101" t="s">
        <v>209</v>
      </c>
    </row>
    <row r="13" spans="2:8" customFormat="1" ht="15" thickBot="1" x14ac:dyDescent="0.35"/>
    <row r="14" spans="2:8" customFormat="1" ht="28.2" thickBot="1" x14ac:dyDescent="0.35">
      <c r="B14" s="32" t="s">
        <v>1</v>
      </c>
      <c r="C14" s="32" t="s">
        <v>28</v>
      </c>
      <c r="D14" s="32" t="s">
        <v>29</v>
      </c>
      <c r="E14" s="32" t="s">
        <v>30</v>
      </c>
      <c r="F14" s="32" t="s">
        <v>31</v>
      </c>
      <c r="G14" s="32" t="s">
        <v>32</v>
      </c>
      <c r="H14" s="32" t="s">
        <v>33</v>
      </c>
    </row>
    <row r="15" spans="2:8" ht="40.5" customHeight="1" x14ac:dyDescent="0.25">
      <c r="B15" s="82">
        <v>1</v>
      </c>
      <c r="C15" s="83" t="s">
        <v>249</v>
      </c>
      <c r="D15" s="83" t="s">
        <v>35</v>
      </c>
      <c r="E15" s="103" t="s">
        <v>47</v>
      </c>
      <c r="F15" s="84" t="s">
        <v>250</v>
      </c>
      <c r="G15" s="85" t="s">
        <v>37</v>
      </c>
      <c r="H15" s="82" t="s">
        <v>251</v>
      </c>
    </row>
    <row r="16" spans="2:8" ht="75.599999999999994" x14ac:dyDescent="0.25">
      <c r="B16" s="45">
        <v>2</v>
      </c>
      <c r="C16" s="250" t="s">
        <v>252</v>
      </c>
      <c r="D16" s="22" t="s">
        <v>35</v>
      </c>
      <c r="E16" s="22" t="s">
        <v>26</v>
      </c>
      <c r="F16" s="88" t="s">
        <v>253</v>
      </c>
      <c r="G16" s="47" t="s">
        <v>37</v>
      </c>
      <c r="H16" s="21" t="s">
        <v>254</v>
      </c>
    </row>
    <row r="17" spans="2:8" ht="37.799999999999997" x14ac:dyDescent="0.25">
      <c r="B17" s="48">
        <v>3</v>
      </c>
      <c r="C17" s="247" t="s">
        <v>255</v>
      </c>
      <c r="D17" s="18" t="s">
        <v>35</v>
      </c>
      <c r="E17" s="19" t="s">
        <v>175</v>
      </c>
      <c r="F17" s="965" t="s">
        <v>250</v>
      </c>
      <c r="G17" s="20" t="s">
        <v>37</v>
      </c>
      <c r="H17" s="48" t="s">
        <v>251</v>
      </c>
    </row>
    <row r="18" spans="2:8" ht="37.799999999999997" x14ac:dyDescent="0.25">
      <c r="B18" s="43">
        <v>4</v>
      </c>
      <c r="C18" s="15" t="s">
        <v>256</v>
      </c>
      <c r="D18" s="15" t="s">
        <v>35</v>
      </c>
      <c r="E18" s="16" t="s">
        <v>175</v>
      </c>
      <c r="F18" s="967"/>
      <c r="G18" s="17" t="s">
        <v>37</v>
      </c>
      <c r="H18" s="43" t="s">
        <v>251</v>
      </c>
    </row>
    <row r="19" spans="2:8" ht="75.599999999999994" x14ac:dyDescent="0.25">
      <c r="B19" s="45">
        <v>5</v>
      </c>
      <c r="C19" s="250" t="s">
        <v>257</v>
      </c>
      <c r="D19" s="22" t="s">
        <v>35</v>
      </c>
      <c r="E19" s="22" t="s">
        <v>19</v>
      </c>
      <c r="F19" s="88" t="s">
        <v>253</v>
      </c>
      <c r="G19" s="47" t="s">
        <v>37</v>
      </c>
      <c r="H19" s="21" t="s">
        <v>254</v>
      </c>
    </row>
    <row r="20" spans="2:8" ht="51" thickBot="1" x14ac:dyDescent="0.3">
      <c r="B20" s="120">
        <v>6</v>
      </c>
      <c r="C20" s="75" t="s">
        <v>258</v>
      </c>
      <c r="D20" s="76" t="s">
        <v>35</v>
      </c>
      <c r="E20" s="76" t="s">
        <v>53</v>
      </c>
      <c r="F20" s="121" t="s">
        <v>259</v>
      </c>
      <c r="G20" s="122" t="s">
        <v>35</v>
      </c>
      <c r="H20" s="120" t="s">
        <v>260</v>
      </c>
    </row>
    <row r="22" spans="2:8" x14ac:dyDescent="0.25">
      <c r="C22" s="190" t="s">
        <v>454</v>
      </c>
    </row>
    <row r="23" spans="2:8" ht="26.4" x14ac:dyDescent="0.25">
      <c r="C23" s="1145" t="str">
        <f>[1]Notes!B13</f>
        <v>Particulars</v>
      </c>
      <c r="D23" s="1145"/>
      <c r="E23" s="176" t="str">
        <f>[1]Notes!C13</f>
        <v>As at 
31 March 2017</v>
      </c>
      <c r="F23" s="176" t="s">
        <v>453</v>
      </c>
    </row>
    <row r="24" spans="2:8" ht="13.8" x14ac:dyDescent="0.25">
      <c r="C24" s="188" t="str">
        <f>[1]Notes!B14</f>
        <v>(i) Secured loans from banks and financial institutions:</v>
      </c>
      <c r="D24" s="184"/>
      <c r="E24" s="177">
        <f>[1]Notes!C14</f>
        <v>0</v>
      </c>
      <c r="F24" s="191"/>
    </row>
    <row r="25" spans="2:8" ht="13.8" x14ac:dyDescent="0.25">
      <c r="C25" s="185" t="str">
        <f>[1]Notes!B15</f>
        <v>a. Long term</v>
      </c>
      <c r="D25" s="184"/>
      <c r="E25" s="178">
        <f>[1]Notes!C15</f>
        <v>17038287.370000001</v>
      </c>
      <c r="F25" s="192"/>
    </row>
    <row r="26" spans="2:8" ht="14.4" x14ac:dyDescent="0.3">
      <c r="C26" s="179" t="str">
        <f>[1]Notes!B16</f>
        <v>Vehicle loans</v>
      </c>
      <c r="D26" s="184"/>
      <c r="E26" s="178">
        <f>[1]Notes!C16</f>
        <v>17038287.370000001</v>
      </c>
      <c r="F26" s="194" t="s">
        <v>455</v>
      </c>
    </row>
    <row r="27" spans="2:8" ht="24.75" customHeight="1" x14ac:dyDescent="0.25">
      <c r="C27" s="185" t="str">
        <f>[1]Notes!B17</f>
        <v>b. Due for repayment within one year from the date of the Balance Sheet</v>
      </c>
      <c r="D27" s="184"/>
      <c r="E27" s="178">
        <f>[1]Notes!C17</f>
        <v>15512989.740000002</v>
      </c>
      <c r="F27" s="192"/>
    </row>
    <row r="28" spans="2:8" ht="13.8" x14ac:dyDescent="0.25">
      <c r="C28" s="179" t="str">
        <f>[1]Notes!B18</f>
        <v>Vehicle loans</v>
      </c>
      <c r="D28" s="184"/>
      <c r="E28" s="178">
        <f>[1]Notes!C18</f>
        <v>15512989.740000002</v>
      </c>
      <c r="F28" s="192"/>
    </row>
    <row r="29" spans="2:8" ht="14.4" x14ac:dyDescent="0.3">
      <c r="C29" s="179" t="str">
        <f>[1]Notes!B19</f>
        <v>Working capital loans</v>
      </c>
      <c r="D29" s="184"/>
      <c r="E29" s="178">
        <f>[1]Notes!C19</f>
        <v>236075996.66</v>
      </c>
      <c r="F29" s="194" t="s">
        <v>455</v>
      </c>
    </row>
    <row r="30" spans="2:8" ht="13.8" x14ac:dyDescent="0.25">
      <c r="C30" s="179" t="str">
        <f>[1]Notes!B20</f>
        <v>Channel finance</v>
      </c>
      <c r="D30" s="184"/>
      <c r="E30" s="178">
        <f>[1]Notes!C20</f>
        <v>0</v>
      </c>
      <c r="F30" s="192"/>
    </row>
    <row r="31" spans="2:8" ht="13.8" x14ac:dyDescent="0.25">
      <c r="C31" s="180" t="str">
        <f>[1]Notes!B21</f>
        <v>Total (i)</v>
      </c>
      <c r="D31" s="184"/>
      <c r="E31" s="181">
        <f>[1]Notes!C21</f>
        <v>268627273.76999998</v>
      </c>
      <c r="F31" s="192"/>
    </row>
    <row r="32" spans="2:8" ht="13.8" x14ac:dyDescent="0.25">
      <c r="C32" s="182" t="str">
        <f>[1]Notes!B22</f>
        <v>(ii)  Unsecured</v>
      </c>
      <c r="D32" s="184"/>
      <c r="E32" s="178">
        <f>[1]Notes!C22</f>
        <v>2644000</v>
      </c>
      <c r="F32" s="192"/>
    </row>
    <row r="33" spans="3:6" ht="14.4" x14ac:dyDescent="0.3">
      <c r="C33" s="186" t="str">
        <f>[1]Notes!B23</f>
        <v>Kuri loans</v>
      </c>
      <c r="D33" s="184"/>
      <c r="E33" s="178">
        <f>[1]Notes!C23</f>
        <v>2644000</v>
      </c>
      <c r="F33" s="194" t="s">
        <v>455</v>
      </c>
    </row>
    <row r="34" spans="3:6" ht="13.8" x14ac:dyDescent="0.25">
      <c r="C34" s="187" t="str">
        <f>[1]Notes!B24</f>
        <v>Total (i) + (ii)</v>
      </c>
      <c r="D34" s="189"/>
      <c r="E34" s="183">
        <f>[1]Notes!C24</f>
        <v>271271273.76999998</v>
      </c>
      <c r="F34" s="193"/>
    </row>
  </sheetData>
  <mergeCells count="8">
    <mergeCell ref="C23:D23"/>
    <mergeCell ref="C10:D10"/>
    <mergeCell ref="F17:F18"/>
    <mergeCell ref="C5:D5"/>
    <mergeCell ref="C6:D6"/>
    <mergeCell ref="C7:D7"/>
    <mergeCell ref="C8:D8"/>
    <mergeCell ref="C9:D9"/>
  </mergeCells>
  <hyperlinks>
    <hyperlink ref="F26" r:id="rId1" display="Balance Sheet Items\loans\Lease workings G&amp;C 2016-17.xlsx" xr:uid="{00000000-0004-0000-1600-000000000000}"/>
    <hyperlink ref="F29" r:id="rId2" display="Balance Sheet Items\loans\Consolidated loans from Banks &amp; NBFC.xlsx" xr:uid="{00000000-0004-0000-1600-000001000000}"/>
    <hyperlink ref="F33" r:id="rId3" display="Balance Sheet Items\Kuri\Loan against Chits.xlsx" xr:uid="{00000000-0004-0000-1600-000002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tabColor rgb="FFFFFF00"/>
  </sheetPr>
  <dimension ref="B1:H54"/>
  <sheetViews>
    <sheetView topLeftCell="A2" workbookViewId="0">
      <selection activeCell="B2" sqref="B2"/>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5.109375" style="1" customWidth="1"/>
    <col min="6" max="6" width="47.33203125" style="1" customWidth="1"/>
    <col min="7" max="7" width="15.88671875" style="115" customWidth="1"/>
    <col min="8" max="8" width="25.109375" style="116" customWidth="1"/>
    <col min="9" max="16384" width="9.109375" style="1"/>
  </cols>
  <sheetData>
    <row r="1" spans="2:8" customFormat="1" ht="15" thickBot="1" x14ac:dyDescent="0.35"/>
    <row r="2" spans="2:8" customFormat="1" ht="21" thickBot="1" x14ac:dyDescent="0.4">
      <c r="B2" s="8" t="s">
        <v>23</v>
      </c>
      <c r="C2" s="9"/>
      <c r="D2" s="959" t="s">
        <v>208</v>
      </c>
      <c r="E2" s="960"/>
    </row>
    <row r="3" spans="2:8" customFormat="1" ht="14.4" x14ac:dyDescent="0.3"/>
    <row r="4" spans="2:8" customFormat="1" ht="15" thickBot="1" x14ac:dyDescent="0.35">
      <c r="B4" s="114" t="s">
        <v>0</v>
      </c>
      <c r="C4" s="1"/>
      <c r="D4" s="1"/>
      <c r="E4" s="1"/>
      <c r="F4" s="1"/>
    </row>
    <row r="5" spans="2:8" customFormat="1" ht="26.4" thickBot="1" x14ac:dyDescent="0.35">
      <c r="B5" s="30" t="s">
        <v>1</v>
      </c>
      <c r="C5" s="781" t="s">
        <v>2</v>
      </c>
      <c r="D5" s="782"/>
      <c r="E5" s="31" t="s">
        <v>3</v>
      </c>
      <c r="F5" s="30" t="s">
        <v>62</v>
      </c>
    </row>
    <row r="6" spans="2:8" customFormat="1" ht="30.75" customHeight="1" x14ac:dyDescent="0.3">
      <c r="B6" s="3" t="s">
        <v>236</v>
      </c>
      <c r="C6" s="783" t="s">
        <v>237</v>
      </c>
      <c r="D6" s="783"/>
      <c r="E6" s="3" t="s">
        <v>19</v>
      </c>
      <c r="F6" s="3" t="s">
        <v>447</v>
      </c>
    </row>
    <row r="7" spans="2:8" customFormat="1" ht="74.25" customHeight="1" x14ac:dyDescent="0.3">
      <c r="B7" s="5" t="s">
        <v>238</v>
      </c>
      <c r="C7" s="774" t="s">
        <v>239</v>
      </c>
      <c r="D7" s="774"/>
      <c r="E7" s="5" t="s">
        <v>133</v>
      </c>
      <c r="F7" s="5" t="s">
        <v>446</v>
      </c>
    </row>
    <row r="8" spans="2:8" customFormat="1" ht="53.25" customHeight="1" x14ac:dyDescent="0.3">
      <c r="B8" s="5" t="s">
        <v>240</v>
      </c>
      <c r="C8" s="774" t="s">
        <v>241</v>
      </c>
      <c r="D8" s="774"/>
      <c r="E8" s="5" t="s">
        <v>242</v>
      </c>
      <c r="F8" s="5" t="s">
        <v>448</v>
      </c>
    </row>
    <row r="9" spans="2:8" customFormat="1" ht="98.25" customHeight="1" thickBot="1" x14ac:dyDescent="0.35">
      <c r="B9" s="5" t="s">
        <v>243</v>
      </c>
      <c r="C9" s="975" t="s">
        <v>244</v>
      </c>
      <c r="D9" s="978"/>
      <c r="E9" s="5" t="s">
        <v>245</v>
      </c>
      <c r="F9" s="5" t="s">
        <v>449</v>
      </c>
    </row>
    <row r="10" spans="2:8" customFormat="1" ht="75" customHeight="1" x14ac:dyDescent="0.3">
      <c r="B10" s="5" t="s">
        <v>246</v>
      </c>
      <c r="C10" s="975" t="s">
        <v>247</v>
      </c>
      <c r="D10" s="978"/>
      <c r="E10" s="5" t="s">
        <v>19</v>
      </c>
      <c r="F10" s="3" t="s">
        <v>447</v>
      </c>
    </row>
    <row r="11" spans="2:8" customFormat="1" ht="41.25" customHeight="1" thickBot="1" x14ac:dyDescent="0.35">
      <c r="B11" s="7" t="s">
        <v>235</v>
      </c>
      <c r="C11" s="1149" t="s">
        <v>248</v>
      </c>
      <c r="D11" s="1150"/>
      <c r="E11" s="7" t="s">
        <v>25</v>
      </c>
      <c r="F11" s="7" t="s">
        <v>440</v>
      </c>
    </row>
    <row r="12" spans="2:8" customFormat="1" ht="14.4" x14ac:dyDescent="0.3"/>
    <row r="13" spans="2:8" customFormat="1" ht="17.399999999999999" x14ac:dyDescent="0.3">
      <c r="B13" s="101" t="s">
        <v>209</v>
      </c>
    </row>
    <row r="14" spans="2:8" customFormat="1" ht="15" thickBot="1" x14ac:dyDescent="0.35"/>
    <row r="15" spans="2:8" customFormat="1" ht="28.2" thickBot="1" x14ac:dyDescent="0.35">
      <c r="B15" s="32" t="s">
        <v>1</v>
      </c>
      <c r="C15" s="32" t="s">
        <v>28</v>
      </c>
      <c r="D15" s="32" t="s">
        <v>29</v>
      </c>
      <c r="E15" s="32" t="s">
        <v>30</v>
      </c>
      <c r="F15" s="32" t="s">
        <v>31</v>
      </c>
      <c r="G15" s="32" t="s">
        <v>32</v>
      </c>
      <c r="H15" s="32" t="s">
        <v>33</v>
      </c>
    </row>
    <row r="16" spans="2:8" ht="88.2" x14ac:dyDescent="0.25">
      <c r="B16" s="82">
        <v>1</v>
      </c>
      <c r="C16" s="257" t="s">
        <v>211</v>
      </c>
      <c r="D16" s="82" t="s">
        <v>35</v>
      </c>
      <c r="E16" s="103" t="s">
        <v>47</v>
      </c>
      <c r="F16" s="104" t="s">
        <v>213</v>
      </c>
      <c r="G16" s="105" t="s">
        <v>37</v>
      </c>
      <c r="H16" s="82" t="s">
        <v>214</v>
      </c>
    </row>
    <row r="17" spans="2:8" ht="25.2" x14ac:dyDescent="0.25">
      <c r="B17" s="45">
        <v>2</v>
      </c>
      <c r="C17" s="250" t="s">
        <v>215</v>
      </c>
      <c r="D17" s="45" t="s">
        <v>35</v>
      </c>
      <c r="E17" s="22" t="s">
        <v>47</v>
      </c>
      <c r="F17" s="106" t="s">
        <v>216</v>
      </c>
      <c r="G17" s="24" t="s">
        <v>37</v>
      </c>
      <c r="H17" s="45" t="s">
        <v>217</v>
      </c>
    </row>
    <row r="18" spans="2:8" ht="50.4" x14ac:dyDescent="0.25">
      <c r="B18" s="45">
        <v>3</v>
      </c>
      <c r="C18" s="250" t="s">
        <v>218</v>
      </c>
      <c r="D18" s="107" t="s">
        <v>35</v>
      </c>
      <c r="E18" s="22" t="s">
        <v>19</v>
      </c>
      <c r="F18" s="106" t="s">
        <v>219</v>
      </c>
      <c r="G18" s="24" t="s">
        <v>37</v>
      </c>
      <c r="H18" s="45" t="s">
        <v>220</v>
      </c>
    </row>
    <row r="19" spans="2:8" ht="25.2" x14ac:dyDescent="0.25">
      <c r="B19" s="48">
        <v>4</v>
      </c>
      <c r="C19" s="18" t="s">
        <v>221</v>
      </c>
      <c r="D19" s="108" t="s">
        <v>35</v>
      </c>
      <c r="E19" s="19" t="s">
        <v>19</v>
      </c>
      <c r="F19" s="1147" t="s">
        <v>216</v>
      </c>
      <c r="G19" s="109" t="s">
        <v>37</v>
      </c>
      <c r="H19" s="48" t="s">
        <v>222</v>
      </c>
    </row>
    <row r="20" spans="2:8" ht="37.799999999999997" x14ac:dyDescent="0.25">
      <c r="B20" s="43">
        <v>5</v>
      </c>
      <c r="C20" s="15" t="s">
        <v>223</v>
      </c>
      <c r="D20" s="43" t="s">
        <v>35</v>
      </c>
      <c r="E20" s="16" t="s">
        <v>224</v>
      </c>
      <c r="F20" s="970"/>
      <c r="G20" s="110" t="s">
        <v>37</v>
      </c>
      <c r="H20" s="43" t="s">
        <v>225</v>
      </c>
    </row>
    <row r="21" spans="2:8" ht="63" x14ac:dyDescent="0.25">
      <c r="B21" s="45">
        <v>6</v>
      </c>
      <c r="C21" s="21" t="s">
        <v>226</v>
      </c>
      <c r="D21" s="45" t="s">
        <v>35</v>
      </c>
      <c r="E21" s="22" t="s">
        <v>224</v>
      </c>
      <c r="F21" s="111" t="s">
        <v>227</v>
      </c>
      <c r="G21" s="24" t="s">
        <v>37</v>
      </c>
      <c r="H21" s="45" t="s">
        <v>225</v>
      </c>
    </row>
    <row r="22" spans="2:8" ht="37.799999999999997" x14ac:dyDescent="0.25">
      <c r="B22" s="45">
        <v>7</v>
      </c>
      <c r="C22" s="250" t="s">
        <v>228</v>
      </c>
      <c r="D22" s="45" t="s">
        <v>35</v>
      </c>
      <c r="E22" s="22" t="s">
        <v>224</v>
      </c>
      <c r="F22" s="106" t="s">
        <v>229</v>
      </c>
      <c r="G22" s="24" t="s">
        <v>37</v>
      </c>
      <c r="H22" s="45" t="s">
        <v>217</v>
      </c>
    </row>
    <row r="23" spans="2:8" ht="63" x14ac:dyDescent="0.25">
      <c r="B23" s="45">
        <v>8</v>
      </c>
      <c r="C23" s="250" t="s">
        <v>230</v>
      </c>
      <c r="D23" s="45" t="s">
        <v>35</v>
      </c>
      <c r="E23" s="22" t="s">
        <v>224</v>
      </c>
      <c r="F23" s="111" t="s">
        <v>227</v>
      </c>
      <c r="G23" s="24" t="s">
        <v>37</v>
      </c>
      <c r="H23" s="45" t="s">
        <v>107</v>
      </c>
    </row>
    <row r="24" spans="2:8" ht="50.4" x14ac:dyDescent="0.25">
      <c r="B24" s="48">
        <v>9</v>
      </c>
      <c r="C24" s="18" t="s">
        <v>231</v>
      </c>
      <c r="D24" s="48" t="s">
        <v>35</v>
      </c>
      <c r="E24" s="19" t="s">
        <v>81</v>
      </c>
      <c r="F24" s="1147" t="s">
        <v>232</v>
      </c>
      <c r="G24" s="109" t="s">
        <v>37</v>
      </c>
      <c r="H24" s="48" t="s">
        <v>233</v>
      </c>
    </row>
    <row r="25" spans="2:8" ht="25.8" thickBot="1" x14ac:dyDescent="0.3">
      <c r="B25" s="53">
        <v>10</v>
      </c>
      <c r="C25" s="54" t="s">
        <v>234</v>
      </c>
      <c r="D25" s="112" t="s">
        <v>35</v>
      </c>
      <c r="E25" s="55" t="s">
        <v>53</v>
      </c>
      <c r="F25" s="1148"/>
      <c r="G25" s="113" t="s">
        <v>37</v>
      </c>
      <c r="H25" s="53" t="s">
        <v>440</v>
      </c>
    </row>
    <row r="28" spans="2:8" ht="13.8" x14ac:dyDescent="0.25">
      <c r="C28" s="195" t="str">
        <f>[1]Notes!B26</f>
        <v>SUNDRY CREDITORS</v>
      </c>
      <c r="E28" s="196" t="str">
        <f>[1]Notes!C26</f>
        <v>As at 31 March 2017</v>
      </c>
    </row>
    <row r="29" spans="2:8" ht="26.4" x14ac:dyDescent="0.25">
      <c r="C29" s="197" t="str">
        <f>[1]Notes!B27</f>
        <v>Particulars</v>
      </c>
      <c r="D29" s="203"/>
      <c r="E29" s="176" t="str">
        <f>[1]Notes!C27</f>
        <v>As at 
31 March 2017</v>
      </c>
      <c r="F29" s="176" t="s">
        <v>456</v>
      </c>
    </row>
    <row r="30" spans="2:8" ht="14.4" x14ac:dyDescent="0.3">
      <c r="C30" s="199" t="str">
        <f>[1]Notes!B28</f>
        <v>For goods supplied</v>
      </c>
      <c r="D30" s="200"/>
      <c r="E30" s="177">
        <f>[1]Notes!C28</f>
        <v>264435974.98000002</v>
      </c>
      <c r="F30" s="211" t="s">
        <v>455</v>
      </c>
    </row>
    <row r="31" spans="2:8" ht="13.8" x14ac:dyDescent="0.25">
      <c r="C31" s="201" t="str">
        <f>[1]Notes!B29</f>
        <v>Others</v>
      </c>
      <c r="D31" s="202"/>
      <c r="E31" s="178">
        <f>[1]Notes!C29</f>
        <v>11314266.620000001</v>
      </c>
      <c r="F31" s="192"/>
    </row>
    <row r="32" spans="2:8" ht="13.8" x14ac:dyDescent="0.25">
      <c r="C32" s="187" t="str">
        <f>[1]Notes!B30</f>
        <v>Total</v>
      </c>
      <c r="D32" s="189"/>
      <c r="E32" s="183">
        <f>[1]Notes!C30</f>
        <v>275750241.60000002</v>
      </c>
      <c r="F32" s="193"/>
    </row>
    <row r="34" spans="3:6" ht="13.8" x14ac:dyDescent="0.25">
      <c r="C34" s="195" t="str">
        <f>[1]Notes!B32</f>
        <v>STATUTORY LIABILITIES:</v>
      </c>
      <c r="D34" s="196" t="str">
        <f>[1]Notes!C32</f>
        <v>As at 31 March 2017</v>
      </c>
    </row>
    <row r="35" spans="3:6" ht="26.4" x14ac:dyDescent="0.25">
      <c r="C35" s="1145" t="str">
        <f>[1]Notes!B33</f>
        <v>Particulars</v>
      </c>
      <c r="D35" s="1145"/>
      <c r="E35" s="176" t="str">
        <f>[1]Notes!C33</f>
        <v>As at 
31 March 2017</v>
      </c>
      <c r="F35" s="176" t="s">
        <v>456</v>
      </c>
    </row>
    <row r="36" spans="3:6" ht="13.8" x14ac:dyDescent="0.25">
      <c r="C36" s="199" t="str">
        <f>[1]Notes!B34</f>
        <v>Building Tax Payable</v>
      </c>
      <c r="D36" s="200"/>
      <c r="E36" s="207">
        <f>[1]Notes!C34</f>
        <v>372150</v>
      </c>
      <c r="F36" s="191"/>
    </row>
    <row r="37" spans="3:6" ht="13.8" x14ac:dyDescent="0.25">
      <c r="C37" s="182" t="str">
        <f>[1]Notes!B35</f>
        <v>Employees welfare funds</v>
      </c>
      <c r="D37" s="184"/>
      <c r="E37" s="208">
        <f>[1]Notes!C35</f>
        <v>483431</v>
      </c>
      <c r="F37" s="192"/>
    </row>
    <row r="38" spans="3:6" ht="13.8" x14ac:dyDescent="0.25">
      <c r="C38" s="182" t="str">
        <f>[1]Notes!B36</f>
        <v>Excise duty</v>
      </c>
      <c r="D38" s="184"/>
      <c r="E38" s="208">
        <f>[1]Notes!C36</f>
        <v>3526</v>
      </c>
      <c r="F38" s="192"/>
    </row>
    <row r="39" spans="3:6" ht="13.8" x14ac:dyDescent="0.25">
      <c r="C39" s="182" t="str">
        <f>[1]Notes!B37</f>
        <v xml:space="preserve">Income tax </v>
      </c>
      <c r="D39" s="184"/>
      <c r="E39" s="208">
        <f>[1]Notes!C37</f>
        <v>0</v>
      </c>
      <c r="F39" s="192"/>
    </row>
    <row r="40" spans="3:6" ht="13.8" x14ac:dyDescent="0.25">
      <c r="C40" s="182" t="str">
        <f>[1]Notes!B38</f>
        <v>Profession tax</v>
      </c>
      <c r="D40" s="184"/>
      <c r="E40" s="208">
        <f>[1]Notes!C38</f>
        <v>0</v>
      </c>
      <c r="F40" s="192"/>
    </row>
    <row r="41" spans="3:6" ht="13.8" x14ac:dyDescent="0.25">
      <c r="C41" s="182" t="str">
        <f>[1]Notes!B39</f>
        <v>Service tax</v>
      </c>
      <c r="D41" s="184"/>
      <c r="E41" s="208">
        <f>[1]Notes!C39</f>
        <v>11347</v>
      </c>
      <c r="F41" s="192"/>
    </row>
    <row r="42" spans="3:6" ht="13.8" x14ac:dyDescent="0.25">
      <c r="C42" s="182" t="str">
        <f>[1]Notes!B40</f>
        <v>Kerala VAT &amp; CST</v>
      </c>
      <c r="D42" s="184"/>
      <c r="E42" s="208">
        <f>[1]Notes!C40</f>
        <v>8225593.5099999998</v>
      </c>
      <c r="F42" s="192"/>
    </row>
    <row r="43" spans="3:6" ht="13.8" x14ac:dyDescent="0.25">
      <c r="C43" s="182" t="str">
        <f>[1]Notes!B41</f>
        <v>Tamilnadu VAT &amp; CST</v>
      </c>
      <c r="D43" s="184"/>
      <c r="E43" s="208">
        <f>[1]Notes!C41</f>
        <v>455072</v>
      </c>
      <c r="F43" s="192"/>
    </row>
    <row r="44" spans="3:6" ht="13.8" x14ac:dyDescent="0.25">
      <c r="C44" s="182" t="str">
        <f>[1]Notes!B42</f>
        <v>Tax deducted at source (Income tax)</v>
      </c>
      <c r="D44" s="184"/>
      <c r="E44" s="208">
        <f>[1]Notes!C42</f>
        <v>356249</v>
      </c>
      <c r="F44" s="192"/>
    </row>
    <row r="45" spans="3:6" ht="13.8" x14ac:dyDescent="0.25">
      <c r="C45" s="182" t="str">
        <f>[1]Notes!B43</f>
        <v>Tax deducted at source (KVAT)</v>
      </c>
      <c r="D45" s="184"/>
      <c r="E45" s="209">
        <f>[1]Notes!C43</f>
        <v>132969</v>
      </c>
      <c r="F45" s="192"/>
    </row>
    <row r="46" spans="3:6" ht="13.8" x14ac:dyDescent="0.25">
      <c r="C46" s="187" t="str">
        <f>[1]Notes!B44</f>
        <v>Total</v>
      </c>
      <c r="D46" s="189"/>
      <c r="E46" s="183">
        <f>[1]Notes!C44</f>
        <v>10040337.51</v>
      </c>
      <c r="F46" s="193"/>
    </row>
    <row r="47" spans="3:6" ht="13.8" x14ac:dyDescent="0.25">
      <c r="C47" s="210" t="str">
        <f>[1]Notes!B45</f>
        <v>OTHER CURRENT LIABILITIES</v>
      </c>
      <c r="E47" s="196">
        <f>[1]Notes!C45</f>
        <v>0</v>
      </c>
    </row>
    <row r="48" spans="3:6" ht="13.8" x14ac:dyDescent="0.25">
      <c r="C48" s="195" t="str">
        <f>[1]Notes!B46</f>
        <v>OTHER CURRENT LIABILITIES</v>
      </c>
      <c r="E48" s="196" t="str">
        <f>[1]Notes!C46</f>
        <v>As at 31 March 2017</v>
      </c>
    </row>
    <row r="49" spans="3:6" ht="26.4" x14ac:dyDescent="0.25">
      <c r="C49" s="1145" t="str">
        <f>[1]Notes!B47</f>
        <v>Particulars</v>
      </c>
      <c r="D49" s="1145"/>
      <c r="E49" s="176" t="str">
        <f>[1]Notes!C47</f>
        <v>As at 
31 March 2017</v>
      </c>
      <c r="F49" s="176" t="s">
        <v>456</v>
      </c>
    </row>
    <row r="50" spans="3:6" ht="14.4" x14ac:dyDescent="0.3">
      <c r="C50" s="199" t="str">
        <f>[1]Notes!B48</f>
        <v>Interest accrued but not due</v>
      </c>
      <c r="D50" s="200"/>
      <c r="E50" s="177">
        <f>[1]Notes!C48</f>
        <v>234136</v>
      </c>
      <c r="F50" s="211" t="s">
        <v>455</v>
      </c>
    </row>
    <row r="51" spans="3:6" ht="13.8" x14ac:dyDescent="0.25">
      <c r="C51" s="182" t="str">
        <f>[1]Notes!B49</f>
        <v>Advance from customers</v>
      </c>
      <c r="D51" s="184"/>
      <c r="E51" s="178">
        <f>[1]Notes!C49</f>
        <v>3246088.92</v>
      </c>
      <c r="F51" s="192"/>
    </row>
    <row r="52" spans="3:6" ht="13.8" x14ac:dyDescent="0.25">
      <c r="C52" s="182" t="str">
        <f>[1]Notes!B50</f>
        <v>Retentions</v>
      </c>
      <c r="D52" s="184"/>
      <c r="E52" s="178">
        <f>[1]Notes!C50</f>
        <v>187926</v>
      </c>
    </row>
    <row r="53" spans="3:6" ht="14.4" x14ac:dyDescent="0.3">
      <c r="C53" s="182" t="str">
        <f>[1]Notes!B51</f>
        <v>Expenses reimbursable to staff</v>
      </c>
      <c r="D53" s="184"/>
      <c r="E53" s="178">
        <f>[1]Notes!C51</f>
        <v>235406</v>
      </c>
      <c r="F53" s="194" t="s">
        <v>464</v>
      </c>
    </row>
    <row r="54" spans="3:6" ht="13.8" x14ac:dyDescent="0.25">
      <c r="C54" s="187" t="str">
        <f>[1]Notes!B52</f>
        <v>Total</v>
      </c>
      <c r="D54" s="189"/>
      <c r="E54" s="183">
        <f>SUM(E50:E53)</f>
        <v>3903556.92</v>
      </c>
      <c r="F54" s="193"/>
    </row>
  </sheetData>
  <mergeCells count="12">
    <mergeCell ref="C35:D35"/>
    <mergeCell ref="C49:D49"/>
    <mergeCell ref="F19:F20"/>
    <mergeCell ref="F24:F25"/>
    <mergeCell ref="C10:D10"/>
    <mergeCell ref="C11:D11"/>
    <mergeCell ref="C9:D9"/>
    <mergeCell ref="D2:E2"/>
    <mergeCell ref="C5:D5"/>
    <mergeCell ref="C6:D6"/>
    <mergeCell ref="C7:D7"/>
    <mergeCell ref="C8:D8"/>
  </mergeCells>
  <hyperlinks>
    <hyperlink ref="F30" r:id="rId1" display="Balance Sheet Items\Sundry Creditors\Sundry Creditors  - (Credit balance) 2016-17.xlsx" xr:uid="{00000000-0004-0000-1700-000000000000}"/>
    <hyperlink ref="F50" r:id="rId2" display="Balance Sheet Items\loans\Interest Accrued but not due  16-17.xlsx" xr:uid="{00000000-0004-0000-1700-000001000000}"/>
    <hyperlink ref="F53" r:id="rId3" display="Balance Sheet Items\Loans &amp; Advances\Loans&amp;Advance (Debit Balance) 2016-17.xlsx" xr:uid="{00000000-0004-0000-1700-000002000000}"/>
  </hyperlinks>
  <pageMargins left="0.7" right="0.7" top="0.75" bottom="0.75" header="0.3" footer="0.3"/>
  <pageSetup paperSize="9" orientation="portrait" verticalDpi="0"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1">
    <tabColor rgb="FFFFFF00"/>
  </sheetPr>
  <dimension ref="B1:H25"/>
  <sheetViews>
    <sheetView topLeftCell="A13" workbookViewId="0">
      <selection activeCell="E15" sqref="E15"/>
    </sheetView>
  </sheetViews>
  <sheetFormatPr defaultColWidth="9.109375" defaultRowHeight="12.6" x14ac:dyDescent="0.25"/>
  <cols>
    <col min="1" max="1" width="3" style="1" customWidth="1"/>
    <col min="2" max="2" width="9.109375" style="1"/>
    <col min="3" max="3" width="46.5546875" style="1" customWidth="1"/>
    <col min="4" max="4" width="9.109375" style="1"/>
    <col min="5" max="5" width="18.44140625" style="1" customWidth="1"/>
    <col min="6" max="6" width="47.33203125" style="1" customWidth="1"/>
    <col min="7" max="7" width="15.88671875" style="1" customWidth="1"/>
    <col min="8" max="8" width="25.109375" style="1" customWidth="1"/>
    <col min="9" max="16384" width="9.109375" style="1"/>
  </cols>
  <sheetData>
    <row r="1" spans="2:8" customFormat="1" ht="15" thickBot="1" x14ac:dyDescent="0.35"/>
    <row r="2" spans="2:8" customFormat="1" ht="21" thickBot="1" x14ac:dyDescent="0.4">
      <c r="B2" s="8" t="s">
        <v>23</v>
      </c>
      <c r="C2" s="9"/>
      <c r="D2" s="10" t="s">
        <v>271</v>
      </c>
      <c r="E2" s="36"/>
    </row>
    <row r="3" spans="2:8" customFormat="1" ht="14.4" x14ac:dyDescent="0.3"/>
    <row r="4" spans="2:8" customFormat="1" ht="15" thickBot="1" x14ac:dyDescent="0.35">
      <c r="B4" s="114" t="s">
        <v>0</v>
      </c>
      <c r="C4" s="1"/>
      <c r="D4" s="1"/>
      <c r="E4" s="1"/>
      <c r="F4" s="1"/>
    </row>
    <row r="5" spans="2:8" customFormat="1" ht="15" thickBot="1" x14ac:dyDescent="0.35">
      <c r="B5" s="30" t="s">
        <v>1</v>
      </c>
      <c r="C5" s="781" t="s">
        <v>2</v>
      </c>
      <c r="D5" s="782"/>
      <c r="E5" s="31" t="s">
        <v>3</v>
      </c>
      <c r="F5" s="30" t="s">
        <v>62</v>
      </c>
    </row>
    <row r="6" spans="2:8" customFormat="1" ht="38.4" thickBot="1" x14ac:dyDescent="0.35">
      <c r="B6" s="123" t="s">
        <v>284</v>
      </c>
      <c r="C6" s="1142" t="s">
        <v>285</v>
      </c>
      <c r="D6" s="1142"/>
      <c r="E6" s="3" t="s">
        <v>273</v>
      </c>
      <c r="F6" s="3" t="s">
        <v>450</v>
      </c>
    </row>
    <row r="7" spans="2:8" customFormat="1" ht="15" thickBot="1" x14ac:dyDescent="0.35">
      <c r="B7" s="124" t="s">
        <v>286</v>
      </c>
      <c r="C7" s="1143" t="s">
        <v>287</v>
      </c>
      <c r="D7" s="1143"/>
      <c r="E7" s="5" t="s">
        <v>53</v>
      </c>
      <c r="F7" s="3" t="s">
        <v>450</v>
      </c>
    </row>
    <row r="8" spans="2:8" customFormat="1" ht="15" thickBot="1" x14ac:dyDescent="0.35">
      <c r="B8" s="124" t="s">
        <v>288</v>
      </c>
      <c r="C8" s="1143" t="s">
        <v>289</v>
      </c>
      <c r="D8" s="1143"/>
      <c r="E8" s="5" t="s">
        <v>53</v>
      </c>
      <c r="F8" s="3" t="s">
        <v>450</v>
      </c>
    </row>
    <row r="9" spans="2:8" customFormat="1" ht="38.4" thickBot="1" x14ac:dyDescent="0.35">
      <c r="B9" s="125" t="s">
        <v>281</v>
      </c>
      <c r="C9" s="1144" t="s">
        <v>290</v>
      </c>
      <c r="D9" s="1144"/>
      <c r="E9" s="7" t="s">
        <v>273</v>
      </c>
      <c r="F9" s="3" t="s">
        <v>451</v>
      </c>
    </row>
    <row r="10" spans="2:8" customFormat="1" ht="14.4" x14ac:dyDescent="0.3"/>
    <row r="11" spans="2:8" customFormat="1" ht="17.399999999999999" x14ac:dyDescent="0.3">
      <c r="B11" s="101" t="s">
        <v>209</v>
      </c>
    </row>
    <row r="12" spans="2:8" customFormat="1" ht="15" thickBot="1" x14ac:dyDescent="0.35"/>
    <row r="13" spans="2:8" customFormat="1" ht="28.2" thickBot="1" x14ac:dyDescent="0.35">
      <c r="B13" s="32" t="s">
        <v>1</v>
      </c>
      <c r="C13" s="32" t="s">
        <v>28</v>
      </c>
      <c r="D13" s="32" t="s">
        <v>29</v>
      </c>
      <c r="E13" s="32" t="s">
        <v>30</v>
      </c>
      <c r="F13" s="32" t="s">
        <v>31</v>
      </c>
      <c r="G13" s="32" t="s">
        <v>32</v>
      </c>
      <c r="H13" s="32" t="s">
        <v>33</v>
      </c>
    </row>
    <row r="14" spans="2:8" ht="63.75" customHeight="1" x14ac:dyDescent="0.25">
      <c r="B14" s="37">
        <v>1</v>
      </c>
      <c r="C14" s="12" t="s">
        <v>272</v>
      </c>
      <c r="D14" s="12" t="s">
        <v>35</v>
      </c>
      <c r="E14" s="12" t="s">
        <v>273</v>
      </c>
      <c r="F14" s="1151" t="s">
        <v>274</v>
      </c>
      <c r="G14" s="126" t="s">
        <v>35</v>
      </c>
      <c r="H14" s="37" t="s">
        <v>275</v>
      </c>
    </row>
    <row r="15" spans="2:8" ht="63.75" customHeight="1" x14ac:dyDescent="0.25">
      <c r="B15" s="39">
        <v>2</v>
      </c>
      <c r="C15" s="40" t="s">
        <v>276</v>
      </c>
      <c r="D15" s="40" t="s">
        <v>35</v>
      </c>
      <c r="E15" s="40" t="s">
        <v>277</v>
      </c>
      <c r="F15" s="1152"/>
      <c r="G15" s="127" t="s">
        <v>35</v>
      </c>
      <c r="H15" s="39" t="s">
        <v>275</v>
      </c>
    </row>
    <row r="16" spans="2:8" ht="25.2" x14ac:dyDescent="0.25">
      <c r="B16" s="39">
        <v>3</v>
      </c>
      <c r="C16" s="40" t="s">
        <v>278</v>
      </c>
      <c r="D16" s="40" t="s">
        <v>35</v>
      </c>
      <c r="E16" s="40" t="s">
        <v>19</v>
      </c>
      <c r="F16" s="1152"/>
      <c r="G16" s="127" t="s">
        <v>35</v>
      </c>
      <c r="H16" s="39" t="s">
        <v>275</v>
      </c>
    </row>
    <row r="17" spans="2:8" ht="25.2" x14ac:dyDescent="0.25">
      <c r="B17" s="39">
        <v>4</v>
      </c>
      <c r="C17" s="40" t="s">
        <v>279</v>
      </c>
      <c r="D17" s="40" t="s">
        <v>35</v>
      </c>
      <c r="E17" s="40" t="s">
        <v>280</v>
      </c>
      <c r="F17" s="1152"/>
      <c r="G17" s="127" t="s">
        <v>35</v>
      </c>
      <c r="H17" s="39" t="s">
        <v>281</v>
      </c>
    </row>
    <row r="18" spans="2:8" ht="25.8" thickBot="1" x14ac:dyDescent="0.3">
      <c r="B18" s="53">
        <v>5</v>
      </c>
      <c r="C18" s="54" t="s">
        <v>282</v>
      </c>
      <c r="D18" s="54" t="s">
        <v>35</v>
      </c>
      <c r="E18" s="54" t="s">
        <v>283</v>
      </c>
      <c r="F18" s="1153"/>
      <c r="G18" s="128" t="s">
        <v>35</v>
      </c>
      <c r="H18" s="53" t="s">
        <v>281</v>
      </c>
    </row>
    <row r="21" spans="2:8" ht="13.8" x14ac:dyDescent="0.25">
      <c r="C21" s="195"/>
      <c r="D21" s="196"/>
    </row>
    <row r="22" spans="2:8" ht="13.2" x14ac:dyDescent="0.25">
      <c r="C22" s="197" t="str">
        <f>[1]Notes!B55</f>
        <v>PROVISIONS</v>
      </c>
      <c r="D22" s="203"/>
      <c r="E22" s="176">
        <f>[1]Notes!C55</f>
        <v>0</v>
      </c>
      <c r="F22" s="176" t="s">
        <v>456</v>
      </c>
    </row>
    <row r="23" spans="2:8" ht="13.8" x14ac:dyDescent="0.25">
      <c r="C23" s="204" t="str">
        <f>[1]Notes!B57</f>
        <v xml:space="preserve">Provision for employee benefits </v>
      </c>
      <c r="D23" s="200"/>
      <c r="E23" s="205"/>
      <c r="F23" s="191"/>
    </row>
    <row r="24" spans="2:8" ht="14.4" x14ac:dyDescent="0.3">
      <c r="C24" s="206" t="str">
        <f>[1]Notes!B58</f>
        <v>Gratuity</v>
      </c>
      <c r="D24" s="202"/>
      <c r="E24" s="198">
        <f>[1]Notes!$C$58</f>
        <v>1772897</v>
      </c>
      <c r="F24" s="194" t="s">
        <v>455</v>
      </c>
    </row>
    <row r="25" spans="2:8" ht="13.8" x14ac:dyDescent="0.25">
      <c r="C25" s="187" t="str">
        <f>[1]Notes!B58</f>
        <v>Gratuity</v>
      </c>
      <c r="D25" s="189"/>
      <c r="E25" s="183">
        <f>[1]Notes!C58</f>
        <v>1772897</v>
      </c>
      <c r="F25" s="193"/>
    </row>
  </sheetData>
  <mergeCells count="6">
    <mergeCell ref="F14:F18"/>
    <mergeCell ref="C5:D5"/>
    <mergeCell ref="C6:D6"/>
    <mergeCell ref="C7:D7"/>
    <mergeCell ref="C8:D8"/>
    <mergeCell ref="C9:D9"/>
  </mergeCells>
  <hyperlinks>
    <hyperlink ref="F24" r:id="rId1" display="Balance Sheet Items\Gratuity\Actuarial Valuation report.pdf" xr:uid="{00000000-0004-0000-18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tabColor rgb="FFFFFF00"/>
  </sheetPr>
  <dimension ref="B1:H34"/>
  <sheetViews>
    <sheetView topLeftCell="A11" workbookViewId="0">
      <selection activeCell="E19" sqref="E19"/>
    </sheetView>
  </sheetViews>
  <sheetFormatPr defaultRowHeight="14.4" x14ac:dyDescent="0.3"/>
  <cols>
    <col min="1" max="1" width="5" customWidth="1"/>
    <col min="3" max="3" width="46.5546875" customWidth="1"/>
    <col min="5" max="5" width="16" customWidth="1"/>
    <col min="6" max="6" width="46.5546875" customWidth="1"/>
    <col min="7" max="8" width="15.109375" customWidth="1"/>
  </cols>
  <sheetData>
    <row r="1" spans="2:8" ht="15" thickBot="1" x14ac:dyDescent="0.35"/>
    <row r="2" spans="2:8" ht="21" thickBot="1" x14ac:dyDescent="0.4">
      <c r="B2" s="8" t="s">
        <v>23</v>
      </c>
      <c r="C2" s="9"/>
      <c r="D2" s="10" t="s">
        <v>465</v>
      </c>
      <c r="E2" s="36"/>
    </row>
    <row r="4" spans="2:8" ht="16.2" thickBot="1" x14ac:dyDescent="0.35">
      <c r="B4" s="66" t="s">
        <v>0</v>
      </c>
      <c r="C4" s="1"/>
      <c r="D4" s="1"/>
      <c r="E4" s="1"/>
    </row>
    <row r="5" spans="2:8" ht="27" customHeight="1" thickBot="1" x14ac:dyDescent="0.35">
      <c r="B5" s="30" t="s">
        <v>1</v>
      </c>
      <c r="C5" s="781" t="s">
        <v>2</v>
      </c>
      <c r="D5" s="782"/>
      <c r="E5" s="31" t="s">
        <v>3</v>
      </c>
      <c r="F5" s="30" t="s">
        <v>62</v>
      </c>
    </row>
    <row r="6" spans="2:8" ht="30.75" customHeight="1" x14ac:dyDescent="0.3">
      <c r="B6" s="57" t="s">
        <v>466</v>
      </c>
      <c r="C6" s="1156" t="s">
        <v>192</v>
      </c>
      <c r="D6" s="1157"/>
      <c r="E6" s="62" t="s">
        <v>94</v>
      </c>
      <c r="F6" s="62"/>
    </row>
    <row r="7" spans="2:8" ht="39.75" customHeight="1" x14ac:dyDescent="0.3">
      <c r="B7" s="59" t="s">
        <v>467</v>
      </c>
      <c r="C7" s="774" t="s">
        <v>194</v>
      </c>
      <c r="D7" s="774"/>
      <c r="E7" s="63" t="s">
        <v>25</v>
      </c>
      <c r="F7" s="63"/>
    </row>
    <row r="8" spans="2:8" ht="45.75" customHeight="1" x14ac:dyDescent="0.3">
      <c r="B8" s="59" t="s">
        <v>468</v>
      </c>
      <c r="C8" s="774" t="s">
        <v>195</v>
      </c>
      <c r="D8" s="774"/>
      <c r="E8" s="63" t="s">
        <v>196</v>
      </c>
      <c r="F8" s="63"/>
    </row>
    <row r="9" spans="2:8" ht="56.25" customHeight="1" x14ac:dyDescent="0.3">
      <c r="B9" s="59" t="s">
        <v>469</v>
      </c>
      <c r="C9" s="774" t="s">
        <v>197</v>
      </c>
      <c r="D9" s="774"/>
      <c r="E9" s="63" t="s">
        <v>245</v>
      </c>
      <c r="F9" s="63"/>
    </row>
    <row r="10" spans="2:8" ht="56.25" customHeight="1" thickBot="1" x14ac:dyDescent="0.35">
      <c r="B10" s="61" t="s">
        <v>470</v>
      </c>
      <c r="C10" s="958" t="s">
        <v>198</v>
      </c>
      <c r="D10" s="958"/>
      <c r="E10" s="64" t="s">
        <v>108</v>
      </c>
      <c r="F10" s="64"/>
    </row>
    <row r="12" spans="2:8" ht="16.2" thickBot="1" x14ac:dyDescent="0.35">
      <c r="B12" s="65" t="s">
        <v>27</v>
      </c>
    </row>
    <row r="13" spans="2:8" ht="42" thickBot="1" x14ac:dyDescent="0.35">
      <c r="B13" s="32" t="s">
        <v>1</v>
      </c>
      <c r="C13" s="32" t="s">
        <v>28</v>
      </c>
      <c r="D13" s="32" t="s">
        <v>29</v>
      </c>
      <c r="E13" s="32" t="s">
        <v>30</v>
      </c>
      <c r="F13" s="32" t="s">
        <v>31</v>
      </c>
      <c r="G13" s="32" t="s">
        <v>32</v>
      </c>
      <c r="H13" s="32" t="s">
        <v>33</v>
      </c>
    </row>
    <row r="14" spans="2:8" ht="25.2" x14ac:dyDescent="0.3">
      <c r="B14" s="37">
        <v>1</v>
      </c>
      <c r="C14" s="12" t="s">
        <v>199</v>
      </c>
      <c r="D14" s="13" t="s">
        <v>35</v>
      </c>
      <c r="E14" s="13" t="s">
        <v>19</v>
      </c>
      <c r="F14" s="961" t="s">
        <v>200</v>
      </c>
      <c r="G14" s="14" t="s">
        <v>37</v>
      </c>
      <c r="H14" s="96" t="s">
        <v>201</v>
      </c>
    </row>
    <row r="15" spans="2:8" ht="25.8" x14ac:dyDescent="0.3">
      <c r="B15" s="39">
        <v>2</v>
      </c>
      <c r="C15" s="40" t="s">
        <v>202</v>
      </c>
      <c r="D15" s="40" t="s">
        <v>35</v>
      </c>
      <c r="E15" s="41" t="s">
        <v>47</v>
      </c>
      <c r="F15" s="981"/>
      <c r="G15" s="86" t="s">
        <v>37</v>
      </c>
      <c r="H15" s="97" t="s">
        <v>203</v>
      </c>
    </row>
    <row r="16" spans="2:8" ht="37.799999999999997" x14ac:dyDescent="0.3">
      <c r="B16" s="39">
        <v>3</v>
      </c>
      <c r="C16" s="40" t="s">
        <v>204</v>
      </c>
      <c r="D16" s="40" t="s">
        <v>35</v>
      </c>
      <c r="E16" s="41" t="s">
        <v>47</v>
      </c>
      <c r="F16" s="981"/>
      <c r="G16" s="86" t="s">
        <v>37</v>
      </c>
      <c r="H16" s="97" t="s">
        <v>203</v>
      </c>
    </row>
    <row r="17" spans="2:8" ht="25.8" x14ac:dyDescent="0.3">
      <c r="B17" s="39">
        <v>4</v>
      </c>
      <c r="C17" s="40" t="s">
        <v>205</v>
      </c>
      <c r="D17" s="40" t="s">
        <v>35</v>
      </c>
      <c r="E17" s="41" t="s">
        <v>94</v>
      </c>
      <c r="F17" s="981"/>
      <c r="G17" s="86" t="s">
        <v>37</v>
      </c>
      <c r="H17" s="97" t="s">
        <v>203</v>
      </c>
    </row>
    <row r="18" spans="2:8" ht="25.2" x14ac:dyDescent="0.3">
      <c r="B18" s="39">
        <v>5</v>
      </c>
      <c r="C18" s="40" t="s">
        <v>206</v>
      </c>
      <c r="D18" s="40" t="s">
        <v>35</v>
      </c>
      <c r="E18" s="41" t="s">
        <v>175</v>
      </c>
      <c r="F18" s="981"/>
      <c r="G18" s="86" t="s">
        <v>37</v>
      </c>
      <c r="H18" s="97" t="s">
        <v>193</v>
      </c>
    </row>
    <row r="19" spans="2:8" ht="25.8" thickBot="1" x14ac:dyDescent="0.35">
      <c r="B19" s="53">
        <v>6</v>
      </c>
      <c r="C19" s="54" t="s">
        <v>207</v>
      </c>
      <c r="D19" s="55" t="s">
        <v>35</v>
      </c>
      <c r="E19" s="55" t="s">
        <v>53</v>
      </c>
      <c r="F19" s="1155"/>
      <c r="G19" s="98" t="s">
        <v>37</v>
      </c>
      <c r="H19" s="99" t="s">
        <v>193</v>
      </c>
    </row>
    <row r="22" spans="2:8" ht="26.4" x14ac:dyDescent="0.3">
      <c r="C22" s="197" t="s">
        <v>457</v>
      </c>
      <c r="D22" s="203"/>
      <c r="E22" s="176" t="s">
        <v>458</v>
      </c>
      <c r="F22" s="176" t="s">
        <v>456</v>
      </c>
    </row>
    <row r="23" spans="2:8" x14ac:dyDescent="0.3">
      <c r="C23" s="204" t="str">
        <f>[1]Notes!B72</f>
        <v>Unsecured, considered good</v>
      </c>
      <c r="D23" s="215"/>
      <c r="E23" s="177"/>
      <c r="F23" s="217"/>
    </row>
    <row r="24" spans="2:8" x14ac:dyDescent="0.3">
      <c r="C24" s="186" t="str">
        <f>[1]Notes!B73</f>
        <v>Deposits with statutory authorities</v>
      </c>
      <c r="D24" s="216"/>
      <c r="E24" s="178">
        <f>[1]Notes!C73</f>
        <v>1117335</v>
      </c>
      <c r="F24" s="1154" t="s">
        <v>455</v>
      </c>
    </row>
    <row r="25" spans="2:8" x14ac:dyDescent="0.3">
      <c r="C25" s="186" t="str">
        <f>[1]Notes!B74</f>
        <v>Other deposits</v>
      </c>
      <c r="D25" s="216"/>
      <c r="E25" s="178">
        <f>[1]Notes!C74</f>
        <v>5713038</v>
      </c>
      <c r="F25" s="1154"/>
      <c r="H25" s="218"/>
    </row>
    <row r="26" spans="2:8" x14ac:dyDescent="0.3">
      <c r="C26" s="186" t="str">
        <f>[1]Notes!B75</f>
        <v>Advance to creditors</v>
      </c>
      <c r="D26" s="216"/>
      <c r="E26" s="178">
        <f>[1]Notes!C75</f>
        <v>32735679.289999999</v>
      </c>
      <c r="F26" s="194" t="s">
        <v>455</v>
      </c>
    </row>
    <row r="27" spans="2:8" x14ac:dyDescent="0.3">
      <c r="C27" s="186" t="str">
        <f>[1]Notes!B76</f>
        <v>Advance for capital expenditure</v>
      </c>
      <c r="D27" s="216"/>
      <c r="E27" s="178">
        <f>[1]Notes!C76</f>
        <v>946636</v>
      </c>
      <c r="F27" s="194" t="s">
        <v>463</v>
      </c>
      <c r="H27" s="218"/>
    </row>
    <row r="28" spans="2:8" x14ac:dyDescent="0.3">
      <c r="C28" s="186" t="str">
        <f>[1]Notes!B77</f>
        <v>Duties and taxes receivable</v>
      </c>
      <c r="D28" s="216"/>
      <c r="E28" s="178">
        <f>[1]Notes!C77</f>
        <v>42658542.140000001</v>
      </c>
      <c r="F28" s="194" t="s">
        <v>462</v>
      </c>
    </row>
    <row r="29" spans="2:8" x14ac:dyDescent="0.3">
      <c r="C29" s="186" t="str">
        <f>[1]Notes!B78</f>
        <v>Advance to staff</v>
      </c>
      <c r="D29" s="216"/>
      <c r="E29" s="178">
        <f>[1]Notes!C78</f>
        <v>572576.5</v>
      </c>
      <c r="F29" s="194" t="s">
        <v>460</v>
      </c>
    </row>
    <row r="30" spans="2:8" x14ac:dyDescent="0.3">
      <c r="C30" s="186" t="str">
        <f>[1]Notes!B79</f>
        <v>Other advances</v>
      </c>
      <c r="D30" s="216"/>
      <c r="E30" s="178">
        <f>[1]Notes!C79</f>
        <v>2835852.74</v>
      </c>
      <c r="F30" s="194" t="s">
        <v>461</v>
      </c>
    </row>
    <row r="31" spans="2:8" x14ac:dyDescent="0.3">
      <c r="C31" s="187" t="s">
        <v>459</v>
      </c>
      <c r="D31" s="213"/>
      <c r="E31" s="214">
        <f>SUM(E23:E30)</f>
        <v>86579659.670000002</v>
      </c>
      <c r="F31" s="212"/>
    </row>
    <row r="34" spans="5:5" x14ac:dyDescent="0.3">
      <c r="E34" s="218"/>
    </row>
  </sheetData>
  <mergeCells count="8">
    <mergeCell ref="F24:F25"/>
    <mergeCell ref="F14:F19"/>
    <mergeCell ref="C5:D5"/>
    <mergeCell ref="C6:D6"/>
    <mergeCell ref="C7:D7"/>
    <mergeCell ref="C8:D8"/>
    <mergeCell ref="C9:D9"/>
    <mergeCell ref="C10:D10"/>
  </mergeCells>
  <hyperlinks>
    <hyperlink ref="F29" r:id="rId1" display="Balance Sheet Items\Loans &amp; Advances\Loans&amp;Advance (Debit Balance) 2016-17.xlsx" xr:uid="{00000000-0004-0000-1900-000000000000}"/>
    <hyperlink ref="F30" r:id="rId2" display="Balance Sheet Items\Loans &amp; Advances\Loans&amp;Advance (Debit Balance) 2016-17.xlsx" xr:uid="{00000000-0004-0000-1900-000001000000}"/>
    <hyperlink ref="F28" r:id="rId3" display="Balance Sheet Items\Loans &amp; Advances\Loans&amp;Advance (Debit Balance) 2016-17.xlsx" xr:uid="{00000000-0004-0000-1900-000002000000}"/>
    <hyperlink ref="F27" r:id="rId4" display="Balance Sheet Items\Loans &amp; Advances\Loans&amp;Advance (Debit Balance) 2016-17.xlsx" xr:uid="{00000000-0004-0000-1900-000003000000}"/>
    <hyperlink ref="F24:F25" r:id="rId5" display="Balance Sheet Items\Deposites\Consolidated.xlsx" xr:uid="{00000000-0004-0000-1900-000004000000}"/>
    <hyperlink ref="F26" r:id="rId6" display="Balance Sheet Items\Sundry Creditors\Sundry Creditors  - (Advances) 2016-17.xlsx" xr:uid="{00000000-0004-0000-1900-000005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tabColor rgb="FFFFFF00"/>
  </sheetPr>
  <dimension ref="B1:I32"/>
  <sheetViews>
    <sheetView topLeftCell="A14" workbookViewId="0">
      <selection activeCell="C19" sqref="C19"/>
    </sheetView>
  </sheetViews>
  <sheetFormatPr defaultColWidth="9.109375" defaultRowHeight="12.6" x14ac:dyDescent="0.25"/>
  <cols>
    <col min="1" max="1" width="3" style="1" customWidth="1"/>
    <col min="2" max="2" width="9.109375" style="1"/>
    <col min="3" max="3" width="46.5546875" style="1" customWidth="1"/>
    <col min="4" max="5" width="9.109375" style="1"/>
    <col min="6" max="6" width="15.109375" style="1" customWidth="1"/>
    <col min="7" max="7" width="47.33203125" style="1" customWidth="1"/>
    <col min="8" max="8" width="15.88671875" style="1" customWidth="1"/>
    <col min="9" max="9" width="25.109375" style="1" customWidth="1"/>
    <col min="10" max="16384" width="9.109375" style="1"/>
  </cols>
  <sheetData>
    <row r="1" spans="2:9" customFormat="1" ht="15" thickBot="1" x14ac:dyDescent="0.35"/>
    <row r="2" spans="2:9" customFormat="1" ht="21" thickBot="1" x14ac:dyDescent="0.4">
      <c r="B2" s="8" t="s">
        <v>23</v>
      </c>
      <c r="C2" s="9"/>
      <c r="D2" s="10" t="s">
        <v>303</v>
      </c>
      <c r="E2" s="100"/>
    </row>
    <row r="3" spans="2:9" customFormat="1" ht="14.4" x14ac:dyDescent="0.3"/>
    <row r="4" spans="2:9" customFormat="1" ht="14.4" x14ac:dyDescent="0.3"/>
    <row r="5" spans="2:9" customFormat="1" ht="17.399999999999999" x14ac:dyDescent="0.3">
      <c r="B5" s="101" t="s">
        <v>209</v>
      </c>
    </row>
    <row r="6" spans="2:9" customFormat="1" ht="15" thickBot="1" x14ac:dyDescent="0.35"/>
    <row r="7" spans="2:9" customFormat="1" ht="28.2" thickBot="1" x14ac:dyDescent="0.35">
      <c r="B7" s="102" t="s">
        <v>1</v>
      </c>
      <c r="C7" s="102" t="s">
        <v>28</v>
      </c>
      <c r="D7" s="102" t="s">
        <v>29</v>
      </c>
      <c r="E7" s="102" t="s">
        <v>210</v>
      </c>
      <c r="F7" s="102" t="s">
        <v>30</v>
      </c>
      <c r="G7" s="102" t="s">
        <v>31</v>
      </c>
      <c r="H7" s="102" t="s">
        <v>32</v>
      </c>
      <c r="I7" s="102" t="s">
        <v>33</v>
      </c>
    </row>
    <row r="8" spans="2:9" ht="25.2" x14ac:dyDescent="0.25">
      <c r="B8" s="134">
        <v>1</v>
      </c>
      <c r="C8" s="257" t="s">
        <v>304</v>
      </c>
      <c r="D8" s="103" t="s">
        <v>37</v>
      </c>
      <c r="E8" s="103" t="s">
        <v>305</v>
      </c>
      <c r="F8" s="103" t="s">
        <v>306</v>
      </c>
      <c r="G8" s="135" t="s">
        <v>160</v>
      </c>
      <c r="H8" s="136" t="s">
        <v>37</v>
      </c>
      <c r="I8" s="82" t="s">
        <v>161</v>
      </c>
    </row>
    <row r="9" spans="2:9" ht="25.2" x14ac:dyDescent="0.25">
      <c r="B9" s="137">
        <v>2</v>
      </c>
      <c r="C9" s="250" t="s">
        <v>307</v>
      </c>
      <c r="D9" s="22" t="s">
        <v>37</v>
      </c>
      <c r="E9" s="22" t="s">
        <v>305</v>
      </c>
      <c r="F9" s="22" t="s">
        <v>19</v>
      </c>
      <c r="G9" s="138" t="s">
        <v>308</v>
      </c>
      <c r="H9" s="70" t="s">
        <v>37</v>
      </c>
      <c r="I9" s="45" t="s">
        <v>158</v>
      </c>
    </row>
    <row r="10" spans="2:9" ht="56.25" customHeight="1" x14ac:dyDescent="0.25">
      <c r="B10" s="137">
        <v>3</v>
      </c>
      <c r="C10" s="21" t="s">
        <v>309</v>
      </c>
      <c r="D10" s="22" t="s">
        <v>37</v>
      </c>
      <c r="E10" s="22" t="s">
        <v>305</v>
      </c>
      <c r="F10" s="22" t="s">
        <v>310</v>
      </c>
      <c r="G10" s="22" t="s">
        <v>172</v>
      </c>
      <c r="H10" s="70" t="s">
        <v>37</v>
      </c>
      <c r="I10" s="45" t="s">
        <v>173</v>
      </c>
    </row>
    <row r="11" spans="2:9" ht="37.799999999999997" x14ac:dyDescent="0.25">
      <c r="B11" s="137">
        <v>4</v>
      </c>
      <c r="C11" s="250" t="s">
        <v>311</v>
      </c>
      <c r="D11" s="21" t="s">
        <v>37</v>
      </c>
      <c r="E11" s="21" t="s">
        <v>305</v>
      </c>
      <c r="F11" s="22" t="s">
        <v>312</v>
      </c>
      <c r="G11" s="138" t="s">
        <v>313</v>
      </c>
      <c r="H11" s="70" t="s">
        <v>37</v>
      </c>
      <c r="I11" s="45" t="s">
        <v>165</v>
      </c>
    </row>
    <row r="12" spans="2:9" ht="75.599999999999994" x14ac:dyDescent="0.25">
      <c r="B12" s="137">
        <v>5</v>
      </c>
      <c r="C12" s="250" t="s">
        <v>314</v>
      </c>
      <c r="D12" s="21" t="s">
        <v>37</v>
      </c>
      <c r="E12" s="21" t="s">
        <v>305</v>
      </c>
      <c r="F12" s="22" t="s">
        <v>312</v>
      </c>
      <c r="G12" s="138" t="s">
        <v>167</v>
      </c>
      <c r="H12" s="70" t="s">
        <v>37</v>
      </c>
      <c r="I12" s="45" t="s">
        <v>165</v>
      </c>
    </row>
    <row r="13" spans="2:9" ht="41.25" customHeight="1" x14ac:dyDescent="0.25">
      <c r="B13" s="137">
        <v>6</v>
      </c>
      <c r="C13" s="250" t="s">
        <v>315</v>
      </c>
      <c r="D13" s="21" t="s">
        <v>37</v>
      </c>
      <c r="E13" s="21" t="s">
        <v>305</v>
      </c>
      <c r="F13" s="22" t="s">
        <v>312</v>
      </c>
      <c r="G13" s="60" t="s">
        <v>316</v>
      </c>
      <c r="H13" s="70" t="s">
        <v>37</v>
      </c>
      <c r="I13" s="45" t="s">
        <v>165</v>
      </c>
    </row>
    <row r="14" spans="2:9" ht="37.799999999999997" x14ac:dyDescent="0.25">
      <c r="B14" s="137">
        <v>7</v>
      </c>
      <c r="C14" s="250" t="s">
        <v>317</v>
      </c>
      <c r="D14" s="22" t="s">
        <v>37</v>
      </c>
      <c r="E14" s="22" t="s">
        <v>305</v>
      </c>
      <c r="F14" s="22" t="s">
        <v>306</v>
      </c>
      <c r="G14" s="138" t="s">
        <v>176</v>
      </c>
      <c r="H14" s="70" t="s">
        <v>37</v>
      </c>
      <c r="I14" s="45" t="s">
        <v>177</v>
      </c>
    </row>
    <row r="15" spans="2:9" ht="25.2" x14ac:dyDescent="0.25">
      <c r="B15" s="137">
        <v>8</v>
      </c>
      <c r="C15" s="21" t="s">
        <v>318</v>
      </c>
      <c r="D15" s="22" t="s">
        <v>37</v>
      </c>
      <c r="E15" s="22" t="s">
        <v>305</v>
      </c>
      <c r="F15" s="22" t="s">
        <v>19</v>
      </c>
      <c r="G15" s="138" t="s">
        <v>319</v>
      </c>
      <c r="H15" s="70" t="s">
        <v>37</v>
      </c>
      <c r="I15" s="45" t="s">
        <v>161</v>
      </c>
    </row>
    <row r="16" spans="2:9" ht="50.4" x14ac:dyDescent="0.25">
      <c r="B16" s="137">
        <v>9</v>
      </c>
      <c r="C16" s="21" t="s">
        <v>320</v>
      </c>
      <c r="D16" s="22" t="s">
        <v>37</v>
      </c>
      <c r="E16" s="22" t="s">
        <v>305</v>
      </c>
      <c r="F16" s="22" t="s">
        <v>310</v>
      </c>
      <c r="G16" s="22" t="s">
        <v>321</v>
      </c>
      <c r="H16" s="70" t="s">
        <v>37</v>
      </c>
      <c r="I16" s="45" t="s">
        <v>182</v>
      </c>
    </row>
    <row r="17" spans="2:9" ht="42" customHeight="1" x14ac:dyDescent="0.25">
      <c r="B17" s="139">
        <v>10</v>
      </c>
      <c r="C17" s="90" t="s">
        <v>322</v>
      </c>
      <c r="D17" s="90" t="s">
        <v>37</v>
      </c>
      <c r="E17" s="90" t="s">
        <v>305</v>
      </c>
      <c r="F17" s="140" t="s">
        <v>312</v>
      </c>
      <c r="G17" s="141" t="s">
        <v>176</v>
      </c>
      <c r="H17" s="142" t="s">
        <v>37</v>
      </c>
      <c r="I17" s="89" t="s">
        <v>177</v>
      </c>
    </row>
    <row r="18" spans="2:9" ht="42" customHeight="1" x14ac:dyDescent="0.25">
      <c r="B18" s="45">
        <v>11</v>
      </c>
      <c r="C18" s="250" t="s">
        <v>323</v>
      </c>
      <c r="D18" s="21" t="s">
        <v>37</v>
      </c>
      <c r="E18" s="21" t="s">
        <v>305</v>
      </c>
      <c r="F18" s="21" t="s">
        <v>19</v>
      </c>
      <c r="G18" s="88" t="s">
        <v>185</v>
      </c>
      <c r="H18" s="47" t="s">
        <v>37</v>
      </c>
      <c r="I18" s="45" t="s">
        <v>186</v>
      </c>
    </row>
    <row r="19" spans="2:9" ht="50.4" x14ac:dyDescent="0.25">
      <c r="B19" s="45">
        <v>12</v>
      </c>
      <c r="C19" s="21" t="s">
        <v>324</v>
      </c>
      <c r="D19" s="21" t="s">
        <v>37</v>
      </c>
      <c r="E19" s="21" t="s">
        <v>305</v>
      </c>
      <c r="F19" s="21" t="s">
        <v>306</v>
      </c>
      <c r="G19" s="88" t="s">
        <v>188</v>
      </c>
      <c r="H19" s="47" t="s">
        <v>37</v>
      </c>
      <c r="I19" s="45" t="s">
        <v>189</v>
      </c>
    </row>
    <row r="20" spans="2:9" ht="51" thickBot="1" x14ac:dyDescent="0.3">
      <c r="B20" s="93">
        <v>13</v>
      </c>
      <c r="C20" s="26" t="s">
        <v>325</v>
      </c>
      <c r="D20" s="26" t="s">
        <v>37</v>
      </c>
      <c r="E20" s="26" t="s">
        <v>305</v>
      </c>
      <c r="F20" s="26" t="s">
        <v>326</v>
      </c>
      <c r="G20" s="94" t="s">
        <v>327</v>
      </c>
      <c r="H20" s="95" t="s">
        <v>37</v>
      </c>
      <c r="I20" s="93" t="s">
        <v>189</v>
      </c>
    </row>
    <row r="23" spans="2:9" ht="13.2" thickBot="1" x14ac:dyDescent="0.3">
      <c r="B23" s="114" t="s">
        <v>0</v>
      </c>
    </row>
    <row r="24" spans="2:9" ht="25.8" thickBot="1" x14ac:dyDescent="0.3">
      <c r="B24" s="117" t="s">
        <v>1</v>
      </c>
      <c r="C24" s="1158" t="s">
        <v>2</v>
      </c>
      <c r="D24" s="1159"/>
      <c r="E24" s="1160"/>
      <c r="F24" s="118" t="s">
        <v>3</v>
      </c>
    </row>
    <row r="25" spans="2:9" s="143" customFormat="1" ht="27" customHeight="1" x14ac:dyDescent="0.25">
      <c r="B25" s="237" t="s">
        <v>161</v>
      </c>
      <c r="C25" s="783" t="s">
        <v>328</v>
      </c>
      <c r="D25" s="783"/>
      <c r="E25" s="783"/>
      <c r="F25" s="3" t="s">
        <v>306</v>
      </c>
      <c r="G25" s="143" t="s">
        <v>329</v>
      </c>
    </row>
    <row r="26" spans="2:9" s="143" customFormat="1" ht="28.5" customHeight="1" x14ac:dyDescent="0.25">
      <c r="B26" s="235" t="s">
        <v>158</v>
      </c>
      <c r="C26" s="774" t="s">
        <v>330</v>
      </c>
      <c r="D26" s="774"/>
      <c r="E26" s="774"/>
      <c r="F26" s="5" t="s">
        <v>19</v>
      </c>
      <c r="G26" s="143" t="s">
        <v>329</v>
      </c>
    </row>
    <row r="27" spans="2:9" ht="47.25" customHeight="1" x14ac:dyDescent="0.25">
      <c r="B27" s="124" t="s">
        <v>173</v>
      </c>
      <c r="C27" s="774" t="s">
        <v>331</v>
      </c>
      <c r="D27" s="774"/>
      <c r="E27" s="774"/>
      <c r="F27" s="124" t="s">
        <v>310</v>
      </c>
      <c r="G27" s="143" t="s">
        <v>329</v>
      </c>
    </row>
    <row r="28" spans="2:9" s="143" customFormat="1" ht="51.75" customHeight="1" x14ac:dyDescent="0.25">
      <c r="B28" s="5" t="s">
        <v>182</v>
      </c>
      <c r="C28" s="774" t="s">
        <v>332</v>
      </c>
      <c r="D28" s="774"/>
      <c r="E28" s="774"/>
      <c r="F28" s="5" t="s">
        <v>310</v>
      </c>
      <c r="G28" s="143" t="s">
        <v>329</v>
      </c>
    </row>
    <row r="29" spans="2:9" ht="30" customHeight="1" x14ac:dyDescent="0.25">
      <c r="B29" s="264" t="s">
        <v>165</v>
      </c>
      <c r="C29" s="774" t="s">
        <v>333</v>
      </c>
      <c r="D29" s="774"/>
      <c r="E29" s="774"/>
      <c r="F29" s="124" t="s">
        <v>326</v>
      </c>
      <c r="G29" s="143" t="s">
        <v>329</v>
      </c>
    </row>
    <row r="30" spans="2:9" ht="35.25" customHeight="1" x14ac:dyDescent="0.25">
      <c r="B30" s="264" t="s">
        <v>177</v>
      </c>
      <c r="C30" s="774" t="s">
        <v>334</v>
      </c>
      <c r="D30" s="774"/>
      <c r="E30" s="774"/>
      <c r="F30" s="124" t="s">
        <v>326</v>
      </c>
      <c r="G30" s="143" t="s">
        <v>329</v>
      </c>
    </row>
    <row r="31" spans="2:9" ht="27" customHeight="1" x14ac:dyDescent="0.25">
      <c r="B31" s="264" t="s">
        <v>186</v>
      </c>
      <c r="C31" s="774" t="s">
        <v>335</v>
      </c>
      <c r="D31" s="774"/>
      <c r="E31" s="774"/>
      <c r="F31" s="124" t="s">
        <v>19</v>
      </c>
      <c r="G31" s="143" t="s">
        <v>329</v>
      </c>
    </row>
    <row r="32" spans="2:9" ht="60.75" customHeight="1" x14ac:dyDescent="0.25">
      <c r="B32" s="124" t="s">
        <v>189</v>
      </c>
      <c r="C32" s="774" t="s">
        <v>336</v>
      </c>
      <c r="D32" s="774"/>
      <c r="E32" s="774"/>
      <c r="F32" s="5" t="s">
        <v>312</v>
      </c>
      <c r="G32" s="143" t="s">
        <v>329</v>
      </c>
    </row>
  </sheetData>
  <mergeCells count="9">
    <mergeCell ref="C30:E30"/>
    <mergeCell ref="C31:E31"/>
    <mergeCell ref="C32:E32"/>
    <mergeCell ref="C24:E24"/>
    <mergeCell ref="C25:E25"/>
    <mergeCell ref="C26:E26"/>
    <mergeCell ref="C27:E27"/>
    <mergeCell ref="C28:E28"/>
    <mergeCell ref="C29:E29"/>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71"/>
  <sheetViews>
    <sheetView topLeftCell="A30" workbookViewId="0">
      <selection activeCell="B34" sqref="B34"/>
    </sheetView>
  </sheetViews>
  <sheetFormatPr defaultRowHeight="14.4" x14ac:dyDescent="0.3"/>
  <cols>
    <col min="1" max="1" width="2.5546875" style="307" customWidth="1"/>
    <col min="2" max="11" width="15" customWidth="1"/>
  </cols>
  <sheetData>
    <row r="1" spans="1:11" x14ac:dyDescent="0.3">
      <c r="B1" s="307"/>
      <c r="C1" s="307"/>
      <c r="D1" s="307"/>
      <c r="E1" s="307"/>
      <c r="F1" s="307"/>
      <c r="G1" s="307"/>
      <c r="H1" s="307"/>
      <c r="I1" s="307"/>
      <c r="J1" s="307"/>
      <c r="K1" s="307"/>
    </row>
    <row r="2" spans="1:11" x14ac:dyDescent="0.3">
      <c r="B2" s="269" t="s">
        <v>998</v>
      </c>
      <c r="C2" s="307"/>
      <c r="D2" s="307"/>
      <c r="E2" s="307"/>
      <c r="F2" s="307"/>
      <c r="G2" s="307"/>
      <c r="H2" s="307"/>
      <c r="I2" s="307"/>
      <c r="J2" s="307"/>
      <c r="K2" s="307"/>
    </row>
    <row r="3" spans="1:11" x14ac:dyDescent="0.3">
      <c r="B3" s="269" t="s">
        <v>1058</v>
      </c>
      <c r="C3" s="307"/>
      <c r="D3" s="307"/>
      <c r="E3" s="307"/>
      <c r="F3" s="307"/>
      <c r="G3" s="307"/>
      <c r="H3" s="307"/>
      <c r="I3" s="307"/>
      <c r="J3" s="307"/>
      <c r="K3" s="307"/>
    </row>
    <row r="4" spans="1:11" ht="15" thickBot="1" x14ac:dyDescent="0.35">
      <c r="B4" s="307"/>
      <c r="C4" s="307"/>
      <c r="D4" s="307"/>
      <c r="E4" s="307"/>
      <c r="F4" s="307"/>
      <c r="G4" s="307"/>
      <c r="H4" s="307"/>
      <c r="I4" s="307"/>
      <c r="J4" s="307"/>
      <c r="K4" s="307"/>
    </row>
    <row r="5" spans="1:11" ht="15" thickBot="1" x14ac:dyDescent="0.35">
      <c r="B5" s="1183" t="s">
        <v>23</v>
      </c>
      <c r="C5" s="1184"/>
      <c r="D5" s="1185"/>
      <c r="E5" s="308"/>
      <c r="F5" s="305" t="s">
        <v>291</v>
      </c>
      <c r="G5" s="267"/>
      <c r="H5" s="267"/>
      <c r="I5" s="267"/>
      <c r="J5" s="307"/>
      <c r="K5" s="307"/>
    </row>
    <row r="6" spans="1:11" ht="15" thickBot="1" x14ac:dyDescent="0.35">
      <c r="B6" s="1186" t="s">
        <v>860</v>
      </c>
      <c r="C6" s="1187"/>
      <c r="D6" s="1187"/>
      <c r="E6" s="306"/>
      <c r="F6" s="305" t="s">
        <v>615</v>
      </c>
      <c r="G6" s="307"/>
      <c r="H6" s="307"/>
      <c r="I6" s="307"/>
      <c r="J6" s="307"/>
      <c r="K6" s="307"/>
    </row>
    <row r="7" spans="1:11" ht="15" thickBot="1" x14ac:dyDescent="0.35">
      <c r="B7" s="1188" t="s">
        <v>1075</v>
      </c>
      <c r="C7" s="1188"/>
      <c r="D7" s="1188"/>
      <c r="E7" s="306"/>
      <c r="F7" s="332">
        <v>3457800</v>
      </c>
      <c r="G7" s="307"/>
      <c r="H7" s="307"/>
      <c r="I7" s="307"/>
      <c r="J7" s="307"/>
      <c r="K7" s="307"/>
    </row>
    <row r="8" spans="1:11" x14ac:dyDescent="0.3">
      <c r="B8" s="307"/>
      <c r="C8" s="307"/>
      <c r="D8" s="307"/>
      <c r="E8" s="307"/>
      <c r="F8" s="307"/>
      <c r="G8" s="307"/>
      <c r="H8" s="307"/>
      <c r="I8" s="307"/>
      <c r="J8" s="307"/>
      <c r="K8" s="307"/>
    </row>
    <row r="9" spans="1:11" x14ac:dyDescent="0.3">
      <c r="B9" s="310" t="s">
        <v>508</v>
      </c>
      <c r="C9" s="307"/>
      <c r="D9" s="307"/>
      <c r="E9" s="307"/>
      <c r="F9" s="307"/>
      <c r="G9" s="307"/>
      <c r="H9" s="307"/>
      <c r="I9" s="307"/>
      <c r="J9" s="307"/>
      <c r="K9" s="307"/>
    </row>
    <row r="10" spans="1:11" x14ac:dyDescent="0.3">
      <c r="A10" s="309" t="s">
        <v>1097</v>
      </c>
      <c r="B10" s="309" t="s">
        <v>907</v>
      </c>
      <c r="C10" s="307"/>
      <c r="D10" s="307"/>
      <c r="E10" s="307"/>
      <c r="F10" s="307"/>
      <c r="G10" s="307"/>
      <c r="H10" s="307"/>
      <c r="I10" s="307"/>
      <c r="J10" s="307"/>
      <c r="K10" s="307"/>
    </row>
    <row r="11" spans="1:11" ht="15" thickBot="1" x14ac:dyDescent="0.35">
      <c r="B11" s="307"/>
      <c r="C11" s="307"/>
      <c r="D11" s="307"/>
      <c r="E11" s="307"/>
      <c r="F11" s="307"/>
      <c r="G11" s="307"/>
      <c r="H11" s="307"/>
      <c r="I11" s="307"/>
      <c r="J11" s="307"/>
      <c r="K11" s="307"/>
    </row>
    <row r="12" spans="1:11" ht="15" thickBot="1" x14ac:dyDescent="0.35">
      <c r="B12" s="1175" t="s">
        <v>1060</v>
      </c>
      <c r="C12" s="1176"/>
      <c r="D12" s="1176"/>
      <c r="E12" s="1176"/>
      <c r="F12" s="1176"/>
      <c r="G12" s="1176"/>
      <c r="H12" s="1176"/>
      <c r="I12" s="1176"/>
      <c r="J12" s="1176"/>
      <c r="K12" s="1177"/>
    </row>
    <row r="13" spans="1:11" ht="15" thickBot="1" x14ac:dyDescent="0.35">
      <c r="B13" s="311" t="s">
        <v>577</v>
      </c>
      <c r="C13" s="1189" t="s">
        <v>292</v>
      </c>
      <c r="D13" s="1189"/>
      <c r="E13" s="1189"/>
      <c r="F13" s="1189"/>
      <c r="G13" s="1189"/>
      <c r="H13" s="1189"/>
      <c r="I13" s="1189"/>
      <c r="J13" s="1189"/>
      <c r="K13" s="1190"/>
    </row>
    <row r="14" spans="1:11" ht="15" thickBot="1" x14ac:dyDescent="0.35">
      <c r="B14" s="1161" t="s">
        <v>1061</v>
      </c>
      <c r="C14" s="1161"/>
      <c r="D14" s="1161"/>
      <c r="E14" s="1161"/>
      <c r="F14" s="1161"/>
      <c r="G14" s="1161" t="s">
        <v>1062</v>
      </c>
      <c r="H14" s="1161"/>
      <c r="I14" s="1161"/>
      <c r="J14" s="1161"/>
      <c r="K14" s="1161"/>
    </row>
    <row r="15" spans="1:11" ht="28.2" thickBot="1" x14ac:dyDescent="0.35">
      <c r="B15" s="323" t="s">
        <v>26</v>
      </c>
      <c r="C15" s="324" t="s">
        <v>553</v>
      </c>
      <c r="D15" s="324" t="s">
        <v>19</v>
      </c>
      <c r="E15" s="324" t="s">
        <v>25</v>
      </c>
      <c r="F15" s="325" t="s">
        <v>554</v>
      </c>
      <c r="G15" s="326" t="s">
        <v>1063</v>
      </c>
      <c r="H15" s="324" t="s">
        <v>1064</v>
      </c>
      <c r="I15" s="327" t="s">
        <v>1065</v>
      </c>
      <c r="J15" s="327" t="s">
        <v>1066</v>
      </c>
      <c r="K15" s="328" t="s">
        <v>1067</v>
      </c>
    </row>
    <row r="16" spans="1:11" ht="15" thickBot="1" x14ac:dyDescent="0.35">
      <c r="B16" s="312" t="s">
        <v>621</v>
      </c>
      <c r="C16" s="313" t="s">
        <v>619</v>
      </c>
      <c r="D16" s="313" t="s">
        <v>621</v>
      </c>
      <c r="E16" s="313" t="s">
        <v>619</v>
      </c>
      <c r="F16" s="314" t="s">
        <v>621</v>
      </c>
      <c r="G16" s="317" t="s">
        <v>621</v>
      </c>
      <c r="H16" s="313" t="s">
        <v>621</v>
      </c>
      <c r="I16" s="313" t="s">
        <v>621</v>
      </c>
      <c r="J16" s="313" t="s">
        <v>621</v>
      </c>
      <c r="K16" s="314" t="s">
        <v>621</v>
      </c>
    </row>
    <row r="17" spans="1:11" ht="28.2" thickBot="1" x14ac:dyDescent="0.35">
      <c r="B17" s="329" t="s">
        <v>1072</v>
      </c>
      <c r="C17" s="1167"/>
      <c r="D17" s="1168"/>
      <c r="E17" s="1168"/>
      <c r="F17" s="1169"/>
      <c r="G17" s="329" t="s">
        <v>1080</v>
      </c>
      <c r="H17" s="1167"/>
      <c r="I17" s="1168"/>
      <c r="J17" s="1168"/>
      <c r="K17" s="1169"/>
    </row>
    <row r="18" spans="1:11" ht="15" thickBot="1" x14ac:dyDescent="0.35">
      <c r="B18" s="330" t="s">
        <v>1069</v>
      </c>
      <c r="C18" s="315">
        <v>4</v>
      </c>
      <c r="D18" s="1170"/>
      <c r="E18" s="1171"/>
      <c r="F18" s="1171"/>
      <c r="G18" s="1171"/>
      <c r="H18" s="1171"/>
      <c r="I18" s="1171"/>
      <c r="J18" s="1171"/>
      <c r="K18" s="1172"/>
    </row>
    <row r="19" spans="1:11" ht="28.8" thickBot="1" x14ac:dyDescent="0.35">
      <c r="B19" s="331" t="s">
        <v>1070</v>
      </c>
      <c r="C19" s="315">
        <v>3</v>
      </c>
      <c r="D19" s="1170"/>
      <c r="E19" s="1171"/>
      <c r="F19" s="1171"/>
      <c r="G19" s="1171"/>
      <c r="H19" s="1171"/>
      <c r="I19" s="1171"/>
      <c r="J19" s="1171"/>
      <c r="K19" s="1172"/>
    </row>
    <row r="20" spans="1:11" ht="15" thickBot="1" x14ac:dyDescent="0.35">
      <c r="B20" s="330" t="s">
        <v>1071</v>
      </c>
      <c r="C20" s="1173">
        <f>C18*C19</f>
        <v>12</v>
      </c>
      <c r="D20" s="1173"/>
      <c r="E20" s="1173"/>
      <c r="F20" s="1173"/>
      <c r="G20" s="330" t="s">
        <v>210</v>
      </c>
      <c r="H20" s="1174" t="str">
        <f>IF(OR(H17="Yes",C20&gt;16),"Significant risk","Normal risk")</f>
        <v>Normal risk</v>
      </c>
      <c r="I20" s="1174"/>
      <c r="J20" s="1174"/>
      <c r="K20" s="1174"/>
    </row>
    <row r="21" spans="1:11" ht="15" thickBot="1" x14ac:dyDescent="0.35">
      <c r="B21" s="1175" t="s">
        <v>1068</v>
      </c>
      <c r="C21" s="1176"/>
      <c r="D21" s="1176"/>
      <c r="E21" s="1176"/>
      <c r="F21" s="1176"/>
      <c r="G21" s="1176"/>
      <c r="H21" s="1176"/>
      <c r="I21" s="1176"/>
      <c r="J21" s="1176"/>
      <c r="K21" s="1177"/>
    </row>
    <row r="22" spans="1:11" ht="31.5" customHeight="1" thickBot="1" x14ac:dyDescent="0.35">
      <c r="B22" s="316" t="s">
        <v>637</v>
      </c>
      <c r="C22" s="1178" t="s">
        <v>636</v>
      </c>
      <c r="D22" s="1179"/>
      <c r="E22" s="1179"/>
      <c r="F22" s="1179"/>
      <c r="G22" s="1179"/>
      <c r="H22" s="1179"/>
      <c r="I22" s="1179"/>
      <c r="J22" s="1179"/>
      <c r="K22" s="1180"/>
    </row>
    <row r="23" spans="1:11" ht="15" thickBot="1" x14ac:dyDescent="0.35">
      <c r="B23" s="308" t="s">
        <v>1073</v>
      </c>
      <c r="C23" s="321"/>
      <c r="D23" s="322"/>
      <c r="E23" s="1181" t="s">
        <v>35</v>
      </c>
      <c r="F23" s="1182"/>
      <c r="G23" s="318" t="s">
        <v>1074</v>
      </c>
      <c r="H23" s="319"/>
      <c r="I23" s="320"/>
      <c r="J23" s="1170"/>
      <c r="K23" s="1172"/>
    </row>
    <row r="24" spans="1:11" ht="15" thickBot="1" x14ac:dyDescent="0.35">
      <c r="B24" s="1162" t="s">
        <v>1076</v>
      </c>
      <c r="C24" s="1163"/>
      <c r="D24" s="1163"/>
      <c r="E24" s="1163"/>
      <c r="F24" s="1163"/>
      <c r="G24" s="1163"/>
      <c r="H24" s="1163"/>
      <c r="I24" s="1163"/>
      <c r="J24" s="1163"/>
      <c r="K24" s="1164"/>
    </row>
    <row r="25" spans="1:11" ht="15" thickBot="1" x14ac:dyDescent="0.35">
      <c r="B25" s="316" t="str">
        <f>B22</f>
        <v>CAEQ1</v>
      </c>
      <c r="C25" s="1165"/>
      <c r="D25" s="1165"/>
      <c r="E25" s="1165"/>
      <c r="F25" s="1165"/>
      <c r="G25" s="1165"/>
      <c r="H25" s="1165"/>
      <c r="I25" s="1165"/>
      <c r="J25" s="1165"/>
      <c r="K25" s="1166"/>
    </row>
    <row r="26" spans="1:11" ht="15" thickBot="1" x14ac:dyDescent="0.35">
      <c r="B26" s="1162" t="s">
        <v>1077</v>
      </c>
      <c r="C26" s="1163"/>
      <c r="D26" s="1163"/>
      <c r="E26" s="1163"/>
      <c r="F26" s="1163"/>
      <c r="G26" s="1163"/>
      <c r="H26" s="1163"/>
      <c r="I26" s="1163"/>
      <c r="J26" s="1163"/>
      <c r="K26" s="1164"/>
    </row>
    <row r="27" spans="1:11" ht="59.25" customHeight="1" thickBot="1" x14ac:dyDescent="0.35">
      <c r="B27" s="316" t="s">
        <v>690</v>
      </c>
      <c r="C27" s="1178" t="s">
        <v>300</v>
      </c>
      <c r="D27" s="1179"/>
      <c r="E27" s="1179"/>
      <c r="F27" s="1179"/>
      <c r="G27" s="1179"/>
      <c r="H27" s="1179"/>
      <c r="I27" s="1179"/>
      <c r="J27" s="1179"/>
      <c r="K27" s="1180"/>
    </row>
    <row r="28" spans="1:11" ht="28.2" thickBot="1" x14ac:dyDescent="0.35">
      <c r="B28" s="329" t="s">
        <v>1078</v>
      </c>
      <c r="C28" s="1191" t="s">
        <v>37</v>
      </c>
      <c r="D28" s="1192"/>
      <c r="E28" s="1192"/>
      <c r="F28" s="1192"/>
      <c r="G28" s="1192"/>
      <c r="H28" s="1192"/>
      <c r="I28" s="1192"/>
      <c r="J28" s="1192"/>
      <c r="K28" s="1193"/>
    </row>
    <row r="29" spans="1:11" ht="28.8" thickBot="1" x14ac:dyDescent="0.35">
      <c r="B29" s="331" t="s">
        <v>1079</v>
      </c>
      <c r="C29" s="1194" t="s">
        <v>1081</v>
      </c>
      <c r="D29" s="1195"/>
      <c r="E29" s="1195"/>
      <c r="F29" s="1195"/>
      <c r="G29" s="1195"/>
      <c r="H29" s="1195"/>
      <c r="I29" s="1195"/>
      <c r="J29" s="1195"/>
      <c r="K29" s="1196"/>
    </row>
    <row r="31" spans="1:11" x14ac:dyDescent="0.3">
      <c r="A31" s="309" t="s">
        <v>1095</v>
      </c>
      <c r="B31" s="309" t="s">
        <v>522</v>
      </c>
    </row>
    <row r="32" spans="1:11" ht="15" thickBot="1" x14ac:dyDescent="0.35"/>
    <row r="33" spans="2:11" ht="15" thickBot="1" x14ac:dyDescent="0.35">
      <c r="B33" s="1175" t="s">
        <v>1060</v>
      </c>
      <c r="C33" s="1176"/>
      <c r="D33" s="1176"/>
      <c r="E33" s="1176"/>
      <c r="F33" s="1176"/>
      <c r="G33" s="1176"/>
      <c r="H33" s="1176"/>
      <c r="I33" s="1176"/>
      <c r="J33" s="1176"/>
      <c r="K33" s="1177"/>
    </row>
    <row r="34" spans="2:11" ht="15" thickBot="1" x14ac:dyDescent="0.35">
      <c r="B34" s="311" t="s">
        <v>578</v>
      </c>
      <c r="C34" s="1189" t="s">
        <v>295</v>
      </c>
      <c r="D34" s="1189"/>
      <c r="E34" s="1189"/>
      <c r="F34" s="1189"/>
      <c r="G34" s="1189"/>
      <c r="H34" s="1189"/>
      <c r="I34" s="1189"/>
      <c r="J34" s="1189"/>
      <c r="K34" s="1190"/>
    </row>
    <row r="35" spans="2:11" ht="15" thickBot="1" x14ac:dyDescent="0.35">
      <c r="B35" s="1161" t="s">
        <v>1061</v>
      </c>
      <c r="C35" s="1161"/>
      <c r="D35" s="1161"/>
      <c r="E35" s="1161"/>
      <c r="F35" s="1161"/>
      <c r="G35" s="1161" t="s">
        <v>1062</v>
      </c>
      <c r="H35" s="1161"/>
      <c r="I35" s="1161"/>
      <c r="J35" s="1161"/>
      <c r="K35" s="1161"/>
    </row>
    <row r="36" spans="2:11" ht="28.2" thickBot="1" x14ac:dyDescent="0.35">
      <c r="B36" s="323" t="s">
        <v>26</v>
      </c>
      <c r="C36" s="324" t="s">
        <v>553</v>
      </c>
      <c r="D36" s="324" t="s">
        <v>19</v>
      </c>
      <c r="E36" s="324" t="s">
        <v>25</v>
      </c>
      <c r="F36" s="325" t="s">
        <v>554</v>
      </c>
      <c r="G36" s="326" t="s">
        <v>1063</v>
      </c>
      <c r="H36" s="324" t="s">
        <v>1064</v>
      </c>
      <c r="I36" s="327" t="s">
        <v>1065</v>
      </c>
      <c r="J36" s="327" t="s">
        <v>1066</v>
      </c>
      <c r="K36" s="328" t="s">
        <v>1067</v>
      </c>
    </row>
    <row r="37" spans="2:11" ht="15" thickBot="1" x14ac:dyDescent="0.35">
      <c r="B37" s="312" t="s">
        <v>621</v>
      </c>
      <c r="C37" s="313" t="s">
        <v>621</v>
      </c>
      <c r="D37" s="313" t="s">
        <v>621</v>
      </c>
      <c r="E37" s="313" t="s">
        <v>619</v>
      </c>
      <c r="F37" s="314" t="s">
        <v>619</v>
      </c>
      <c r="G37" s="317" t="s">
        <v>621</v>
      </c>
      <c r="H37" s="313" t="s">
        <v>621</v>
      </c>
      <c r="I37" s="313" t="s">
        <v>621</v>
      </c>
      <c r="J37" s="313" t="s">
        <v>621</v>
      </c>
      <c r="K37" s="314" t="s">
        <v>621</v>
      </c>
    </row>
    <row r="38" spans="2:11" ht="28.2" thickBot="1" x14ac:dyDescent="0.35">
      <c r="B38" s="329" t="s">
        <v>1072</v>
      </c>
      <c r="C38" s="1167"/>
      <c r="D38" s="1168"/>
      <c r="E38" s="1168"/>
      <c r="F38" s="1169"/>
      <c r="G38" s="329" t="s">
        <v>1080</v>
      </c>
      <c r="H38" s="1167"/>
      <c r="I38" s="1168"/>
      <c r="J38" s="1168"/>
      <c r="K38" s="1169"/>
    </row>
    <row r="39" spans="2:11" ht="15" thickBot="1" x14ac:dyDescent="0.35">
      <c r="B39" s="330" t="s">
        <v>1069</v>
      </c>
      <c r="C39" s="315">
        <v>4</v>
      </c>
      <c r="D39" s="1170"/>
      <c r="E39" s="1171"/>
      <c r="F39" s="1171"/>
      <c r="G39" s="1171"/>
      <c r="H39" s="1171"/>
      <c r="I39" s="1171"/>
      <c r="J39" s="1171"/>
      <c r="K39" s="1172"/>
    </row>
    <row r="40" spans="2:11" ht="28.8" thickBot="1" x14ac:dyDescent="0.35">
      <c r="B40" s="331" t="s">
        <v>1070</v>
      </c>
      <c r="C40" s="315">
        <v>3</v>
      </c>
      <c r="D40" s="1170"/>
      <c r="E40" s="1171"/>
      <c r="F40" s="1171"/>
      <c r="G40" s="1171"/>
      <c r="H40" s="1171"/>
      <c r="I40" s="1171"/>
      <c r="J40" s="1171"/>
      <c r="K40" s="1172"/>
    </row>
    <row r="41" spans="2:11" ht="15" thickBot="1" x14ac:dyDescent="0.35">
      <c r="B41" s="330" t="s">
        <v>1071</v>
      </c>
      <c r="C41" s="1173">
        <f>C39*C40</f>
        <v>12</v>
      </c>
      <c r="D41" s="1173"/>
      <c r="E41" s="1173"/>
      <c r="F41" s="1173"/>
      <c r="G41" s="330" t="s">
        <v>210</v>
      </c>
      <c r="H41" s="1174" t="str">
        <f>IF(OR(H38="Yes",C41&gt;16),"Significant risk","Normal risk")</f>
        <v>Normal risk</v>
      </c>
      <c r="I41" s="1174"/>
      <c r="J41" s="1174"/>
      <c r="K41" s="1174"/>
    </row>
    <row r="42" spans="2:11" ht="15" thickBot="1" x14ac:dyDescent="0.35">
      <c r="B42" s="1175" t="s">
        <v>1068</v>
      </c>
      <c r="C42" s="1176"/>
      <c r="D42" s="1176"/>
      <c r="E42" s="1176"/>
      <c r="F42" s="1176"/>
      <c r="G42" s="1176"/>
      <c r="H42" s="1176"/>
      <c r="I42" s="1176"/>
      <c r="J42" s="1176"/>
      <c r="K42" s="1177"/>
    </row>
    <row r="43" spans="2:11" ht="34.5" customHeight="1" thickBot="1" x14ac:dyDescent="0.35">
      <c r="B43" s="316" t="s">
        <v>637</v>
      </c>
      <c r="C43" s="1178" t="s">
        <v>636</v>
      </c>
      <c r="D43" s="1179"/>
      <c r="E43" s="1179"/>
      <c r="F43" s="1179"/>
      <c r="G43" s="1179"/>
      <c r="H43" s="1179"/>
      <c r="I43" s="1179"/>
      <c r="J43" s="1179"/>
      <c r="K43" s="1180"/>
    </row>
    <row r="44" spans="2:11" ht="15" thickBot="1" x14ac:dyDescent="0.35">
      <c r="B44" s="308" t="s">
        <v>1073</v>
      </c>
      <c r="C44" s="321"/>
      <c r="D44" s="322"/>
      <c r="E44" s="1181" t="s">
        <v>35</v>
      </c>
      <c r="F44" s="1182"/>
      <c r="G44" s="318" t="s">
        <v>1074</v>
      </c>
      <c r="H44" s="319"/>
      <c r="I44" s="320"/>
      <c r="J44" s="1170"/>
      <c r="K44" s="1172"/>
    </row>
    <row r="45" spans="2:11" ht="15" thickBot="1" x14ac:dyDescent="0.35">
      <c r="B45" s="1162" t="s">
        <v>1076</v>
      </c>
      <c r="C45" s="1163"/>
      <c r="D45" s="1163"/>
      <c r="E45" s="1163"/>
      <c r="F45" s="1163"/>
      <c r="G45" s="1163"/>
      <c r="H45" s="1163"/>
      <c r="I45" s="1163"/>
      <c r="J45" s="1163"/>
      <c r="K45" s="1164"/>
    </row>
    <row r="46" spans="2:11" ht="15" thickBot="1" x14ac:dyDescent="0.35">
      <c r="B46" s="316" t="str">
        <f>B43</f>
        <v>CAEQ1</v>
      </c>
      <c r="C46" s="1165"/>
      <c r="D46" s="1165"/>
      <c r="E46" s="1165"/>
      <c r="F46" s="1165"/>
      <c r="G46" s="1165"/>
      <c r="H46" s="1165"/>
      <c r="I46" s="1165"/>
      <c r="J46" s="1165"/>
      <c r="K46" s="1166"/>
    </row>
    <row r="47" spans="2:11" ht="15" thickBot="1" x14ac:dyDescent="0.35">
      <c r="B47" s="1162" t="s">
        <v>1077</v>
      </c>
      <c r="C47" s="1163"/>
      <c r="D47" s="1163"/>
      <c r="E47" s="1163"/>
      <c r="F47" s="1163"/>
      <c r="G47" s="1163"/>
      <c r="H47" s="1163"/>
      <c r="I47" s="1163"/>
      <c r="J47" s="1163"/>
      <c r="K47" s="1164"/>
    </row>
    <row r="48" spans="2:11" ht="60.75" customHeight="1" thickBot="1" x14ac:dyDescent="0.35">
      <c r="B48" s="316" t="s">
        <v>691</v>
      </c>
      <c r="C48" s="1178" t="s">
        <v>301</v>
      </c>
      <c r="D48" s="1179"/>
      <c r="E48" s="1179"/>
      <c r="F48" s="1179"/>
      <c r="G48" s="1179"/>
      <c r="H48" s="1179"/>
      <c r="I48" s="1179"/>
      <c r="J48" s="1179"/>
      <c r="K48" s="1180"/>
    </row>
    <row r="49" spans="2:11" ht="36.75" customHeight="1" thickBot="1" x14ac:dyDescent="0.35">
      <c r="B49" s="316" t="s">
        <v>692</v>
      </c>
      <c r="C49" s="1178" t="s">
        <v>302</v>
      </c>
      <c r="D49" s="1179"/>
      <c r="E49" s="1179"/>
      <c r="F49" s="1179"/>
      <c r="G49" s="1179"/>
      <c r="H49" s="1179"/>
      <c r="I49" s="1179"/>
      <c r="J49" s="1179"/>
      <c r="K49" s="1180"/>
    </row>
    <row r="50" spans="2:11" ht="28.2" thickBot="1" x14ac:dyDescent="0.35">
      <c r="B50" s="329" t="s">
        <v>1078</v>
      </c>
      <c r="C50" s="1191" t="s">
        <v>37</v>
      </c>
      <c r="D50" s="1192"/>
      <c r="E50" s="1192"/>
      <c r="F50" s="1192"/>
      <c r="G50" s="1192"/>
      <c r="H50" s="1192"/>
      <c r="I50" s="1192"/>
      <c r="J50" s="1192"/>
      <c r="K50" s="1193"/>
    </row>
    <row r="51" spans="2:11" ht="28.8" thickBot="1" x14ac:dyDescent="0.35">
      <c r="B51" s="331" t="s">
        <v>1079</v>
      </c>
      <c r="C51" s="1194" t="s">
        <v>1081</v>
      </c>
      <c r="D51" s="1195"/>
      <c r="E51" s="1195"/>
      <c r="F51" s="1195"/>
      <c r="G51" s="1195"/>
      <c r="H51" s="1195"/>
      <c r="I51" s="1195"/>
      <c r="J51" s="1195"/>
      <c r="K51" s="1196"/>
    </row>
    <row r="52" spans="2:11" ht="15" thickBot="1" x14ac:dyDescent="0.35"/>
    <row r="53" spans="2:11" ht="15" thickBot="1" x14ac:dyDescent="0.35">
      <c r="B53" s="1175" t="s">
        <v>1060</v>
      </c>
      <c r="C53" s="1176"/>
      <c r="D53" s="1176"/>
      <c r="E53" s="1176"/>
      <c r="F53" s="1176"/>
      <c r="G53" s="1176"/>
      <c r="H53" s="1176"/>
      <c r="I53" s="1176"/>
      <c r="J53" s="1176"/>
      <c r="K53" s="1177"/>
    </row>
    <row r="54" spans="2:11" ht="15" thickBot="1" x14ac:dyDescent="0.35">
      <c r="B54" s="311" t="s">
        <v>579</v>
      </c>
      <c r="C54" s="1189" t="s">
        <v>298</v>
      </c>
      <c r="D54" s="1189"/>
      <c r="E54" s="1189"/>
      <c r="F54" s="1189"/>
      <c r="G54" s="1189"/>
      <c r="H54" s="1189"/>
      <c r="I54" s="1189"/>
      <c r="J54" s="1189"/>
      <c r="K54" s="1190"/>
    </row>
    <row r="55" spans="2:11" ht="15" thickBot="1" x14ac:dyDescent="0.35">
      <c r="B55" s="1161" t="s">
        <v>1061</v>
      </c>
      <c r="C55" s="1161"/>
      <c r="D55" s="1161"/>
      <c r="E55" s="1161"/>
      <c r="F55" s="1161"/>
      <c r="G55" s="1161" t="s">
        <v>1062</v>
      </c>
      <c r="H55" s="1161"/>
      <c r="I55" s="1161"/>
      <c r="J55" s="1161"/>
      <c r="K55" s="1161"/>
    </row>
    <row r="56" spans="2:11" ht="28.2" thickBot="1" x14ac:dyDescent="0.35">
      <c r="B56" s="323" t="s">
        <v>26</v>
      </c>
      <c r="C56" s="324" t="s">
        <v>553</v>
      </c>
      <c r="D56" s="324" t="s">
        <v>19</v>
      </c>
      <c r="E56" s="324" t="s">
        <v>25</v>
      </c>
      <c r="F56" s="325" t="s">
        <v>554</v>
      </c>
      <c r="G56" s="326" t="s">
        <v>1063</v>
      </c>
      <c r="H56" s="324" t="s">
        <v>1064</v>
      </c>
      <c r="I56" s="327" t="s">
        <v>1065</v>
      </c>
      <c r="J56" s="327" t="s">
        <v>1066</v>
      </c>
      <c r="K56" s="328" t="s">
        <v>1067</v>
      </c>
    </row>
    <row r="57" spans="2:11" ht="15" thickBot="1" x14ac:dyDescent="0.35">
      <c r="B57" s="312" t="s">
        <v>621</v>
      </c>
      <c r="C57" s="313" t="s">
        <v>621</v>
      </c>
      <c r="D57" s="313" t="s">
        <v>621</v>
      </c>
      <c r="E57" s="313" t="s">
        <v>619</v>
      </c>
      <c r="F57" s="314" t="s">
        <v>619</v>
      </c>
      <c r="G57" s="317" t="s">
        <v>621</v>
      </c>
      <c r="H57" s="313" t="s">
        <v>621</v>
      </c>
      <c r="I57" s="313" t="s">
        <v>621</v>
      </c>
      <c r="J57" s="313" t="s">
        <v>621</v>
      </c>
      <c r="K57" s="314" t="s">
        <v>621</v>
      </c>
    </row>
    <row r="58" spans="2:11" ht="28.2" thickBot="1" x14ac:dyDescent="0.35">
      <c r="B58" s="329" t="s">
        <v>1072</v>
      </c>
      <c r="C58" s="1167"/>
      <c r="D58" s="1168"/>
      <c r="E58" s="1168"/>
      <c r="F58" s="1169"/>
      <c r="G58" s="329" t="s">
        <v>1080</v>
      </c>
      <c r="H58" s="1167"/>
      <c r="I58" s="1168"/>
      <c r="J58" s="1168"/>
      <c r="K58" s="1169"/>
    </row>
    <row r="59" spans="2:11" ht="15" thickBot="1" x14ac:dyDescent="0.35">
      <c r="B59" s="330" t="s">
        <v>1069</v>
      </c>
      <c r="C59" s="315">
        <v>4</v>
      </c>
      <c r="D59" s="1170"/>
      <c r="E59" s="1171"/>
      <c r="F59" s="1171"/>
      <c r="G59" s="1171"/>
      <c r="H59" s="1171"/>
      <c r="I59" s="1171"/>
      <c r="J59" s="1171"/>
      <c r="K59" s="1172"/>
    </row>
    <row r="60" spans="2:11" ht="28.8" thickBot="1" x14ac:dyDescent="0.35">
      <c r="B60" s="331" t="s">
        <v>1070</v>
      </c>
      <c r="C60" s="315">
        <v>3</v>
      </c>
      <c r="D60" s="1170"/>
      <c r="E60" s="1171"/>
      <c r="F60" s="1171"/>
      <c r="G60" s="1171"/>
      <c r="H60" s="1171"/>
      <c r="I60" s="1171"/>
      <c r="J60" s="1171"/>
      <c r="K60" s="1172"/>
    </row>
    <row r="61" spans="2:11" ht="15" thickBot="1" x14ac:dyDescent="0.35">
      <c r="B61" s="330" t="s">
        <v>1071</v>
      </c>
      <c r="C61" s="1173">
        <f>C59*C60</f>
        <v>12</v>
      </c>
      <c r="D61" s="1173"/>
      <c r="E61" s="1173"/>
      <c r="F61" s="1173"/>
      <c r="G61" s="330" t="s">
        <v>210</v>
      </c>
      <c r="H61" s="1174" t="str">
        <f>IF(OR(H58="Yes",C61&gt;16),"Significant risk","Normal risk")</f>
        <v>Normal risk</v>
      </c>
      <c r="I61" s="1174"/>
      <c r="J61" s="1174"/>
      <c r="K61" s="1174"/>
    </row>
    <row r="62" spans="2:11" ht="15" thickBot="1" x14ac:dyDescent="0.35">
      <c r="B62" s="1175" t="s">
        <v>1068</v>
      </c>
      <c r="C62" s="1176"/>
      <c r="D62" s="1176"/>
      <c r="E62" s="1176"/>
      <c r="F62" s="1176"/>
      <c r="G62" s="1176"/>
      <c r="H62" s="1176"/>
      <c r="I62" s="1176"/>
      <c r="J62" s="1176"/>
      <c r="K62" s="1177"/>
    </row>
    <row r="63" spans="2:11" ht="41.25" customHeight="1" thickBot="1" x14ac:dyDescent="0.35">
      <c r="B63" s="316" t="s">
        <v>637</v>
      </c>
      <c r="C63" s="1178" t="s">
        <v>636</v>
      </c>
      <c r="D63" s="1179"/>
      <c r="E63" s="1179"/>
      <c r="F63" s="1179"/>
      <c r="G63" s="1179"/>
      <c r="H63" s="1179"/>
      <c r="I63" s="1179"/>
      <c r="J63" s="1179"/>
      <c r="K63" s="1180"/>
    </row>
    <row r="64" spans="2:11" ht="15" thickBot="1" x14ac:dyDescent="0.35">
      <c r="B64" s="308" t="s">
        <v>1073</v>
      </c>
      <c r="C64" s="321"/>
      <c r="D64" s="322"/>
      <c r="E64" s="1181" t="s">
        <v>35</v>
      </c>
      <c r="F64" s="1182"/>
      <c r="G64" s="318" t="s">
        <v>1074</v>
      </c>
      <c r="H64" s="319"/>
      <c r="I64" s="320"/>
      <c r="J64" s="1170"/>
      <c r="K64" s="1172"/>
    </row>
    <row r="65" spans="2:11" ht="15" thickBot="1" x14ac:dyDescent="0.35">
      <c r="B65" s="1162" t="s">
        <v>1076</v>
      </c>
      <c r="C65" s="1163"/>
      <c r="D65" s="1163"/>
      <c r="E65" s="1163"/>
      <c r="F65" s="1163"/>
      <c r="G65" s="1163"/>
      <c r="H65" s="1163"/>
      <c r="I65" s="1163"/>
      <c r="J65" s="1163"/>
      <c r="K65" s="1164"/>
    </row>
    <row r="66" spans="2:11" ht="15" thickBot="1" x14ac:dyDescent="0.35">
      <c r="B66" s="316" t="str">
        <f>B63</f>
        <v>CAEQ1</v>
      </c>
      <c r="C66" s="1165"/>
      <c r="D66" s="1165"/>
      <c r="E66" s="1165"/>
      <c r="F66" s="1165"/>
      <c r="G66" s="1165"/>
      <c r="H66" s="1165"/>
      <c r="I66" s="1165"/>
      <c r="J66" s="1165"/>
      <c r="K66" s="1166"/>
    </row>
    <row r="67" spans="2:11" ht="15" thickBot="1" x14ac:dyDescent="0.35">
      <c r="B67" s="1162" t="s">
        <v>1077</v>
      </c>
      <c r="C67" s="1163"/>
      <c r="D67" s="1163"/>
      <c r="E67" s="1163"/>
      <c r="F67" s="1163"/>
      <c r="G67" s="1163"/>
      <c r="H67" s="1163"/>
      <c r="I67" s="1163"/>
      <c r="J67" s="1163"/>
      <c r="K67" s="1164"/>
    </row>
    <row r="68" spans="2:11" ht="57.75" customHeight="1" thickBot="1" x14ac:dyDescent="0.35">
      <c r="B68" s="316" t="s">
        <v>691</v>
      </c>
      <c r="C68" s="1178" t="s">
        <v>301</v>
      </c>
      <c r="D68" s="1179"/>
      <c r="E68" s="1179"/>
      <c r="F68" s="1179"/>
      <c r="G68" s="1179"/>
      <c r="H68" s="1179"/>
      <c r="I68" s="1179"/>
      <c r="J68" s="1179"/>
      <c r="K68" s="1180"/>
    </row>
    <row r="69" spans="2:11" ht="42" customHeight="1" thickBot="1" x14ac:dyDescent="0.35">
      <c r="B69" s="316" t="s">
        <v>692</v>
      </c>
      <c r="C69" s="1178" t="s">
        <v>302</v>
      </c>
      <c r="D69" s="1179"/>
      <c r="E69" s="1179"/>
      <c r="F69" s="1179"/>
      <c r="G69" s="1179"/>
      <c r="H69" s="1179"/>
      <c r="I69" s="1179"/>
      <c r="J69" s="1179"/>
      <c r="K69" s="1180"/>
    </row>
    <row r="70" spans="2:11" ht="28.2" thickBot="1" x14ac:dyDescent="0.35">
      <c r="B70" s="329" t="s">
        <v>1078</v>
      </c>
      <c r="C70" s="1191" t="s">
        <v>37</v>
      </c>
      <c r="D70" s="1192"/>
      <c r="E70" s="1192"/>
      <c r="F70" s="1192"/>
      <c r="G70" s="1192"/>
      <c r="H70" s="1192"/>
      <c r="I70" s="1192"/>
      <c r="J70" s="1192"/>
      <c r="K70" s="1193"/>
    </row>
    <row r="71" spans="2:11" ht="28.8" thickBot="1" x14ac:dyDescent="0.35">
      <c r="B71" s="331" t="s">
        <v>1079</v>
      </c>
      <c r="C71" s="1194" t="s">
        <v>1081</v>
      </c>
      <c r="D71" s="1195"/>
      <c r="E71" s="1195"/>
      <c r="F71" s="1195"/>
      <c r="G71" s="1195"/>
      <c r="H71" s="1195"/>
      <c r="I71" s="1195"/>
      <c r="J71" s="1195"/>
      <c r="K71" s="1196"/>
    </row>
  </sheetData>
  <mergeCells count="65">
    <mergeCell ref="C69:K69"/>
    <mergeCell ref="C70:K70"/>
    <mergeCell ref="C71:K71"/>
    <mergeCell ref="E64:F64"/>
    <mergeCell ref="J64:K64"/>
    <mergeCell ref="B65:K65"/>
    <mergeCell ref="C66:K66"/>
    <mergeCell ref="B67:K67"/>
    <mergeCell ref="C68:K68"/>
    <mergeCell ref="C63:K63"/>
    <mergeCell ref="B53:K53"/>
    <mergeCell ref="C54:K54"/>
    <mergeCell ref="B55:F55"/>
    <mergeCell ref="G55:K55"/>
    <mergeCell ref="C58:F58"/>
    <mergeCell ref="H58:K58"/>
    <mergeCell ref="D59:K59"/>
    <mergeCell ref="D60:K60"/>
    <mergeCell ref="C61:F61"/>
    <mergeCell ref="H61:K61"/>
    <mergeCell ref="B62:K62"/>
    <mergeCell ref="C51:K51"/>
    <mergeCell ref="C49:K49"/>
    <mergeCell ref="D40:K40"/>
    <mergeCell ref="C41:F41"/>
    <mergeCell ref="H41:K41"/>
    <mergeCell ref="B42:K42"/>
    <mergeCell ref="C43:K43"/>
    <mergeCell ref="E44:F44"/>
    <mergeCell ref="J44:K44"/>
    <mergeCell ref="B45:K45"/>
    <mergeCell ref="C46:K46"/>
    <mergeCell ref="B47:K47"/>
    <mergeCell ref="C48:K48"/>
    <mergeCell ref="C50:K50"/>
    <mergeCell ref="D39:K39"/>
    <mergeCell ref="B26:K26"/>
    <mergeCell ref="C27:K27"/>
    <mergeCell ref="C28:K28"/>
    <mergeCell ref="C29:K29"/>
    <mergeCell ref="B33:K33"/>
    <mergeCell ref="C34:K34"/>
    <mergeCell ref="B35:F35"/>
    <mergeCell ref="G35:K35"/>
    <mergeCell ref="C38:F38"/>
    <mergeCell ref="H38:K38"/>
    <mergeCell ref="B5:D5"/>
    <mergeCell ref="B6:D6"/>
    <mergeCell ref="B7:D7"/>
    <mergeCell ref="B12:K12"/>
    <mergeCell ref="C13:K13"/>
    <mergeCell ref="B14:F14"/>
    <mergeCell ref="G14:K14"/>
    <mergeCell ref="B24:K24"/>
    <mergeCell ref="C25:K25"/>
    <mergeCell ref="C17:F17"/>
    <mergeCell ref="H17:K17"/>
    <mergeCell ref="D18:K18"/>
    <mergeCell ref="D19:K19"/>
    <mergeCell ref="C20:F20"/>
    <mergeCell ref="H20:K20"/>
    <mergeCell ref="B21:K21"/>
    <mergeCell ref="C22:K22"/>
    <mergeCell ref="E23:F23"/>
    <mergeCell ref="J23:K23"/>
  </mergeCells>
  <dataValidations count="1">
    <dataValidation type="list" allowBlank="1" showInputMessage="1" showErrorMessage="1" sqref="E23:F23 C28:K28 E44:F44 C50:K50 E64:F64 C70:K70 C18:C19 C39:C40 C59:C60" xr:uid="{00000000-0002-0000-1B00-000000000000}">
      <formula1>#REF!</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2:L217"/>
  <sheetViews>
    <sheetView topLeftCell="A20" zoomScaleNormal="100" workbookViewId="0">
      <selection activeCell="C21" sqref="C21"/>
    </sheetView>
  </sheetViews>
  <sheetFormatPr defaultColWidth="9.109375" defaultRowHeight="14.4" x14ac:dyDescent="0.3"/>
  <cols>
    <col min="1" max="1" width="9.109375" style="270"/>
    <col min="2" max="2" width="15.5546875" style="270" customWidth="1"/>
    <col min="3" max="6" width="69" style="270" customWidth="1"/>
    <col min="7" max="7" width="9.109375" style="270"/>
    <col min="8" max="8" width="23.88671875" style="270" customWidth="1"/>
    <col min="9" max="9" width="9.109375" style="270"/>
    <col min="10" max="10" width="14.5546875" style="270" bestFit="1" customWidth="1"/>
    <col min="11" max="11" width="9.109375" style="270"/>
    <col min="12" max="12" width="14.5546875" style="270" bestFit="1" customWidth="1"/>
    <col min="13" max="16384" width="9.109375" style="270"/>
  </cols>
  <sheetData>
    <row r="2" spans="2:12" x14ac:dyDescent="0.3">
      <c r="B2" s="269" t="s">
        <v>28</v>
      </c>
    </row>
    <row r="3" spans="2:12" ht="41.4" x14ac:dyDescent="0.3">
      <c r="B3" s="272" t="s">
        <v>23</v>
      </c>
      <c r="C3" s="272" t="s">
        <v>615</v>
      </c>
      <c r="D3" s="272" t="s">
        <v>616</v>
      </c>
      <c r="E3" s="272" t="s">
        <v>617</v>
      </c>
      <c r="F3" s="272" t="s">
        <v>618</v>
      </c>
      <c r="H3" s="277" t="s">
        <v>862</v>
      </c>
      <c r="I3" s="275"/>
      <c r="J3" s="277" t="s">
        <v>864</v>
      </c>
      <c r="K3" s="275"/>
      <c r="L3" s="277" t="s">
        <v>865</v>
      </c>
    </row>
    <row r="4" spans="2:12" ht="26.4" x14ac:dyDescent="0.3">
      <c r="B4" s="280" t="s">
        <v>24</v>
      </c>
      <c r="C4" s="271" t="s">
        <v>722</v>
      </c>
      <c r="D4" s="271" t="s">
        <v>722</v>
      </c>
      <c r="E4" s="271" t="s">
        <v>722</v>
      </c>
      <c r="F4" s="271" t="s">
        <v>722</v>
      </c>
      <c r="H4" s="276" t="s">
        <v>24</v>
      </c>
      <c r="I4" s="279"/>
      <c r="J4" s="276" t="s">
        <v>37</v>
      </c>
      <c r="K4" s="275"/>
      <c r="L4" s="278" t="s">
        <v>305</v>
      </c>
    </row>
    <row r="5" spans="2:12" ht="26.4" x14ac:dyDescent="0.3">
      <c r="B5" s="280" t="s">
        <v>24</v>
      </c>
      <c r="C5" s="271" t="s">
        <v>723</v>
      </c>
      <c r="D5" s="271" t="s">
        <v>723</v>
      </c>
      <c r="E5" s="271" t="s">
        <v>723</v>
      </c>
      <c r="F5" s="271" t="s">
        <v>723</v>
      </c>
      <c r="H5" s="276" t="s">
        <v>190</v>
      </c>
      <c r="I5" s="279"/>
      <c r="J5" s="276" t="s">
        <v>35</v>
      </c>
      <c r="K5" s="275"/>
      <c r="L5" s="278" t="s">
        <v>866</v>
      </c>
    </row>
    <row r="6" spans="2:12" ht="26.4" x14ac:dyDescent="0.3">
      <c r="B6" s="280" t="s">
        <v>24</v>
      </c>
      <c r="C6" s="271" t="s">
        <v>724</v>
      </c>
      <c r="D6" s="271" t="s">
        <v>724</v>
      </c>
      <c r="E6" s="271" t="s">
        <v>724</v>
      </c>
      <c r="F6" s="271" t="s">
        <v>724</v>
      </c>
      <c r="H6" s="276" t="s">
        <v>480</v>
      </c>
      <c r="I6" s="279"/>
      <c r="J6" s="276" t="s">
        <v>863</v>
      </c>
      <c r="K6" s="275"/>
      <c r="L6" s="275"/>
    </row>
    <row r="7" spans="2:12" ht="26.4" x14ac:dyDescent="0.3">
      <c r="B7" s="280" t="s">
        <v>24</v>
      </c>
      <c r="C7" s="271" t="s">
        <v>725</v>
      </c>
      <c r="D7" s="271" t="s">
        <v>725</v>
      </c>
      <c r="E7" s="271" t="s">
        <v>725</v>
      </c>
      <c r="F7" s="271" t="s">
        <v>725</v>
      </c>
      <c r="H7" s="276" t="s">
        <v>63</v>
      </c>
      <c r="I7" s="279"/>
      <c r="J7" s="279"/>
      <c r="K7" s="275"/>
      <c r="L7" s="275"/>
    </row>
    <row r="8" spans="2:12" ht="26.4" x14ac:dyDescent="0.3">
      <c r="B8" s="280" t="s">
        <v>24</v>
      </c>
      <c r="C8" s="271" t="s">
        <v>726</v>
      </c>
      <c r="D8" s="271" t="s">
        <v>726</v>
      </c>
      <c r="E8" s="271" t="s">
        <v>726</v>
      </c>
      <c r="F8" s="271" t="s">
        <v>726</v>
      </c>
      <c r="H8" s="276" t="s">
        <v>517</v>
      </c>
      <c r="I8" s="279"/>
      <c r="J8" s="279"/>
      <c r="K8" s="275"/>
      <c r="L8" s="275"/>
    </row>
    <row r="9" spans="2:12" ht="26.4" x14ac:dyDescent="0.3">
      <c r="B9" s="280" t="s">
        <v>24</v>
      </c>
      <c r="C9" s="271" t="s">
        <v>727</v>
      </c>
      <c r="D9" s="271" t="s">
        <v>727</v>
      </c>
      <c r="E9" s="271" t="s">
        <v>727</v>
      </c>
      <c r="F9" s="271" t="s">
        <v>727</v>
      </c>
      <c r="H9" s="276" t="s">
        <v>291</v>
      </c>
      <c r="I9" s="279"/>
      <c r="J9" s="279"/>
      <c r="K9" s="275"/>
      <c r="L9" s="275"/>
    </row>
    <row r="10" spans="2:12" ht="26.4" x14ac:dyDescent="0.3">
      <c r="B10" s="280" t="s">
        <v>24</v>
      </c>
      <c r="C10" s="271" t="s">
        <v>728</v>
      </c>
      <c r="D10" s="271" t="s">
        <v>728</v>
      </c>
      <c r="E10" s="271" t="s">
        <v>728</v>
      </c>
      <c r="F10" s="271" t="s">
        <v>728</v>
      </c>
      <c r="H10" s="276" t="s">
        <v>527</v>
      </c>
      <c r="I10" s="279"/>
      <c r="J10" s="279"/>
      <c r="K10" s="275"/>
      <c r="L10" s="275"/>
    </row>
    <row r="11" spans="2:12" ht="26.4" x14ac:dyDescent="0.3">
      <c r="B11" s="280" t="s">
        <v>24</v>
      </c>
      <c r="C11" s="271" t="s">
        <v>729</v>
      </c>
      <c r="D11" s="271" t="s">
        <v>729</v>
      </c>
      <c r="E11" s="271" t="s">
        <v>729</v>
      </c>
      <c r="F11" s="271" t="s">
        <v>729</v>
      </c>
      <c r="H11" s="276" t="s">
        <v>590</v>
      </c>
      <c r="I11" s="279"/>
      <c r="J11" s="279"/>
      <c r="K11" s="275"/>
      <c r="L11" s="275"/>
    </row>
    <row r="12" spans="2:12" ht="26.4" x14ac:dyDescent="0.3">
      <c r="B12" s="280" t="s">
        <v>24</v>
      </c>
      <c r="C12" s="271" t="s">
        <v>730</v>
      </c>
      <c r="D12" s="271" t="s">
        <v>730</v>
      </c>
      <c r="E12" s="271" t="s">
        <v>730</v>
      </c>
      <c r="F12" s="271" t="s">
        <v>730</v>
      </c>
      <c r="H12" s="276" t="s">
        <v>1012</v>
      </c>
      <c r="I12" s="279"/>
      <c r="J12" s="279"/>
      <c r="K12" s="275"/>
      <c r="L12" s="275"/>
    </row>
    <row r="13" spans="2:12" ht="26.4" x14ac:dyDescent="0.3">
      <c r="B13" s="280" t="s">
        <v>24</v>
      </c>
      <c r="C13" s="271" t="s">
        <v>731</v>
      </c>
      <c r="D13" s="271" t="s">
        <v>731</v>
      </c>
      <c r="E13" s="271" t="s">
        <v>731</v>
      </c>
      <c r="F13" s="271" t="s">
        <v>731</v>
      </c>
      <c r="H13" s="276" t="s">
        <v>596</v>
      </c>
      <c r="I13" s="279"/>
      <c r="J13" s="279"/>
      <c r="K13" s="275"/>
      <c r="L13" s="275"/>
    </row>
    <row r="14" spans="2:12" ht="26.4" x14ac:dyDescent="0.3">
      <c r="B14" s="280" t="s">
        <v>24</v>
      </c>
      <c r="C14" s="271" t="s">
        <v>732</v>
      </c>
      <c r="D14" s="271" t="s">
        <v>732</v>
      </c>
      <c r="E14" s="271" t="s">
        <v>732</v>
      </c>
      <c r="F14" s="271" t="s">
        <v>732</v>
      </c>
      <c r="H14" s="276" t="s">
        <v>530</v>
      </c>
      <c r="I14" s="279"/>
      <c r="J14" s="279"/>
      <c r="K14" s="275"/>
      <c r="L14" s="275"/>
    </row>
    <row r="15" spans="2:12" ht="39.6" x14ac:dyDescent="0.3">
      <c r="B15" s="280" t="s">
        <v>24</v>
      </c>
      <c r="C15" s="271" t="s">
        <v>733</v>
      </c>
      <c r="D15" s="271" t="s">
        <v>733</v>
      </c>
      <c r="E15" s="271" t="s">
        <v>733</v>
      </c>
      <c r="F15" s="271" t="s">
        <v>733</v>
      </c>
      <c r="H15" s="276" t="s">
        <v>535</v>
      </c>
    </row>
    <row r="16" spans="2:12" ht="39.6" x14ac:dyDescent="0.3">
      <c r="B16" s="280" t="s">
        <v>24</v>
      </c>
      <c r="C16" s="271" t="s">
        <v>734</v>
      </c>
      <c r="D16" s="271" t="s">
        <v>734</v>
      </c>
      <c r="E16" s="271" t="s">
        <v>734</v>
      </c>
      <c r="F16" s="271" t="s">
        <v>734</v>
      </c>
      <c r="H16"/>
    </row>
    <row r="17" spans="2:8" ht="26.4" x14ac:dyDescent="0.3">
      <c r="B17" s="280" t="s">
        <v>24</v>
      </c>
      <c r="C17" s="271" t="s">
        <v>735</v>
      </c>
      <c r="D17" s="271" t="s">
        <v>735</v>
      </c>
      <c r="E17" s="271" t="s">
        <v>735</v>
      </c>
      <c r="F17" s="271" t="s">
        <v>735</v>
      </c>
      <c r="H17"/>
    </row>
    <row r="18" spans="2:8" ht="26.4" x14ac:dyDescent="0.3">
      <c r="B18" s="280" t="s">
        <v>190</v>
      </c>
      <c r="C18" s="271" t="s">
        <v>736</v>
      </c>
      <c r="D18" s="271" t="s">
        <v>736</v>
      </c>
      <c r="E18" s="271" t="s">
        <v>736</v>
      </c>
      <c r="F18" s="271" t="s">
        <v>736</v>
      </c>
      <c r="H18"/>
    </row>
    <row r="19" spans="2:8" ht="26.4" x14ac:dyDescent="0.3">
      <c r="B19" s="280" t="s">
        <v>190</v>
      </c>
      <c r="C19" s="271" t="s">
        <v>737</v>
      </c>
      <c r="D19" s="271" t="s">
        <v>737</v>
      </c>
      <c r="E19" s="271" t="s">
        <v>737</v>
      </c>
      <c r="F19" s="271" t="s">
        <v>737</v>
      </c>
      <c r="H19"/>
    </row>
    <row r="20" spans="2:8" ht="26.4" x14ac:dyDescent="0.3">
      <c r="B20" s="280" t="s">
        <v>190</v>
      </c>
      <c r="C20" s="271" t="s">
        <v>738</v>
      </c>
      <c r="D20" s="271" t="s">
        <v>738</v>
      </c>
      <c r="E20" s="271" t="s">
        <v>738</v>
      </c>
      <c r="F20" s="271" t="s">
        <v>738</v>
      </c>
      <c r="H20"/>
    </row>
    <row r="21" spans="2:8" ht="26.4" x14ac:dyDescent="0.3">
      <c r="B21" s="280" t="s">
        <v>190</v>
      </c>
      <c r="C21" s="271" t="s">
        <v>873</v>
      </c>
      <c r="D21" s="271" t="s">
        <v>873</v>
      </c>
      <c r="E21" s="271" t="s">
        <v>873</v>
      </c>
      <c r="F21" s="271" t="s">
        <v>873</v>
      </c>
      <c r="H21"/>
    </row>
    <row r="22" spans="2:8" ht="26.4" x14ac:dyDescent="0.3">
      <c r="B22" s="280" t="s">
        <v>190</v>
      </c>
      <c r="C22" s="271" t="s">
        <v>739</v>
      </c>
      <c r="D22" s="271" t="s">
        <v>739</v>
      </c>
      <c r="E22" s="271" t="s">
        <v>739</v>
      </c>
      <c r="F22" s="271" t="s">
        <v>739</v>
      </c>
      <c r="H22"/>
    </row>
    <row r="23" spans="2:8" ht="26.4" x14ac:dyDescent="0.3">
      <c r="B23" s="280" t="s">
        <v>190</v>
      </c>
      <c r="C23" s="271" t="s">
        <v>740</v>
      </c>
      <c r="D23" s="271" t="s">
        <v>740</v>
      </c>
      <c r="E23" s="271" t="s">
        <v>740</v>
      </c>
      <c r="F23" s="271" t="s">
        <v>740</v>
      </c>
      <c r="H23"/>
    </row>
    <row r="24" spans="2:8" ht="26.4" x14ac:dyDescent="0.3">
      <c r="B24" s="280" t="s">
        <v>190</v>
      </c>
      <c r="C24" s="271" t="s">
        <v>741</v>
      </c>
      <c r="D24" s="271" t="s">
        <v>741</v>
      </c>
      <c r="E24" s="271" t="s">
        <v>741</v>
      </c>
      <c r="F24" s="271" t="s">
        <v>741</v>
      </c>
      <c r="H24"/>
    </row>
    <row r="25" spans="2:8" ht="26.4" x14ac:dyDescent="0.3">
      <c r="B25" s="280" t="s">
        <v>190</v>
      </c>
      <c r="C25" s="271" t="s">
        <v>1007</v>
      </c>
      <c r="D25" s="271" t="s">
        <v>874</v>
      </c>
      <c r="E25" s="271" t="s">
        <v>874</v>
      </c>
      <c r="F25" s="271" t="s">
        <v>874</v>
      </c>
      <c r="H25"/>
    </row>
    <row r="26" spans="2:8" ht="39.6" x14ac:dyDescent="0.3">
      <c r="B26" s="280" t="s">
        <v>480</v>
      </c>
      <c r="C26" s="271" t="s">
        <v>742</v>
      </c>
      <c r="D26" s="271" t="s">
        <v>742</v>
      </c>
      <c r="E26" s="271" t="s">
        <v>742</v>
      </c>
      <c r="F26" s="271" t="s">
        <v>742</v>
      </c>
      <c r="H26"/>
    </row>
    <row r="27" spans="2:8" ht="26.4" x14ac:dyDescent="0.3">
      <c r="B27" s="280" t="s">
        <v>480</v>
      </c>
      <c r="C27" s="271" t="s">
        <v>743</v>
      </c>
      <c r="D27" s="271" t="s">
        <v>743</v>
      </c>
      <c r="E27" s="271" t="s">
        <v>743</v>
      </c>
      <c r="F27" s="271" t="s">
        <v>743</v>
      </c>
      <c r="H27"/>
    </row>
    <row r="28" spans="2:8" ht="39.6" x14ac:dyDescent="0.3">
      <c r="B28" s="280" t="s">
        <v>480</v>
      </c>
      <c r="C28" s="271" t="s">
        <v>744</v>
      </c>
      <c r="D28" s="271" t="s">
        <v>744</v>
      </c>
      <c r="E28" s="271" t="s">
        <v>744</v>
      </c>
      <c r="F28" s="271" t="s">
        <v>744</v>
      </c>
      <c r="H28"/>
    </row>
    <row r="29" spans="2:8" ht="39.6" x14ac:dyDescent="0.3">
      <c r="B29" s="280" t="s">
        <v>480</v>
      </c>
      <c r="C29" s="271" t="s">
        <v>745</v>
      </c>
      <c r="D29" s="271" t="s">
        <v>745</v>
      </c>
      <c r="E29" s="271" t="s">
        <v>745</v>
      </c>
      <c r="F29" s="271" t="s">
        <v>745</v>
      </c>
      <c r="H29"/>
    </row>
    <row r="30" spans="2:8" ht="39.6" x14ac:dyDescent="0.3">
      <c r="B30" s="280" t="s">
        <v>480</v>
      </c>
      <c r="C30" s="271" t="s">
        <v>746</v>
      </c>
      <c r="D30" s="271" t="s">
        <v>746</v>
      </c>
      <c r="E30" s="271" t="s">
        <v>746</v>
      </c>
      <c r="F30" s="271" t="s">
        <v>746</v>
      </c>
      <c r="H30"/>
    </row>
    <row r="31" spans="2:8" ht="26.4" x14ac:dyDescent="0.3">
      <c r="B31" s="280" t="s">
        <v>63</v>
      </c>
      <c r="C31" s="271" t="s">
        <v>747</v>
      </c>
      <c r="D31" s="271" t="s">
        <v>747</v>
      </c>
      <c r="E31" s="274"/>
      <c r="F31" s="273"/>
      <c r="H31"/>
    </row>
    <row r="32" spans="2:8" ht="26.4" x14ac:dyDescent="0.3">
      <c r="B32" s="280" t="s">
        <v>63</v>
      </c>
      <c r="C32" s="271" t="s">
        <v>748</v>
      </c>
      <c r="D32" s="271" t="s">
        <v>748</v>
      </c>
      <c r="E32" s="273"/>
      <c r="F32" s="273"/>
      <c r="H32"/>
    </row>
    <row r="33" spans="2:8" ht="79.2" x14ac:dyDescent="0.3">
      <c r="B33" s="280" t="s">
        <v>63</v>
      </c>
      <c r="C33" s="271" t="s">
        <v>749</v>
      </c>
      <c r="D33" s="271" t="s">
        <v>749</v>
      </c>
      <c r="E33" s="273"/>
      <c r="F33" s="273"/>
      <c r="H33"/>
    </row>
    <row r="34" spans="2:8" ht="26.4" x14ac:dyDescent="0.3">
      <c r="B34" s="280" t="s">
        <v>63</v>
      </c>
      <c r="C34" s="271" t="s">
        <v>882</v>
      </c>
      <c r="D34" s="271" t="s">
        <v>882</v>
      </c>
      <c r="E34" s="273"/>
      <c r="F34" s="273"/>
      <c r="H34"/>
    </row>
    <row r="35" spans="2:8" ht="39.6" x14ac:dyDescent="0.3">
      <c r="B35" s="280" t="s">
        <v>63</v>
      </c>
      <c r="C35" s="271" t="s">
        <v>883</v>
      </c>
      <c r="D35" s="271" t="s">
        <v>883</v>
      </c>
      <c r="E35" s="273"/>
      <c r="F35" s="273"/>
      <c r="H35"/>
    </row>
    <row r="36" spans="2:8" ht="26.4" x14ac:dyDescent="0.3">
      <c r="B36" s="280" t="s">
        <v>63</v>
      </c>
      <c r="C36" s="271" t="s">
        <v>884</v>
      </c>
      <c r="D36" s="271" t="s">
        <v>884</v>
      </c>
      <c r="E36" s="273"/>
      <c r="F36" s="273"/>
      <c r="H36"/>
    </row>
    <row r="37" spans="2:8" ht="39.6" x14ac:dyDescent="0.3">
      <c r="B37" s="280" t="s">
        <v>63</v>
      </c>
      <c r="C37" s="271" t="s">
        <v>885</v>
      </c>
      <c r="D37" s="271" t="s">
        <v>885</v>
      </c>
      <c r="E37" s="273"/>
      <c r="F37" s="273"/>
      <c r="H37"/>
    </row>
    <row r="38" spans="2:8" ht="39.6" x14ac:dyDescent="0.3">
      <c r="B38" s="280" t="s">
        <v>63</v>
      </c>
      <c r="C38" s="271" t="s">
        <v>886</v>
      </c>
      <c r="D38" s="273"/>
      <c r="E38" s="273"/>
      <c r="F38" s="273"/>
      <c r="H38"/>
    </row>
    <row r="39" spans="2:8" ht="39.6" x14ac:dyDescent="0.3">
      <c r="B39" s="280" t="s">
        <v>63</v>
      </c>
      <c r="C39" s="271" t="s">
        <v>887</v>
      </c>
      <c r="D39" s="273"/>
      <c r="E39" s="273"/>
      <c r="F39" s="273"/>
      <c r="H39"/>
    </row>
    <row r="40" spans="2:8" ht="39.6" x14ac:dyDescent="0.3">
      <c r="B40" s="280" t="s">
        <v>517</v>
      </c>
      <c r="C40" s="271" t="s">
        <v>888</v>
      </c>
      <c r="D40" s="271" t="s">
        <v>888</v>
      </c>
      <c r="E40" s="271" t="s">
        <v>888</v>
      </c>
      <c r="F40" s="271" t="s">
        <v>888</v>
      </c>
      <c r="H40"/>
    </row>
    <row r="41" spans="2:8" ht="26.4" x14ac:dyDescent="0.3">
      <c r="B41" s="280" t="s">
        <v>517</v>
      </c>
      <c r="C41" s="271" t="s">
        <v>889</v>
      </c>
      <c r="D41" s="271" t="s">
        <v>889</v>
      </c>
      <c r="E41" s="271" t="s">
        <v>889</v>
      </c>
      <c r="F41" s="271" t="s">
        <v>889</v>
      </c>
      <c r="H41"/>
    </row>
    <row r="42" spans="2:8" ht="26.4" x14ac:dyDescent="0.3">
      <c r="B42" s="280" t="s">
        <v>517</v>
      </c>
      <c r="C42" s="271" t="s">
        <v>890</v>
      </c>
      <c r="D42" s="271" t="s">
        <v>890</v>
      </c>
      <c r="E42" s="271" t="s">
        <v>890</v>
      </c>
      <c r="F42" s="271" t="s">
        <v>890</v>
      </c>
      <c r="H42"/>
    </row>
    <row r="43" spans="2:8" ht="39.6" x14ac:dyDescent="0.3">
      <c r="B43" s="280" t="s">
        <v>517</v>
      </c>
      <c r="C43" s="271" t="s">
        <v>891</v>
      </c>
      <c r="D43" s="271" t="s">
        <v>891</v>
      </c>
      <c r="E43" s="271" t="s">
        <v>891</v>
      </c>
      <c r="F43" s="271" t="s">
        <v>891</v>
      </c>
      <c r="H43"/>
    </row>
    <row r="44" spans="2:8" ht="26.4" x14ac:dyDescent="0.3">
      <c r="B44" s="280" t="s">
        <v>517</v>
      </c>
      <c r="C44" s="271" t="s">
        <v>892</v>
      </c>
      <c r="D44" s="271" t="s">
        <v>892</v>
      </c>
      <c r="E44" s="271" t="s">
        <v>892</v>
      </c>
      <c r="F44" s="271" t="s">
        <v>892</v>
      </c>
      <c r="H44"/>
    </row>
    <row r="45" spans="2:8" ht="26.4" x14ac:dyDescent="0.3">
      <c r="B45" s="280" t="s">
        <v>517</v>
      </c>
      <c r="C45" s="271" t="s">
        <v>893</v>
      </c>
      <c r="D45" s="271" t="s">
        <v>893</v>
      </c>
      <c r="E45" s="271" t="s">
        <v>893</v>
      </c>
      <c r="F45" s="271" t="s">
        <v>893</v>
      </c>
      <c r="H45"/>
    </row>
    <row r="46" spans="2:8" ht="26.4" x14ac:dyDescent="0.3">
      <c r="B46" s="280" t="s">
        <v>517</v>
      </c>
      <c r="C46" s="271" t="s">
        <v>894</v>
      </c>
      <c r="D46" s="271" t="s">
        <v>894</v>
      </c>
      <c r="E46" s="271" t="s">
        <v>894</v>
      </c>
      <c r="F46" s="271" t="s">
        <v>894</v>
      </c>
      <c r="H46"/>
    </row>
    <row r="47" spans="2:8" ht="26.4" x14ac:dyDescent="0.3">
      <c r="B47" s="280" t="s">
        <v>291</v>
      </c>
      <c r="C47" s="271" t="s">
        <v>750</v>
      </c>
      <c r="D47" s="271" t="s">
        <v>750</v>
      </c>
      <c r="E47" s="271" t="s">
        <v>750</v>
      </c>
      <c r="F47" s="271" t="s">
        <v>750</v>
      </c>
      <c r="H47"/>
    </row>
    <row r="48" spans="2:8" ht="26.4" x14ac:dyDescent="0.3">
      <c r="B48" s="280" t="s">
        <v>291</v>
      </c>
      <c r="C48" s="271" t="s">
        <v>751</v>
      </c>
      <c r="D48" s="271" t="s">
        <v>751</v>
      </c>
      <c r="E48" s="271" t="s">
        <v>751</v>
      </c>
      <c r="F48" s="271" t="s">
        <v>751</v>
      </c>
      <c r="H48"/>
    </row>
    <row r="49" spans="2:8" ht="26.4" x14ac:dyDescent="0.3">
      <c r="B49" s="280" t="s">
        <v>291</v>
      </c>
      <c r="C49" s="271" t="s">
        <v>752</v>
      </c>
      <c r="D49" s="271" t="s">
        <v>752</v>
      </c>
      <c r="E49" s="271" t="s">
        <v>752</v>
      </c>
      <c r="F49" s="271" t="s">
        <v>752</v>
      </c>
      <c r="H49"/>
    </row>
    <row r="50" spans="2:8" ht="26.4" x14ac:dyDescent="0.3">
      <c r="B50" s="280" t="s">
        <v>527</v>
      </c>
      <c r="C50" s="271" t="s">
        <v>753</v>
      </c>
      <c r="D50" s="271" t="s">
        <v>753</v>
      </c>
      <c r="E50" s="271" t="s">
        <v>753</v>
      </c>
      <c r="F50" s="271" t="s">
        <v>753</v>
      </c>
      <c r="H50"/>
    </row>
    <row r="51" spans="2:8" ht="26.4" x14ac:dyDescent="0.3">
      <c r="B51" s="280" t="s">
        <v>527</v>
      </c>
      <c r="C51" s="271" t="s">
        <v>754</v>
      </c>
      <c r="D51" s="271" t="s">
        <v>754</v>
      </c>
      <c r="E51" s="271" t="s">
        <v>754</v>
      </c>
      <c r="F51" s="271" t="s">
        <v>754</v>
      </c>
      <c r="H51"/>
    </row>
    <row r="52" spans="2:8" ht="26.4" x14ac:dyDescent="0.3">
      <c r="B52" s="280" t="s">
        <v>527</v>
      </c>
      <c r="C52" s="271" t="s">
        <v>755</v>
      </c>
      <c r="D52" s="271" t="s">
        <v>755</v>
      </c>
      <c r="E52" s="271" t="s">
        <v>755</v>
      </c>
      <c r="F52" s="271" t="s">
        <v>755</v>
      </c>
      <c r="H52"/>
    </row>
    <row r="53" spans="2:8" ht="26.4" x14ac:dyDescent="0.3">
      <c r="B53" s="280" t="s">
        <v>527</v>
      </c>
      <c r="C53" s="271" t="s">
        <v>756</v>
      </c>
      <c r="D53" s="271" t="s">
        <v>756</v>
      </c>
      <c r="E53" s="271" t="s">
        <v>756</v>
      </c>
      <c r="F53" s="271" t="s">
        <v>756</v>
      </c>
      <c r="H53"/>
    </row>
    <row r="54" spans="2:8" ht="26.4" x14ac:dyDescent="0.3">
      <c r="B54" s="280" t="s">
        <v>527</v>
      </c>
      <c r="C54" s="271" t="s">
        <v>757</v>
      </c>
      <c r="D54" s="271" t="s">
        <v>757</v>
      </c>
      <c r="E54" s="271" t="s">
        <v>757</v>
      </c>
      <c r="F54" s="271" t="s">
        <v>757</v>
      </c>
      <c r="H54"/>
    </row>
    <row r="55" spans="2:8" ht="26.4" x14ac:dyDescent="0.3">
      <c r="B55" s="280" t="s">
        <v>527</v>
      </c>
      <c r="C55" s="271" t="s">
        <v>758</v>
      </c>
      <c r="D55" s="271" t="s">
        <v>758</v>
      </c>
      <c r="E55" s="271" t="s">
        <v>758</v>
      </c>
      <c r="F55" s="271" t="s">
        <v>758</v>
      </c>
      <c r="H55"/>
    </row>
    <row r="56" spans="2:8" ht="26.4" x14ac:dyDescent="0.3">
      <c r="B56" s="280" t="s">
        <v>590</v>
      </c>
      <c r="C56" s="271" t="s">
        <v>759</v>
      </c>
      <c r="D56" s="271" t="s">
        <v>759</v>
      </c>
      <c r="E56" s="271" t="s">
        <v>759</v>
      </c>
      <c r="F56" s="271" t="s">
        <v>759</v>
      </c>
      <c r="H56"/>
    </row>
    <row r="57" spans="2:8" ht="26.4" x14ac:dyDescent="0.3">
      <c r="B57" s="280" t="s">
        <v>590</v>
      </c>
      <c r="C57" s="271" t="s">
        <v>760</v>
      </c>
      <c r="D57" s="271" t="s">
        <v>760</v>
      </c>
      <c r="E57" s="271" t="s">
        <v>760</v>
      </c>
      <c r="F57" s="271" t="s">
        <v>760</v>
      </c>
      <c r="H57"/>
    </row>
    <row r="58" spans="2:8" ht="26.4" x14ac:dyDescent="0.3">
      <c r="B58" s="280" t="s">
        <v>590</v>
      </c>
      <c r="C58" s="271" t="s">
        <v>761</v>
      </c>
      <c r="D58" s="271" t="s">
        <v>761</v>
      </c>
      <c r="E58" s="271" t="s">
        <v>761</v>
      </c>
      <c r="F58" s="271" t="s">
        <v>761</v>
      </c>
      <c r="H58"/>
    </row>
    <row r="59" spans="2:8" ht="26.4" x14ac:dyDescent="0.3">
      <c r="B59" s="280" t="s">
        <v>590</v>
      </c>
      <c r="C59" s="271" t="s">
        <v>762</v>
      </c>
      <c r="D59" s="271" t="s">
        <v>762</v>
      </c>
      <c r="E59" s="271" t="s">
        <v>762</v>
      </c>
      <c r="F59" s="271" t="s">
        <v>762</v>
      </c>
      <c r="H59"/>
    </row>
    <row r="60" spans="2:8" ht="26.4" x14ac:dyDescent="0.3">
      <c r="B60" s="280" t="s">
        <v>590</v>
      </c>
      <c r="C60" s="271" t="s">
        <v>763</v>
      </c>
      <c r="D60" s="271" t="s">
        <v>763</v>
      </c>
      <c r="E60" s="271" t="s">
        <v>763</v>
      </c>
      <c r="F60" s="271" t="s">
        <v>763</v>
      </c>
      <c r="H60"/>
    </row>
    <row r="61" spans="2:8" ht="39.6" x14ac:dyDescent="0.3">
      <c r="B61" s="280" t="s">
        <v>590</v>
      </c>
      <c r="C61" s="271" t="s">
        <v>764</v>
      </c>
      <c r="D61" s="271" t="s">
        <v>764</v>
      </c>
      <c r="E61" s="271" t="s">
        <v>764</v>
      </c>
      <c r="F61" s="271" t="s">
        <v>764</v>
      </c>
      <c r="H61"/>
    </row>
    <row r="62" spans="2:8" ht="26.4" x14ac:dyDescent="0.3">
      <c r="B62" s="280" t="s">
        <v>1012</v>
      </c>
      <c r="C62" s="271" t="s">
        <v>1014</v>
      </c>
      <c r="D62" s="271" t="s">
        <v>1014</v>
      </c>
      <c r="E62" s="271" t="s">
        <v>1014</v>
      </c>
      <c r="F62" s="271" t="s">
        <v>1014</v>
      </c>
      <c r="H62"/>
    </row>
    <row r="63" spans="2:8" ht="26.4" x14ac:dyDescent="0.3">
      <c r="B63" s="280" t="s">
        <v>1012</v>
      </c>
      <c r="C63" s="271" t="s">
        <v>1013</v>
      </c>
      <c r="D63" s="271" t="s">
        <v>1013</v>
      </c>
      <c r="E63" s="271" t="s">
        <v>1013</v>
      </c>
      <c r="F63" s="271" t="s">
        <v>1013</v>
      </c>
      <c r="H63"/>
    </row>
    <row r="64" spans="2:8" ht="26.4" x14ac:dyDescent="0.3">
      <c r="B64" s="280" t="s">
        <v>1012</v>
      </c>
      <c r="C64" s="271" t="s">
        <v>1015</v>
      </c>
      <c r="D64" s="271" t="s">
        <v>1015</v>
      </c>
      <c r="E64" s="271" t="s">
        <v>1015</v>
      </c>
      <c r="F64" s="271" t="s">
        <v>1015</v>
      </c>
      <c r="H64"/>
    </row>
    <row r="65" spans="2:8" ht="26.4" x14ac:dyDescent="0.3">
      <c r="B65" s="280" t="s">
        <v>1012</v>
      </c>
      <c r="C65" s="271" t="s">
        <v>1016</v>
      </c>
      <c r="D65" s="271" t="s">
        <v>1016</v>
      </c>
      <c r="E65" s="271" t="s">
        <v>1016</v>
      </c>
      <c r="F65" s="271" t="s">
        <v>1016</v>
      </c>
      <c r="H65"/>
    </row>
    <row r="66" spans="2:8" ht="26.4" x14ac:dyDescent="0.3">
      <c r="B66" s="280" t="s">
        <v>596</v>
      </c>
      <c r="C66" s="271" t="s">
        <v>765</v>
      </c>
      <c r="D66" s="271" t="s">
        <v>765</v>
      </c>
      <c r="E66" s="271" t="s">
        <v>765</v>
      </c>
      <c r="F66" s="271" t="s">
        <v>765</v>
      </c>
      <c r="H66"/>
    </row>
    <row r="67" spans="2:8" ht="26.4" x14ac:dyDescent="0.3">
      <c r="B67" s="280" t="s">
        <v>596</v>
      </c>
      <c r="C67" s="271" t="s">
        <v>766</v>
      </c>
      <c r="D67" s="271" t="s">
        <v>766</v>
      </c>
      <c r="E67" s="271" t="s">
        <v>766</v>
      </c>
      <c r="F67" s="271" t="s">
        <v>766</v>
      </c>
      <c r="H67"/>
    </row>
    <row r="68" spans="2:8" ht="26.4" x14ac:dyDescent="0.3">
      <c r="B68" s="280" t="s">
        <v>596</v>
      </c>
      <c r="C68" s="271" t="s">
        <v>767</v>
      </c>
      <c r="D68" s="271" t="s">
        <v>767</v>
      </c>
      <c r="E68" s="271" t="s">
        <v>767</v>
      </c>
      <c r="F68" s="271" t="s">
        <v>767</v>
      </c>
      <c r="H68"/>
    </row>
    <row r="69" spans="2:8" ht="26.4" x14ac:dyDescent="0.3">
      <c r="B69" s="280" t="s">
        <v>596</v>
      </c>
      <c r="C69" s="271" t="s">
        <v>768</v>
      </c>
      <c r="D69" s="271" t="s">
        <v>768</v>
      </c>
      <c r="E69" s="271" t="s">
        <v>768</v>
      </c>
      <c r="F69" s="271" t="s">
        <v>768</v>
      </c>
      <c r="H69"/>
    </row>
    <row r="70" spans="2:8" ht="26.4" x14ac:dyDescent="0.3">
      <c r="B70" s="280" t="s">
        <v>596</v>
      </c>
      <c r="C70" s="271" t="s">
        <v>918</v>
      </c>
      <c r="D70" s="271" t="s">
        <v>918</v>
      </c>
      <c r="E70" s="271" t="s">
        <v>918</v>
      </c>
      <c r="F70" s="271" t="s">
        <v>918</v>
      </c>
      <c r="H70"/>
    </row>
    <row r="71" spans="2:8" ht="26.4" x14ac:dyDescent="0.3">
      <c r="B71" s="280" t="s">
        <v>596</v>
      </c>
      <c r="C71" s="271" t="s">
        <v>769</v>
      </c>
      <c r="D71" s="271" t="s">
        <v>769</v>
      </c>
      <c r="E71" s="271" t="s">
        <v>769</v>
      </c>
      <c r="F71" s="271" t="s">
        <v>769</v>
      </c>
      <c r="H71"/>
    </row>
    <row r="72" spans="2:8" ht="26.4" x14ac:dyDescent="0.3">
      <c r="B72" s="280" t="s">
        <v>596</v>
      </c>
      <c r="C72" s="271" t="s">
        <v>917</v>
      </c>
      <c r="D72" s="271" t="s">
        <v>917</v>
      </c>
      <c r="E72" s="271" t="s">
        <v>917</v>
      </c>
      <c r="F72" s="271" t="s">
        <v>917</v>
      </c>
      <c r="H72"/>
    </row>
    <row r="73" spans="2:8" ht="26.4" x14ac:dyDescent="0.3">
      <c r="B73" s="280" t="s">
        <v>596</v>
      </c>
      <c r="C73" s="271" t="s">
        <v>770</v>
      </c>
      <c r="D73" s="271" t="s">
        <v>770</v>
      </c>
      <c r="E73" s="271" t="s">
        <v>770</v>
      </c>
      <c r="F73" s="271" t="s">
        <v>770</v>
      </c>
      <c r="H73"/>
    </row>
    <row r="74" spans="2:8" ht="26.4" x14ac:dyDescent="0.3">
      <c r="B74" s="280" t="s">
        <v>596</v>
      </c>
      <c r="C74" s="271" t="s">
        <v>910</v>
      </c>
      <c r="D74" s="271" t="s">
        <v>910</v>
      </c>
      <c r="E74" s="271" t="s">
        <v>910</v>
      </c>
      <c r="F74" s="271" t="s">
        <v>910</v>
      </c>
      <c r="H74"/>
    </row>
    <row r="75" spans="2:8" ht="39.6" x14ac:dyDescent="0.3">
      <c r="B75" s="280" t="s">
        <v>596</v>
      </c>
      <c r="C75" s="271" t="s">
        <v>919</v>
      </c>
      <c r="D75" s="271" t="s">
        <v>919</v>
      </c>
      <c r="E75" s="271" t="s">
        <v>919</v>
      </c>
      <c r="F75" s="271" t="s">
        <v>919</v>
      </c>
      <c r="H75"/>
    </row>
    <row r="76" spans="2:8" ht="26.4" x14ac:dyDescent="0.3">
      <c r="B76" s="280" t="s">
        <v>596</v>
      </c>
      <c r="C76" s="271" t="s">
        <v>1047</v>
      </c>
      <c r="D76" s="271" t="s">
        <v>1047</v>
      </c>
      <c r="E76" s="271" t="s">
        <v>1047</v>
      </c>
      <c r="F76" s="271" t="s">
        <v>1047</v>
      </c>
      <c r="H76"/>
    </row>
    <row r="77" spans="2:8" ht="26.4" x14ac:dyDescent="0.3">
      <c r="B77" s="280" t="s">
        <v>530</v>
      </c>
      <c r="C77" s="271" t="s">
        <v>771</v>
      </c>
      <c r="D77" s="271" t="s">
        <v>771</v>
      </c>
      <c r="E77" s="271" t="s">
        <v>771</v>
      </c>
      <c r="F77" s="271" t="s">
        <v>771</v>
      </c>
      <c r="H77"/>
    </row>
    <row r="78" spans="2:8" ht="26.4" x14ac:dyDescent="0.3">
      <c r="B78" s="280" t="s">
        <v>530</v>
      </c>
      <c r="C78" s="271" t="s">
        <v>772</v>
      </c>
      <c r="D78" s="271" t="s">
        <v>772</v>
      </c>
      <c r="E78" s="271" t="s">
        <v>772</v>
      </c>
      <c r="F78" s="271" t="s">
        <v>772</v>
      </c>
      <c r="H78"/>
    </row>
    <row r="79" spans="2:8" ht="26.4" x14ac:dyDescent="0.3">
      <c r="B79" s="280" t="s">
        <v>530</v>
      </c>
      <c r="C79" s="271" t="s">
        <v>773</v>
      </c>
      <c r="D79" s="271" t="s">
        <v>773</v>
      </c>
      <c r="E79" s="271" t="s">
        <v>773</v>
      </c>
      <c r="F79" s="271" t="s">
        <v>773</v>
      </c>
      <c r="H79"/>
    </row>
    <row r="80" spans="2:8" ht="26.4" x14ac:dyDescent="0.3">
      <c r="B80" s="280" t="s">
        <v>530</v>
      </c>
      <c r="C80" s="271" t="s">
        <v>774</v>
      </c>
      <c r="D80" s="271" t="s">
        <v>774</v>
      </c>
      <c r="E80" s="271" t="s">
        <v>774</v>
      </c>
      <c r="F80" s="271" t="s">
        <v>774</v>
      </c>
      <c r="H80"/>
    </row>
    <row r="81" spans="2:8" ht="39.6" x14ac:dyDescent="0.3">
      <c r="B81" s="280" t="s">
        <v>530</v>
      </c>
      <c r="C81" s="271" t="s">
        <v>775</v>
      </c>
      <c r="D81" s="271" t="s">
        <v>775</v>
      </c>
      <c r="E81" s="271" t="s">
        <v>775</v>
      </c>
      <c r="F81" s="271" t="s">
        <v>775</v>
      </c>
      <c r="H81"/>
    </row>
    <row r="82" spans="2:8" ht="26.4" x14ac:dyDescent="0.3">
      <c r="B82" s="280" t="s">
        <v>530</v>
      </c>
      <c r="C82" s="271" t="s">
        <v>776</v>
      </c>
      <c r="D82" s="271" t="s">
        <v>776</v>
      </c>
      <c r="E82" s="271" t="s">
        <v>776</v>
      </c>
      <c r="F82" s="271" t="s">
        <v>776</v>
      </c>
      <c r="H82"/>
    </row>
    <row r="83" spans="2:8" ht="26.4" x14ac:dyDescent="0.3">
      <c r="B83" s="280" t="s">
        <v>530</v>
      </c>
      <c r="C83" s="271" t="s">
        <v>923</v>
      </c>
      <c r="D83" s="271" t="s">
        <v>923</v>
      </c>
      <c r="E83" s="271" t="s">
        <v>923</v>
      </c>
      <c r="F83" s="271" t="s">
        <v>923</v>
      </c>
      <c r="H83"/>
    </row>
    <row r="84" spans="2:8" ht="39.6" x14ac:dyDescent="0.3">
      <c r="B84" s="280" t="s">
        <v>530</v>
      </c>
      <c r="C84" s="273"/>
      <c r="D84" s="273"/>
      <c r="E84" s="271" t="s">
        <v>922</v>
      </c>
      <c r="F84" s="271" t="s">
        <v>922</v>
      </c>
      <c r="H84"/>
    </row>
    <row r="85" spans="2:8" ht="39.6" x14ac:dyDescent="0.3">
      <c r="B85" s="280" t="s">
        <v>535</v>
      </c>
      <c r="C85" s="271" t="s">
        <v>777</v>
      </c>
      <c r="D85" s="271" t="s">
        <v>777</v>
      </c>
      <c r="E85" s="271" t="s">
        <v>777</v>
      </c>
      <c r="F85" s="271" t="s">
        <v>777</v>
      </c>
      <c r="H85"/>
    </row>
    <row r="86" spans="2:8" ht="39.6" x14ac:dyDescent="0.3">
      <c r="B86" s="280" t="s">
        <v>535</v>
      </c>
      <c r="C86" s="271" t="s">
        <v>778</v>
      </c>
      <c r="D86" s="271" t="s">
        <v>778</v>
      </c>
      <c r="E86" s="271" t="s">
        <v>778</v>
      </c>
      <c r="F86" s="271" t="s">
        <v>778</v>
      </c>
      <c r="H86"/>
    </row>
    <row r="87" spans="2:8" ht="39.6" x14ac:dyDescent="0.3">
      <c r="B87" s="280" t="s">
        <v>535</v>
      </c>
      <c r="C87" s="271" t="s">
        <v>779</v>
      </c>
      <c r="D87" s="271" t="s">
        <v>779</v>
      </c>
      <c r="E87" s="271" t="s">
        <v>779</v>
      </c>
      <c r="F87" s="271" t="s">
        <v>779</v>
      </c>
      <c r="H87"/>
    </row>
    <row r="88" spans="2:8" ht="39.6" x14ac:dyDescent="0.3">
      <c r="B88" s="280" t="s">
        <v>535</v>
      </c>
      <c r="C88" s="271" t="s">
        <v>780</v>
      </c>
      <c r="D88" s="271" t="s">
        <v>780</v>
      </c>
      <c r="E88" s="271" t="s">
        <v>780</v>
      </c>
      <c r="F88" s="271" t="s">
        <v>780</v>
      </c>
      <c r="H88"/>
    </row>
    <row r="89" spans="2:8" ht="39.6" x14ac:dyDescent="0.3">
      <c r="B89" s="280" t="s">
        <v>535</v>
      </c>
      <c r="C89" s="271" t="s">
        <v>781</v>
      </c>
      <c r="D89" s="271" t="s">
        <v>781</v>
      </c>
      <c r="E89" s="271" t="s">
        <v>781</v>
      </c>
      <c r="F89" s="271" t="s">
        <v>781</v>
      </c>
      <c r="H89"/>
    </row>
    <row r="90" spans="2:8" ht="39.6" x14ac:dyDescent="0.3">
      <c r="B90" s="280" t="s">
        <v>535</v>
      </c>
      <c r="C90" s="271" t="s">
        <v>782</v>
      </c>
      <c r="D90" s="271" t="s">
        <v>782</v>
      </c>
      <c r="E90" s="271" t="s">
        <v>782</v>
      </c>
      <c r="F90" s="271" t="s">
        <v>782</v>
      </c>
      <c r="H90"/>
    </row>
    <row r="92" spans="2:8" x14ac:dyDescent="0.3">
      <c r="B92" s="269" t="s">
        <v>870</v>
      </c>
    </row>
    <row r="93" spans="2:8" ht="26.4" x14ac:dyDescent="0.3">
      <c r="B93" s="272" t="s">
        <v>23</v>
      </c>
      <c r="C93" s="272" t="s">
        <v>615</v>
      </c>
      <c r="D93" s="272" t="s">
        <v>616</v>
      </c>
      <c r="E93" s="272" t="s">
        <v>617</v>
      </c>
      <c r="F93" s="272" t="s">
        <v>618</v>
      </c>
    </row>
    <row r="94" spans="2:8" ht="26.4" x14ac:dyDescent="0.3">
      <c r="B94" s="280" t="s">
        <v>24</v>
      </c>
      <c r="C94" s="271" t="s">
        <v>783</v>
      </c>
      <c r="D94" s="271" t="s">
        <v>783</v>
      </c>
      <c r="E94" s="271" t="s">
        <v>783</v>
      </c>
      <c r="F94" s="271" t="s">
        <v>783</v>
      </c>
    </row>
    <row r="95" spans="2:8" ht="39.6" x14ac:dyDescent="0.3">
      <c r="B95" s="280" t="s">
        <v>24</v>
      </c>
      <c r="C95" s="271" t="s">
        <v>784</v>
      </c>
      <c r="D95" s="271" t="s">
        <v>784</v>
      </c>
      <c r="E95" s="271" t="s">
        <v>784</v>
      </c>
      <c r="F95" s="271" t="s">
        <v>784</v>
      </c>
    </row>
    <row r="96" spans="2:8" ht="26.4" x14ac:dyDescent="0.3">
      <c r="B96" s="280" t="s">
        <v>24</v>
      </c>
      <c r="C96" s="271" t="s">
        <v>785</v>
      </c>
      <c r="D96" s="271" t="s">
        <v>785</v>
      </c>
      <c r="E96" s="271" t="s">
        <v>785</v>
      </c>
      <c r="F96" s="271" t="s">
        <v>785</v>
      </c>
    </row>
    <row r="97" spans="2:6" ht="52.8" x14ac:dyDescent="0.3">
      <c r="B97" s="280" t="s">
        <v>24</v>
      </c>
      <c r="C97" s="271" t="s">
        <v>786</v>
      </c>
      <c r="D97" s="271" t="s">
        <v>786</v>
      </c>
      <c r="E97" s="271" t="s">
        <v>786</v>
      </c>
      <c r="F97" s="271" t="s">
        <v>786</v>
      </c>
    </row>
    <row r="98" spans="2:6" ht="39.6" x14ac:dyDescent="0.3">
      <c r="B98" s="280" t="s">
        <v>24</v>
      </c>
      <c r="C98" s="271" t="s">
        <v>869</v>
      </c>
      <c r="D98" s="271" t="s">
        <v>869</v>
      </c>
      <c r="E98" s="271" t="s">
        <v>869</v>
      </c>
      <c r="F98" s="271" t="s">
        <v>869</v>
      </c>
    </row>
    <row r="99" spans="2:6" ht="26.4" x14ac:dyDescent="0.3">
      <c r="B99" s="280" t="s">
        <v>24</v>
      </c>
      <c r="C99" s="271" t="s">
        <v>787</v>
      </c>
      <c r="D99" s="271" t="s">
        <v>787</v>
      </c>
      <c r="E99" s="271" t="s">
        <v>787</v>
      </c>
      <c r="F99" s="271" t="s">
        <v>787</v>
      </c>
    </row>
    <row r="100" spans="2:6" ht="26.4" x14ac:dyDescent="0.3">
      <c r="B100" s="280" t="s">
        <v>190</v>
      </c>
      <c r="C100" s="271" t="s">
        <v>788</v>
      </c>
      <c r="D100" s="271" t="s">
        <v>788</v>
      </c>
      <c r="E100" s="271" t="s">
        <v>788</v>
      </c>
      <c r="F100" s="271" t="s">
        <v>788</v>
      </c>
    </row>
    <row r="101" spans="2:6" ht="39.6" x14ac:dyDescent="0.3">
      <c r="B101" s="280" t="s">
        <v>190</v>
      </c>
      <c r="C101" s="271" t="s">
        <v>789</v>
      </c>
      <c r="D101" s="271" t="s">
        <v>789</v>
      </c>
      <c r="E101" s="271" t="s">
        <v>789</v>
      </c>
      <c r="F101" s="271" t="s">
        <v>789</v>
      </c>
    </row>
    <row r="102" spans="2:6" ht="39.6" x14ac:dyDescent="0.3">
      <c r="B102" s="280" t="s">
        <v>190</v>
      </c>
      <c r="C102" s="271" t="s">
        <v>790</v>
      </c>
      <c r="D102" s="271" t="s">
        <v>790</v>
      </c>
      <c r="E102" s="271" t="s">
        <v>790</v>
      </c>
      <c r="F102" s="271" t="s">
        <v>790</v>
      </c>
    </row>
    <row r="103" spans="2:6" ht="26.4" x14ac:dyDescent="0.3">
      <c r="B103" s="280" t="s">
        <v>190</v>
      </c>
      <c r="C103" s="271" t="s">
        <v>791</v>
      </c>
      <c r="D103" s="271" t="s">
        <v>791</v>
      </c>
      <c r="E103" s="271" t="s">
        <v>791</v>
      </c>
      <c r="F103" s="271" t="s">
        <v>791</v>
      </c>
    </row>
    <row r="104" spans="2:6" ht="26.4" x14ac:dyDescent="0.3">
      <c r="B104" s="280" t="s">
        <v>190</v>
      </c>
      <c r="C104" s="271" t="s">
        <v>792</v>
      </c>
      <c r="D104" s="271" t="s">
        <v>792</v>
      </c>
      <c r="E104" s="271" t="s">
        <v>792</v>
      </c>
      <c r="F104" s="271" t="s">
        <v>792</v>
      </c>
    </row>
    <row r="105" spans="2:6" ht="66" x14ac:dyDescent="0.3">
      <c r="B105" s="280" t="s">
        <v>480</v>
      </c>
      <c r="C105" s="271" t="s">
        <v>793</v>
      </c>
      <c r="D105" s="271" t="s">
        <v>793</v>
      </c>
      <c r="E105" s="271" t="s">
        <v>793</v>
      </c>
      <c r="F105" s="271" t="s">
        <v>793</v>
      </c>
    </row>
    <row r="106" spans="2:6" ht="39.6" x14ac:dyDescent="0.3">
      <c r="B106" s="280" t="s">
        <v>480</v>
      </c>
      <c r="C106" s="271" t="s">
        <v>877</v>
      </c>
      <c r="D106" s="271" t="s">
        <v>877</v>
      </c>
      <c r="E106" s="271" t="s">
        <v>877</v>
      </c>
      <c r="F106" s="271" t="s">
        <v>877</v>
      </c>
    </row>
    <row r="107" spans="2:6" ht="26.4" x14ac:dyDescent="0.3">
      <c r="B107" s="280" t="s">
        <v>63</v>
      </c>
      <c r="C107" s="271" t="s">
        <v>794</v>
      </c>
      <c r="D107" s="271" t="s">
        <v>794</v>
      </c>
      <c r="E107" s="273"/>
      <c r="F107" s="273"/>
    </row>
    <row r="108" spans="2:6" ht="39.6" x14ac:dyDescent="0.3">
      <c r="B108" s="280" t="s">
        <v>63</v>
      </c>
      <c r="C108" s="271" t="s">
        <v>795</v>
      </c>
      <c r="D108" s="271" t="s">
        <v>795</v>
      </c>
      <c r="E108" s="273"/>
      <c r="F108" s="273"/>
    </row>
    <row r="109" spans="2:6" ht="26.4" x14ac:dyDescent="0.3">
      <c r="B109" s="280" t="s">
        <v>63</v>
      </c>
      <c r="C109" s="271" t="s">
        <v>796</v>
      </c>
      <c r="D109" s="271" t="s">
        <v>796</v>
      </c>
      <c r="E109" s="273"/>
      <c r="F109" s="273"/>
    </row>
    <row r="110" spans="2:6" ht="39.6" x14ac:dyDescent="0.3">
      <c r="B110" s="280" t="s">
        <v>63</v>
      </c>
      <c r="C110" s="281"/>
      <c r="D110" s="273"/>
      <c r="E110" s="273"/>
      <c r="F110" s="271" t="s">
        <v>797</v>
      </c>
    </row>
    <row r="111" spans="2:6" ht="26.4" x14ac:dyDescent="0.3">
      <c r="B111" s="280" t="s">
        <v>517</v>
      </c>
      <c r="C111" s="282" t="s">
        <v>808</v>
      </c>
      <c r="D111" s="282" t="s">
        <v>808</v>
      </c>
      <c r="E111" s="282" t="s">
        <v>808</v>
      </c>
      <c r="F111" s="282" t="s">
        <v>808</v>
      </c>
    </row>
    <row r="112" spans="2:6" ht="26.4" x14ac:dyDescent="0.3">
      <c r="B112" s="280" t="s">
        <v>517</v>
      </c>
      <c r="C112" s="282" t="s">
        <v>811</v>
      </c>
      <c r="D112" s="282" t="s">
        <v>811</v>
      </c>
      <c r="E112" s="282" t="s">
        <v>811</v>
      </c>
      <c r="F112" s="282" t="s">
        <v>811</v>
      </c>
    </row>
    <row r="113" spans="1:6" ht="26.4" x14ac:dyDescent="0.3">
      <c r="B113" s="280" t="s">
        <v>517</v>
      </c>
      <c r="C113" s="282" t="s">
        <v>814</v>
      </c>
      <c r="D113" s="282" t="s">
        <v>814</v>
      </c>
      <c r="E113" s="282" t="s">
        <v>814</v>
      </c>
      <c r="F113" s="282" t="s">
        <v>814</v>
      </c>
    </row>
    <row r="114" spans="1:6" ht="39.6" x14ac:dyDescent="0.3">
      <c r="B114" s="280" t="s">
        <v>517</v>
      </c>
      <c r="C114" s="282" t="s">
        <v>899</v>
      </c>
      <c r="D114" s="282" t="s">
        <v>895</v>
      </c>
      <c r="E114" s="282" t="s">
        <v>895</v>
      </c>
      <c r="F114" s="282" t="s">
        <v>895</v>
      </c>
    </row>
    <row r="115" spans="1:6" ht="39.6" x14ac:dyDescent="0.3">
      <c r="B115" s="280" t="s">
        <v>517</v>
      </c>
      <c r="C115" s="282" t="s">
        <v>789</v>
      </c>
      <c r="D115" s="282" t="s">
        <v>789</v>
      </c>
      <c r="E115" s="282" t="s">
        <v>789</v>
      </c>
      <c r="F115" s="282" t="s">
        <v>789</v>
      </c>
    </row>
    <row r="116" spans="1:6" ht="39.6" x14ac:dyDescent="0.3">
      <c r="B116" s="280" t="s">
        <v>517</v>
      </c>
      <c r="C116" s="282" t="s">
        <v>790</v>
      </c>
      <c r="D116" s="282" t="s">
        <v>790</v>
      </c>
      <c r="E116" s="282" t="s">
        <v>790</v>
      </c>
      <c r="F116" s="282" t="s">
        <v>790</v>
      </c>
    </row>
    <row r="117" spans="1:6" ht="26.4" x14ac:dyDescent="0.3">
      <c r="B117" s="280" t="s">
        <v>517</v>
      </c>
      <c r="C117" s="271" t="s">
        <v>896</v>
      </c>
      <c r="D117" s="271" t="s">
        <v>896</v>
      </c>
      <c r="E117" s="271" t="s">
        <v>896</v>
      </c>
      <c r="F117" s="271" t="s">
        <v>896</v>
      </c>
    </row>
    <row r="118" spans="1:6" ht="39.6" x14ac:dyDescent="0.3">
      <c r="B118" s="280" t="s">
        <v>517</v>
      </c>
      <c r="C118" s="271" t="s">
        <v>897</v>
      </c>
      <c r="D118" s="271" t="s">
        <v>897</v>
      </c>
      <c r="E118" s="271" t="s">
        <v>897</v>
      </c>
      <c r="F118" s="271" t="s">
        <v>897</v>
      </c>
    </row>
    <row r="119" spans="1:6" ht="39.6" x14ac:dyDescent="0.3">
      <c r="B119" s="280" t="s">
        <v>291</v>
      </c>
      <c r="C119" s="271" t="s">
        <v>798</v>
      </c>
      <c r="D119" s="271" t="s">
        <v>798</v>
      </c>
      <c r="E119" s="271" t="s">
        <v>798</v>
      </c>
      <c r="F119" s="271" t="s">
        <v>798</v>
      </c>
    </row>
    <row r="120" spans="1:6" ht="26.4" x14ac:dyDescent="0.3">
      <c r="B120" s="280" t="s">
        <v>527</v>
      </c>
      <c r="C120" s="271" t="s">
        <v>799</v>
      </c>
      <c r="D120" s="271" t="s">
        <v>799</v>
      </c>
      <c r="E120" s="271" t="s">
        <v>799</v>
      </c>
      <c r="F120" s="271" t="s">
        <v>799</v>
      </c>
    </row>
    <row r="121" spans="1:6" ht="26.4" x14ac:dyDescent="0.3">
      <c r="B121" s="280" t="s">
        <v>527</v>
      </c>
      <c r="C121" s="271" t="s">
        <v>909</v>
      </c>
      <c r="D121" s="271" t="s">
        <v>909</v>
      </c>
      <c r="E121" s="271" t="s">
        <v>909</v>
      </c>
      <c r="F121" s="271" t="s">
        <v>909</v>
      </c>
    </row>
    <row r="122" spans="1:6" ht="26.4" x14ac:dyDescent="0.3">
      <c r="B122" s="280" t="s">
        <v>647</v>
      </c>
      <c r="C122" s="271" t="s">
        <v>800</v>
      </c>
      <c r="D122" s="271" t="s">
        <v>800</v>
      </c>
      <c r="E122" s="271" t="s">
        <v>800</v>
      </c>
      <c r="F122" s="271" t="s">
        <v>800</v>
      </c>
    </row>
    <row r="123" spans="1:6" ht="26.4" x14ac:dyDescent="0.3">
      <c r="B123" s="280" t="s">
        <v>647</v>
      </c>
      <c r="C123" s="271" t="s">
        <v>801</v>
      </c>
      <c r="D123" s="271" t="s">
        <v>801</v>
      </c>
      <c r="E123" s="271" t="s">
        <v>801</v>
      </c>
      <c r="F123" s="271" t="s">
        <v>801</v>
      </c>
    </row>
    <row r="124" spans="1:6" ht="26.4" x14ac:dyDescent="0.3">
      <c r="A124" s="268"/>
      <c r="B124" s="280" t="s">
        <v>647</v>
      </c>
      <c r="C124" s="271" t="s">
        <v>802</v>
      </c>
      <c r="D124" s="271" t="s">
        <v>802</v>
      </c>
      <c r="E124" s="271" t="s">
        <v>802</v>
      </c>
      <c r="F124" s="271" t="s">
        <v>802</v>
      </c>
    </row>
    <row r="125" spans="1:6" ht="26.4" x14ac:dyDescent="0.3">
      <c r="B125" s="280" t="s">
        <v>647</v>
      </c>
      <c r="C125" s="271" t="s">
        <v>803</v>
      </c>
      <c r="D125" s="271" t="s">
        <v>803</v>
      </c>
      <c r="E125" s="271" t="s">
        <v>803</v>
      </c>
      <c r="F125" s="271" t="s">
        <v>803</v>
      </c>
    </row>
    <row r="126" spans="1:6" ht="39.6" x14ac:dyDescent="0.3">
      <c r="B126" s="280" t="s">
        <v>647</v>
      </c>
      <c r="C126" s="282" t="s">
        <v>789</v>
      </c>
      <c r="D126" s="282" t="s">
        <v>789</v>
      </c>
      <c r="E126" s="282" t="s">
        <v>789</v>
      </c>
      <c r="F126" s="282" t="s">
        <v>789</v>
      </c>
    </row>
    <row r="127" spans="1:6" ht="26.4" x14ac:dyDescent="0.3">
      <c r="B127" s="280" t="s">
        <v>1012</v>
      </c>
      <c r="C127" s="271" t="s">
        <v>1027</v>
      </c>
      <c r="D127" s="271" t="s">
        <v>1027</v>
      </c>
      <c r="E127" s="271" t="s">
        <v>1027</v>
      </c>
      <c r="F127" s="271" t="s">
        <v>1027</v>
      </c>
    </row>
    <row r="128" spans="1:6" ht="39.6" x14ac:dyDescent="0.3">
      <c r="B128" s="280" t="s">
        <v>465</v>
      </c>
      <c r="C128" s="271" t="s">
        <v>916</v>
      </c>
      <c r="D128" s="271" t="s">
        <v>916</v>
      </c>
      <c r="E128" s="271" t="s">
        <v>916</v>
      </c>
      <c r="F128" s="271" t="s">
        <v>916</v>
      </c>
    </row>
    <row r="129" spans="2:6" ht="39.6" x14ac:dyDescent="0.3">
      <c r="B129" s="280" t="s">
        <v>465</v>
      </c>
      <c r="C129" s="271" t="s">
        <v>804</v>
      </c>
      <c r="D129" s="271" t="s">
        <v>804</v>
      </c>
      <c r="E129" s="271" t="s">
        <v>804</v>
      </c>
      <c r="F129" s="271" t="s">
        <v>804</v>
      </c>
    </row>
    <row r="130" spans="2:6" ht="52.8" x14ac:dyDescent="0.3">
      <c r="B130" s="280" t="s">
        <v>465</v>
      </c>
      <c r="C130" s="271" t="s">
        <v>805</v>
      </c>
      <c r="D130" s="271" t="s">
        <v>805</v>
      </c>
      <c r="E130" s="271" t="s">
        <v>805</v>
      </c>
      <c r="F130" s="271" t="s">
        <v>805</v>
      </c>
    </row>
    <row r="131" spans="2:6" ht="39.6" x14ac:dyDescent="0.3">
      <c r="B131" s="280" t="s">
        <v>465</v>
      </c>
      <c r="C131" s="271" t="s">
        <v>806</v>
      </c>
      <c r="D131" s="271" t="s">
        <v>806</v>
      </c>
      <c r="E131" s="271" t="s">
        <v>806</v>
      </c>
      <c r="F131" s="271" t="s">
        <v>806</v>
      </c>
    </row>
    <row r="132" spans="2:6" ht="39.6" x14ac:dyDescent="0.3">
      <c r="B132" s="280" t="s">
        <v>465</v>
      </c>
      <c r="C132" s="271" t="s">
        <v>807</v>
      </c>
      <c r="D132" s="271" t="s">
        <v>807</v>
      </c>
      <c r="E132" s="271" t="s">
        <v>807</v>
      </c>
      <c r="F132" s="271" t="s">
        <v>807</v>
      </c>
    </row>
    <row r="133" spans="2:6" ht="26.4" x14ac:dyDescent="0.3">
      <c r="B133" s="280" t="s">
        <v>530</v>
      </c>
      <c r="C133" s="271" t="s">
        <v>808</v>
      </c>
      <c r="D133" s="271" t="s">
        <v>808</v>
      </c>
      <c r="E133" s="271" t="s">
        <v>808</v>
      </c>
      <c r="F133" s="271" t="s">
        <v>808</v>
      </c>
    </row>
    <row r="134" spans="2:6" ht="26.4" x14ac:dyDescent="0.3">
      <c r="B134" s="280" t="s">
        <v>530</v>
      </c>
      <c r="C134" s="271" t="s">
        <v>809</v>
      </c>
      <c r="D134" s="271" t="s">
        <v>809</v>
      </c>
      <c r="E134" s="271" t="s">
        <v>809</v>
      </c>
      <c r="F134" s="271" t="s">
        <v>809</v>
      </c>
    </row>
    <row r="135" spans="2:6" ht="39.6" x14ac:dyDescent="0.3">
      <c r="B135" s="280" t="s">
        <v>530</v>
      </c>
      <c r="C135" s="271" t="s">
        <v>810</v>
      </c>
      <c r="D135" s="271" t="s">
        <v>810</v>
      </c>
      <c r="E135" s="271" t="s">
        <v>810</v>
      </c>
      <c r="F135" s="271" t="s">
        <v>810</v>
      </c>
    </row>
    <row r="136" spans="2:6" ht="26.4" x14ac:dyDescent="0.3">
      <c r="B136" s="280" t="s">
        <v>530</v>
      </c>
      <c r="C136" s="271" t="s">
        <v>811</v>
      </c>
      <c r="D136" s="271" t="s">
        <v>811</v>
      </c>
      <c r="E136" s="271" t="s">
        <v>811</v>
      </c>
      <c r="F136" s="271" t="s">
        <v>811</v>
      </c>
    </row>
    <row r="137" spans="2:6" ht="26.4" x14ac:dyDescent="0.3">
      <c r="B137" s="280" t="s">
        <v>530</v>
      </c>
      <c r="C137" s="271" t="s">
        <v>812</v>
      </c>
      <c r="D137" s="271" t="s">
        <v>812</v>
      </c>
      <c r="E137" s="271" t="s">
        <v>812</v>
      </c>
      <c r="F137" s="271" t="s">
        <v>812</v>
      </c>
    </row>
    <row r="138" spans="2:6" ht="26.4" x14ac:dyDescent="0.3">
      <c r="B138" s="280" t="s">
        <v>530</v>
      </c>
      <c r="C138" s="271" t="s">
        <v>813</v>
      </c>
      <c r="D138" s="271" t="s">
        <v>813</v>
      </c>
      <c r="E138" s="271" t="s">
        <v>813</v>
      </c>
      <c r="F138" s="271" t="s">
        <v>813</v>
      </c>
    </row>
    <row r="139" spans="2:6" ht="26.4" x14ac:dyDescent="0.3">
      <c r="B139" s="280" t="s">
        <v>530</v>
      </c>
      <c r="C139" s="271" t="s">
        <v>814</v>
      </c>
      <c r="D139" s="271" t="s">
        <v>814</v>
      </c>
      <c r="E139" s="271" t="s">
        <v>814</v>
      </c>
      <c r="F139" s="271" t="s">
        <v>814</v>
      </c>
    </row>
    <row r="140" spans="2:6" ht="39.6" x14ac:dyDescent="0.3">
      <c r="B140" s="280" t="s">
        <v>530</v>
      </c>
      <c r="C140" s="274"/>
      <c r="D140" s="274"/>
      <c r="E140" s="271" t="s">
        <v>815</v>
      </c>
      <c r="F140" s="271" t="s">
        <v>815</v>
      </c>
    </row>
    <row r="141" spans="2:6" ht="52.8" x14ac:dyDescent="0.3">
      <c r="B141" s="280" t="s">
        <v>530</v>
      </c>
      <c r="C141" s="271" t="s">
        <v>926</v>
      </c>
      <c r="D141" s="271" t="s">
        <v>926</v>
      </c>
      <c r="E141" s="271" t="s">
        <v>926</v>
      </c>
      <c r="F141" s="271" t="s">
        <v>926</v>
      </c>
    </row>
    <row r="142" spans="2:6" ht="26.4" x14ac:dyDescent="0.3">
      <c r="B142" s="280" t="s">
        <v>535</v>
      </c>
      <c r="C142" s="271" t="s">
        <v>931</v>
      </c>
      <c r="D142" s="271" t="s">
        <v>931</v>
      </c>
      <c r="E142" s="271" t="s">
        <v>931</v>
      </c>
      <c r="F142" s="271" t="s">
        <v>931</v>
      </c>
    </row>
    <row r="143" spans="2:6" ht="26.4" x14ac:dyDescent="0.3">
      <c r="B143" s="280" t="s">
        <v>535</v>
      </c>
      <c r="C143" s="282" t="s">
        <v>813</v>
      </c>
      <c r="D143" s="282" t="s">
        <v>813</v>
      </c>
      <c r="E143" s="282" t="s">
        <v>813</v>
      </c>
      <c r="F143" s="282" t="s">
        <v>813</v>
      </c>
    </row>
    <row r="144" spans="2:6" ht="26.4" x14ac:dyDescent="0.3">
      <c r="B144" s="280" t="s">
        <v>535</v>
      </c>
      <c r="C144" s="282" t="s">
        <v>799</v>
      </c>
      <c r="D144" s="282" t="s">
        <v>799</v>
      </c>
      <c r="E144" s="282" t="s">
        <v>799</v>
      </c>
      <c r="F144" s="282" t="s">
        <v>799</v>
      </c>
    </row>
    <row r="145" spans="2:6" ht="39.6" x14ac:dyDescent="0.3">
      <c r="B145" s="280" t="s">
        <v>535</v>
      </c>
      <c r="C145" s="282" t="s">
        <v>897</v>
      </c>
      <c r="D145" s="282" t="s">
        <v>897</v>
      </c>
      <c r="E145" s="282" t="s">
        <v>897</v>
      </c>
      <c r="F145" s="282" t="s">
        <v>897</v>
      </c>
    </row>
    <row r="148" spans="2:6" x14ac:dyDescent="0.3">
      <c r="B148" s="269" t="s">
        <v>871</v>
      </c>
    </row>
    <row r="149" spans="2:6" ht="26.4" x14ac:dyDescent="0.3">
      <c r="B149" s="272" t="s">
        <v>23</v>
      </c>
      <c r="C149" s="272" t="s">
        <v>615</v>
      </c>
      <c r="D149" s="272" t="s">
        <v>616</v>
      </c>
      <c r="E149" s="272" t="s">
        <v>617</v>
      </c>
      <c r="F149" s="272" t="s">
        <v>618</v>
      </c>
    </row>
    <row r="150" spans="2:6" ht="26.4" x14ac:dyDescent="0.3">
      <c r="B150" s="280" t="s">
        <v>24</v>
      </c>
      <c r="C150" s="271" t="s">
        <v>721</v>
      </c>
      <c r="D150" s="271" t="s">
        <v>721</v>
      </c>
      <c r="E150" s="271" t="s">
        <v>721</v>
      </c>
      <c r="F150" s="271" t="s">
        <v>721</v>
      </c>
    </row>
    <row r="151" spans="2:6" ht="52.8" x14ac:dyDescent="0.3">
      <c r="B151" s="280" t="s">
        <v>24</v>
      </c>
      <c r="C151" s="271" t="s">
        <v>816</v>
      </c>
      <c r="D151" s="271" t="s">
        <v>816</v>
      </c>
      <c r="E151" s="271" t="s">
        <v>816</v>
      </c>
      <c r="F151" s="271" t="s">
        <v>816</v>
      </c>
    </row>
    <row r="152" spans="2:6" ht="39.6" x14ac:dyDescent="0.3">
      <c r="B152" s="280" t="s">
        <v>24</v>
      </c>
      <c r="C152" s="271" t="s">
        <v>817</v>
      </c>
      <c r="D152" s="271" t="s">
        <v>817</v>
      </c>
      <c r="E152" s="271" t="s">
        <v>817</v>
      </c>
      <c r="F152" s="271" t="s">
        <v>817</v>
      </c>
    </row>
    <row r="153" spans="2:6" ht="39.6" x14ac:dyDescent="0.3">
      <c r="B153" s="280" t="s">
        <v>24</v>
      </c>
      <c r="C153" s="271" t="s">
        <v>818</v>
      </c>
      <c r="D153" s="271" t="s">
        <v>818</v>
      </c>
      <c r="E153" s="271" t="s">
        <v>818</v>
      </c>
      <c r="F153" s="271" t="s">
        <v>818</v>
      </c>
    </row>
    <row r="154" spans="2:6" ht="39.6" x14ac:dyDescent="0.3">
      <c r="B154" s="280" t="s">
        <v>24</v>
      </c>
      <c r="C154" s="271" t="s">
        <v>819</v>
      </c>
      <c r="D154" s="271" t="s">
        <v>819</v>
      </c>
      <c r="E154" s="271" t="s">
        <v>819</v>
      </c>
      <c r="F154" s="271" t="s">
        <v>819</v>
      </c>
    </row>
    <row r="155" spans="2:6" ht="26.4" x14ac:dyDescent="0.3">
      <c r="B155" s="280" t="s">
        <v>24</v>
      </c>
      <c r="C155" s="271" t="s">
        <v>820</v>
      </c>
      <c r="D155" s="271" t="s">
        <v>820</v>
      </c>
      <c r="E155" s="271" t="s">
        <v>820</v>
      </c>
      <c r="F155" s="271" t="s">
        <v>820</v>
      </c>
    </row>
    <row r="156" spans="2:6" ht="26.4" x14ac:dyDescent="0.3">
      <c r="B156" s="280" t="s">
        <v>24</v>
      </c>
      <c r="C156" s="271" t="s">
        <v>821</v>
      </c>
      <c r="D156" s="271" t="s">
        <v>821</v>
      </c>
      <c r="E156" s="271" t="s">
        <v>821</v>
      </c>
      <c r="F156" s="271" t="s">
        <v>821</v>
      </c>
    </row>
    <row r="157" spans="2:6" x14ac:dyDescent="0.3">
      <c r="B157" s="280" t="s">
        <v>190</v>
      </c>
      <c r="C157" s="271" t="s">
        <v>822</v>
      </c>
      <c r="D157" s="271" t="s">
        <v>822</v>
      </c>
      <c r="E157" s="271" t="s">
        <v>822</v>
      </c>
      <c r="F157" s="271" t="s">
        <v>822</v>
      </c>
    </row>
    <row r="158" spans="2:6" ht="66" x14ac:dyDescent="0.3">
      <c r="B158" s="280" t="s">
        <v>190</v>
      </c>
      <c r="C158" s="271" t="s">
        <v>823</v>
      </c>
      <c r="D158" s="271" t="s">
        <v>823</v>
      </c>
      <c r="E158" s="271" t="s">
        <v>823</v>
      </c>
      <c r="F158" s="271" t="s">
        <v>823</v>
      </c>
    </row>
    <row r="159" spans="2:6" ht="26.4" x14ac:dyDescent="0.3">
      <c r="B159" s="280" t="s">
        <v>190</v>
      </c>
      <c r="C159" s="271" t="s">
        <v>824</v>
      </c>
      <c r="D159" s="271" t="s">
        <v>824</v>
      </c>
      <c r="E159" s="271" t="s">
        <v>824</v>
      </c>
      <c r="F159" s="271" t="s">
        <v>824</v>
      </c>
    </row>
    <row r="160" spans="2:6" ht="26.4" x14ac:dyDescent="0.3">
      <c r="B160" s="280" t="s">
        <v>190</v>
      </c>
      <c r="C160" s="271" t="s">
        <v>825</v>
      </c>
      <c r="D160" s="271" t="s">
        <v>825</v>
      </c>
      <c r="E160" s="271" t="s">
        <v>825</v>
      </c>
      <c r="F160" s="271" t="s">
        <v>825</v>
      </c>
    </row>
    <row r="161" spans="2:6" ht="52.8" x14ac:dyDescent="0.3">
      <c r="B161" s="280" t="s">
        <v>190</v>
      </c>
      <c r="C161" s="271" t="s">
        <v>826</v>
      </c>
      <c r="D161" s="271" t="s">
        <v>826</v>
      </c>
      <c r="E161" s="271" t="s">
        <v>826</v>
      </c>
      <c r="F161" s="271" t="s">
        <v>826</v>
      </c>
    </row>
    <row r="162" spans="2:6" ht="52.8" x14ac:dyDescent="0.3">
      <c r="B162" s="280" t="s">
        <v>480</v>
      </c>
      <c r="C162" s="271" t="s">
        <v>827</v>
      </c>
      <c r="D162" s="271" t="s">
        <v>827</v>
      </c>
      <c r="E162" s="271" t="s">
        <v>827</v>
      </c>
      <c r="F162" s="271" t="s">
        <v>827</v>
      </c>
    </row>
    <row r="163" spans="2:6" ht="39.6" x14ac:dyDescent="0.3">
      <c r="B163" s="280" t="s">
        <v>480</v>
      </c>
      <c r="C163" s="271" t="s">
        <v>828</v>
      </c>
      <c r="D163" s="271" t="s">
        <v>828</v>
      </c>
      <c r="E163" s="271" t="s">
        <v>828</v>
      </c>
      <c r="F163" s="271" t="s">
        <v>828</v>
      </c>
    </row>
    <row r="164" spans="2:6" ht="26.4" x14ac:dyDescent="0.3">
      <c r="B164" s="280" t="s">
        <v>480</v>
      </c>
      <c r="C164" s="271" t="s">
        <v>829</v>
      </c>
      <c r="D164" s="271" t="s">
        <v>829</v>
      </c>
      <c r="E164" s="271" t="s">
        <v>829</v>
      </c>
      <c r="F164" s="271" t="s">
        <v>829</v>
      </c>
    </row>
    <row r="165" spans="2:6" ht="39.6" x14ac:dyDescent="0.3">
      <c r="B165" s="280" t="s">
        <v>480</v>
      </c>
      <c r="C165" s="271" t="s">
        <v>830</v>
      </c>
      <c r="D165" s="271" t="s">
        <v>830</v>
      </c>
      <c r="E165" s="271" t="s">
        <v>830</v>
      </c>
      <c r="F165" s="271" t="s">
        <v>830</v>
      </c>
    </row>
    <row r="166" spans="2:6" ht="26.4" x14ac:dyDescent="0.3">
      <c r="B166" s="280" t="s">
        <v>480</v>
      </c>
      <c r="C166" s="271" t="s">
        <v>880</v>
      </c>
      <c r="D166" s="271" t="s">
        <v>880</v>
      </c>
      <c r="E166" s="271" t="s">
        <v>880</v>
      </c>
      <c r="F166" s="271" t="s">
        <v>880</v>
      </c>
    </row>
    <row r="167" spans="2:6" ht="26.4" x14ac:dyDescent="0.3">
      <c r="B167" s="280" t="s">
        <v>63</v>
      </c>
      <c r="C167" s="271" t="s">
        <v>831</v>
      </c>
      <c r="D167" s="271" t="s">
        <v>831</v>
      </c>
      <c r="E167" s="271" t="s">
        <v>831</v>
      </c>
      <c r="F167" s="271" t="s">
        <v>831</v>
      </c>
    </row>
    <row r="168" spans="2:6" ht="39.6" x14ac:dyDescent="0.3">
      <c r="B168" s="280" t="s">
        <v>63</v>
      </c>
      <c r="C168" s="271" t="s">
        <v>832</v>
      </c>
      <c r="D168" s="271" t="s">
        <v>832</v>
      </c>
      <c r="E168" s="271" t="s">
        <v>832</v>
      </c>
      <c r="F168" s="271" t="s">
        <v>832</v>
      </c>
    </row>
    <row r="169" spans="2:6" ht="52.8" x14ac:dyDescent="0.3">
      <c r="B169" s="280" t="s">
        <v>63</v>
      </c>
      <c r="C169" s="271" t="s">
        <v>833</v>
      </c>
      <c r="D169" s="271" t="s">
        <v>833</v>
      </c>
      <c r="E169" s="271" t="s">
        <v>833</v>
      </c>
      <c r="F169" s="271" t="s">
        <v>833</v>
      </c>
    </row>
    <row r="170" spans="2:6" ht="52.8" x14ac:dyDescent="0.3">
      <c r="B170" s="280" t="s">
        <v>517</v>
      </c>
      <c r="C170" s="271" t="s">
        <v>1057</v>
      </c>
      <c r="D170" s="271" t="s">
        <v>1057</v>
      </c>
      <c r="E170" s="271" t="s">
        <v>1057</v>
      </c>
      <c r="F170" s="271" t="s">
        <v>1057</v>
      </c>
    </row>
    <row r="171" spans="2:6" ht="52.8" x14ac:dyDescent="0.3">
      <c r="B171" s="280" t="s">
        <v>517</v>
      </c>
      <c r="C171" s="271" t="s">
        <v>902</v>
      </c>
      <c r="D171" s="271" t="s">
        <v>902</v>
      </c>
      <c r="E171" s="271" t="s">
        <v>902</v>
      </c>
      <c r="F171" s="271" t="s">
        <v>902</v>
      </c>
    </row>
    <row r="172" spans="2:6" ht="26.4" x14ac:dyDescent="0.3">
      <c r="B172" s="280" t="s">
        <v>517</v>
      </c>
      <c r="C172" s="271" t="s">
        <v>904</v>
      </c>
      <c r="D172" s="271" t="s">
        <v>904</v>
      </c>
      <c r="E172" s="271" t="s">
        <v>904</v>
      </c>
      <c r="F172" s="271" t="s">
        <v>904</v>
      </c>
    </row>
    <row r="173" spans="2:6" ht="52.8" x14ac:dyDescent="0.3">
      <c r="B173" s="280" t="s">
        <v>517</v>
      </c>
      <c r="C173" s="271" t="s">
        <v>906</v>
      </c>
      <c r="D173" s="271" t="s">
        <v>906</v>
      </c>
      <c r="E173" s="271" t="s">
        <v>906</v>
      </c>
      <c r="F173" s="271" t="s">
        <v>906</v>
      </c>
    </row>
    <row r="174" spans="2:6" ht="66" x14ac:dyDescent="0.3">
      <c r="B174" s="280" t="s">
        <v>517</v>
      </c>
      <c r="C174" s="282" t="s">
        <v>823</v>
      </c>
      <c r="D174" s="282" t="s">
        <v>823</v>
      </c>
      <c r="E174" s="282" t="s">
        <v>823</v>
      </c>
      <c r="F174" s="282" t="s">
        <v>823</v>
      </c>
    </row>
    <row r="175" spans="2:6" ht="26.4" x14ac:dyDescent="0.3">
      <c r="B175" s="280" t="s">
        <v>517</v>
      </c>
      <c r="C175" s="282" t="s">
        <v>824</v>
      </c>
      <c r="D175" s="282" t="s">
        <v>824</v>
      </c>
      <c r="E175" s="282" t="s">
        <v>824</v>
      </c>
      <c r="F175" s="282" t="s">
        <v>824</v>
      </c>
    </row>
    <row r="176" spans="2:6" ht="39.6" x14ac:dyDescent="0.3">
      <c r="B176" s="280" t="s">
        <v>517</v>
      </c>
      <c r="C176" s="282" t="s">
        <v>852</v>
      </c>
      <c r="D176" s="282" t="s">
        <v>852</v>
      </c>
      <c r="E176" s="282" t="s">
        <v>852</v>
      </c>
      <c r="F176" s="282" t="s">
        <v>852</v>
      </c>
    </row>
    <row r="177" spans="2:6" ht="52.8" x14ac:dyDescent="0.3">
      <c r="B177" s="280" t="s">
        <v>517</v>
      </c>
      <c r="C177" s="282" t="s">
        <v>857</v>
      </c>
      <c r="D177" s="282" t="s">
        <v>857</v>
      </c>
      <c r="E177" s="282" t="s">
        <v>857</v>
      </c>
      <c r="F177" s="282" t="s">
        <v>857</v>
      </c>
    </row>
    <row r="178" spans="2:6" ht="26.4" x14ac:dyDescent="0.3">
      <c r="B178" s="280" t="s">
        <v>517</v>
      </c>
      <c r="C178" s="282" t="s">
        <v>854</v>
      </c>
      <c r="D178" s="282" t="s">
        <v>854</v>
      </c>
      <c r="E178" s="282" t="s">
        <v>854</v>
      </c>
      <c r="F178" s="282" t="s">
        <v>854</v>
      </c>
    </row>
    <row r="179" spans="2:6" ht="39.6" x14ac:dyDescent="0.3">
      <c r="B179" s="280" t="s">
        <v>517</v>
      </c>
      <c r="C179" s="282" t="s">
        <v>855</v>
      </c>
      <c r="D179" s="282" t="s">
        <v>855</v>
      </c>
      <c r="E179" s="282" t="s">
        <v>855</v>
      </c>
      <c r="F179" s="282" t="s">
        <v>855</v>
      </c>
    </row>
    <row r="180" spans="2:6" ht="90.75" customHeight="1" x14ac:dyDescent="0.3">
      <c r="B180" s="280" t="s">
        <v>291</v>
      </c>
      <c r="C180" s="271" t="s">
        <v>834</v>
      </c>
      <c r="D180" s="271" t="s">
        <v>834</v>
      </c>
      <c r="E180" s="271" t="s">
        <v>834</v>
      </c>
      <c r="F180" s="271" t="s">
        <v>834</v>
      </c>
    </row>
    <row r="181" spans="2:6" ht="92.4" x14ac:dyDescent="0.3">
      <c r="B181" s="280" t="s">
        <v>291</v>
      </c>
      <c r="C181" s="271" t="s">
        <v>835</v>
      </c>
      <c r="D181" s="271" t="s">
        <v>835</v>
      </c>
      <c r="E181" s="271" t="s">
        <v>835</v>
      </c>
      <c r="F181" s="271" t="s">
        <v>835</v>
      </c>
    </row>
    <row r="182" spans="2:6" ht="52.8" x14ac:dyDescent="0.3">
      <c r="B182" s="280" t="s">
        <v>291</v>
      </c>
      <c r="C182" s="271" t="s">
        <v>836</v>
      </c>
      <c r="D182" s="271" t="s">
        <v>836</v>
      </c>
      <c r="E182" s="271" t="s">
        <v>836</v>
      </c>
      <c r="F182" s="271" t="s">
        <v>836</v>
      </c>
    </row>
    <row r="183" spans="2:6" ht="26.4" x14ac:dyDescent="0.3">
      <c r="B183" s="280" t="s">
        <v>527</v>
      </c>
      <c r="C183" s="271" t="s">
        <v>837</v>
      </c>
      <c r="D183" s="271" t="s">
        <v>837</v>
      </c>
      <c r="E183" s="271" t="s">
        <v>837</v>
      </c>
      <c r="F183" s="271" t="s">
        <v>837</v>
      </c>
    </row>
    <row r="184" spans="2:6" ht="26.4" x14ac:dyDescent="0.3">
      <c r="B184" s="280" t="s">
        <v>527</v>
      </c>
      <c r="C184" s="271" t="s">
        <v>838</v>
      </c>
      <c r="D184" s="271" t="s">
        <v>838</v>
      </c>
      <c r="E184" s="271" t="s">
        <v>838</v>
      </c>
      <c r="F184" s="271" t="s">
        <v>838</v>
      </c>
    </row>
    <row r="185" spans="2:6" ht="26.4" x14ac:dyDescent="0.3">
      <c r="B185" s="280" t="s">
        <v>527</v>
      </c>
      <c r="C185" s="271" t="s">
        <v>839</v>
      </c>
      <c r="D185" s="271" t="s">
        <v>839</v>
      </c>
      <c r="E185" s="271" t="s">
        <v>839</v>
      </c>
      <c r="F185" s="271" t="s">
        <v>839</v>
      </c>
    </row>
    <row r="186" spans="2:6" ht="26.4" x14ac:dyDescent="0.3">
      <c r="B186" s="280" t="s">
        <v>527</v>
      </c>
      <c r="C186" s="271" t="s">
        <v>840</v>
      </c>
      <c r="D186" s="271" t="s">
        <v>840</v>
      </c>
      <c r="E186" s="271" t="s">
        <v>840</v>
      </c>
      <c r="F186" s="271" t="s">
        <v>840</v>
      </c>
    </row>
    <row r="187" spans="2:6" ht="26.4" x14ac:dyDescent="0.3">
      <c r="B187" s="280" t="s">
        <v>527</v>
      </c>
      <c r="C187" s="271" t="s">
        <v>841</v>
      </c>
      <c r="D187" s="271" t="s">
        <v>841</v>
      </c>
      <c r="E187" s="271" t="s">
        <v>841</v>
      </c>
      <c r="F187" s="271" t="s">
        <v>841</v>
      </c>
    </row>
    <row r="188" spans="2:6" ht="26.4" x14ac:dyDescent="0.3">
      <c r="B188" s="280" t="s">
        <v>527</v>
      </c>
      <c r="C188" s="271" t="s">
        <v>842</v>
      </c>
      <c r="D188" s="271" t="s">
        <v>842</v>
      </c>
      <c r="E188" s="271" t="s">
        <v>842</v>
      </c>
      <c r="F188" s="271" t="s">
        <v>842</v>
      </c>
    </row>
    <row r="189" spans="2:6" ht="26.4" x14ac:dyDescent="0.3">
      <c r="B189" s="280" t="s">
        <v>590</v>
      </c>
      <c r="C189" s="271" t="s">
        <v>843</v>
      </c>
      <c r="D189" s="271" t="s">
        <v>843</v>
      </c>
      <c r="E189" s="271" t="s">
        <v>843</v>
      </c>
      <c r="F189" s="271" t="s">
        <v>843</v>
      </c>
    </row>
    <row r="190" spans="2:6" ht="79.2" x14ac:dyDescent="0.3">
      <c r="B190" s="280" t="s">
        <v>590</v>
      </c>
      <c r="C190" s="271" t="s">
        <v>844</v>
      </c>
      <c r="D190" s="271" t="s">
        <v>844</v>
      </c>
      <c r="E190" s="271" t="s">
        <v>844</v>
      </c>
      <c r="F190" s="271" t="s">
        <v>844</v>
      </c>
    </row>
    <row r="191" spans="2:6" ht="52.8" x14ac:dyDescent="0.3">
      <c r="B191" s="280" t="s">
        <v>590</v>
      </c>
      <c r="C191" s="271" t="s">
        <v>845</v>
      </c>
      <c r="D191" s="271" t="s">
        <v>845</v>
      </c>
      <c r="E191" s="271" t="s">
        <v>845</v>
      </c>
      <c r="F191" s="271" t="s">
        <v>845</v>
      </c>
    </row>
    <row r="192" spans="2:6" ht="92.4" x14ac:dyDescent="0.3">
      <c r="B192" s="280" t="s">
        <v>590</v>
      </c>
      <c r="C192" s="271" t="s">
        <v>846</v>
      </c>
      <c r="D192" s="271" t="s">
        <v>846</v>
      </c>
      <c r="E192" s="271" t="s">
        <v>846</v>
      </c>
      <c r="F192" s="271" t="s">
        <v>846</v>
      </c>
    </row>
    <row r="193" spans="2:6" ht="66" x14ac:dyDescent="0.3">
      <c r="B193" s="280" t="s">
        <v>590</v>
      </c>
      <c r="C193" s="282" t="s">
        <v>823</v>
      </c>
      <c r="D193" s="282" t="s">
        <v>823</v>
      </c>
      <c r="E193" s="282" t="s">
        <v>823</v>
      </c>
      <c r="F193" s="282" t="s">
        <v>823</v>
      </c>
    </row>
    <row r="194" spans="2:6" ht="26.4" x14ac:dyDescent="0.3">
      <c r="B194" s="280" t="s">
        <v>1012</v>
      </c>
      <c r="C194" s="271" t="s">
        <v>1034</v>
      </c>
      <c r="D194" s="271" t="s">
        <v>1034</v>
      </c>
      <c r="E194" s="271" t="s">
        <v>1034</v>
      </c>
      <c r="F194" s="271" t="s">
        <v>1034</v>
      </c>
    </row>
    <row r="195" spans="2:6" ht="26.4" x14ac:dyDescent="0.3">
      <c r="B195" s="280" t="s">
        <v>1012</v>
      </c>
      <c r="C195" s="271" t="s">
        <v>1035</v>
      </c>
      <c r="D195" s="271" t="s">
        <v>1035</v>
      </c>
      <c r="E195" s="271" t="s">
        <v>1035</v>
      </c>
      <c r="F195" s="271" t="s">
        <v>1035</v>
      </c>
    </row>
    <row r="196" spans="2:6" ht="26.4" x14ac:dyDescent="0.3">
      <c r="B196" s="280" t="s">
        <v>1012</v>
      </c>
      <c r="C196" s="271" t="s">
        <v>1037</v>
      </c>
      <c r="D196" s="271" t="s">
        <v>1037</v>
      </c>
      <c r="E196" s="271" t="s">
        <v>1037</v>
      </c>
      <c r="F196" s="271" t="s">
        <v>1037</v>
      </c>
    </row>
    <row r="197" spans="2:6" ht="26.4" x14ac:dyDescent="0.3">
      <c r="B197" s="280" t="s">
        <v>1012</v>
      </c>
      <c r="C197" s="271" t="s">
        <v>1039</v>
      </c>
      <c r="D197" s="271" t="s">
        <v>1039</v>
      </c>
      <c r="E197" s="271" t="s">
        <v>1039</v>
      </c>
      <c r="F197" s="271" t="s">
        <v>1039</v>
      </c>
    </row>
    <row r="198" spans="2:6" ht="26.4" x14ac:dyDescent="0.3">
      <c r="B198" s="280" t="s">
        <v>596</v>
      </c>
      <c r="C198" s="271" t="s">
        <v>847</v>
      </c>
      <c r="D198" s="271" t="s">
        <v>847</v>
      </c>
      <c r="E198" s="271" t="s">
        <v>847</v>
      </c>
      <c r="F198" s="271" t="s">
        <v>847</v>
      </c>
    </row>
    <row r="199" spans="2:6" ht="26.4" x14ac:dyDescent="0.3">
      <c r="B199" s="280" t="s">
        <v>596</v>
      </c>
      <c r="C199" s="271" t="s">
        <v>848</v>
      </c>
      <c r="D199" s="271" t="s">
        <v>848</v>
      </c>
      <c r="E199" s="271" t="s">
        <v>848</v>
      </c>
      <c r="F199" s="271" t="s">
        <v>848</v>
      </c>
    </row>
    <row r="200" spans="2:6" ht="39.6" x14ac:dyDescent="0.3">
      <c r="B200" s="280" t="s">
        <v>596</v>
      </c>
      <c r="C200" s="271" t="s">
        <v>849</v>
      </c>
      <c r="D200" s="271" t="s">
        <v>849</v>
      </c>
      <c r="E200" s="271" t="s">
        <v>849</v>
      </c>
      <c r="F200" s="271" t="s">
        <v>849</v>
      </c>
    </row>
    <row r="201" spans="2:6" ht="52.8" x14ac:dyDescent="0.3">
      <c r="B201" s="280" t="s">
        <v>596</v>
      </c>
      <c r="C201" s="271" t="s">
        <v>850</v>
      </c>
      <c r="D201" s="271" t="s">
        <v>850</v>
      </c>
      <c r="E201" s="271" t="s">
        <v>850</v>
      </c>
      <c r="F201" s="271" t="s">
        <v>850</v>
      </c>
    </row>
    <row r="202" spans="2:6" ht="39.6" x14ac:dyDescent="0.3">
      <c r="B202" s="280" t="s">
        <v>596</v>
      </c>
      <c r="C202" s="271" t="s">
        <v>851</v>
      </c>
      <c r="D202" s="271" t="s">
        <v>851</v>
      </c>
      <c r="E202" s="271" t="s">
        <v>851</v>
      </c>
      <c r="F202" s="271" t="s">
        <v>851</v>
      </c>
    </row>
    <row r="203" spans="2:6" ht="66.75" customHeight="1" x14ac:dyDescent="0.3">
      <c r="B203" s="280" t="s">
        <v>596</v>
      </c>
      <c r="C203" s="271" t="s">
        <v>913</v>
      </c>
      <c r="D203" s="271" t="s">
        <v>913</v>
      </c>
      <c r="E203" s="271" t="s">
        <v>913</v>
      </c>
      <c r="F203" s="271" t="s">
        <v>913</v>
      </c>
    </row>
    <row r="204" spans="2:6" ht="26.4" x14ac:dyDescent="0.3">
      <c r="B204" s="280" t="s">
        <v>596</v>
      </c>
      <c r="C204" s="271" t="s">
        <v>915</v>
      </c>
      <c r="D204" s="271" t="s">
        <v>915</v>
      </c>
      <c r="E204" s="271" t="s">
        <v>915</v>
      </c>
      <c r="F204" s="271" t="s">
        <v>915</v>
      </c>
    </row>
    <row r="205" spans="2:6" ht="39.6" x14ac:dyDescent="0.3">
      <c r="B205" s="280" t="s">
        <v>530</v>
      </c>
      <c r="C205" s="271" t="s">
        <v>852</v>
      </c>
      <c r="D205" s="271" t="s">
        <v>852</v>
      </c>
      <c r="E205" s="271" t="s">
        <v>852</v>
      </c>
      <c r="F205" s="271" t="s">
        <v>852</v>
      </c>
    </row>
    <row r="206" spans="2:6" ht="26.4" x14ac:dyDescent="0.3">
      <c r="B206" s="280" t="s">
        <v>530</v>
      </c>
      <c r="C206" s="271" t="s">
        <v>853</v>
      </c>
      <c r="D206" s="271" t="s">
        <v>853</v>
      </c>
      <c r="E206" s="271" t="s">
        <v>853</v>
      </c>
      <c r="F206" s="271" t="s">
        <v>853</v>
      </c>
    </row>
    <row r="207" spans="2:6" ht="26.4" x14ac:dyDescent="0.3">
      <c r="B207" s="280" t="s">
        <v>530</v>
      </c>
      <c r="C207" s="271" t="s">
        <v>854</v>
      </c>
      <c r="D207" s="271" t="s">
        <v>854</v>
      </c>
      <c r="E207" s="271" t="s">
        <v>854</v>
      </c>
      <c r="F207" s="271" t="s">
        <v>854</v>
      </c>
    </row>
    <row r="208" spans="2:6" ht="39.6" x14ac:dyDescent="0.3">
      <c r="B208" s="280" t="s">
        <v>530</v>
      </c>
      <c r="C208" s="271" t="s">
        <v>855</v>
      </c>
      <c r="D208" s="271" t="s">
        <v>855</v>
      </c>
      <c r="E208" s="271" t="s">
        <v>855</v>
      </c>
      <c r="F208" s="271" t="s">
        <v>855</v>
      </c>
    </row>
    <row r="209" spans="2:6" ht="26.4" x14ac:dyDescent="0.3">
      <c r="B209" s="280" t="s">
        <v>530</v>
      </c>
      <c r="C209" s="274"/>
      <c r="D209" s="274"/>
      <c r="E209" s="271" t="s">
        <v>856</v>
      </c>
      <c r="F209" s="271" t="s">
        <v>856</v>
      </c>
    </row>
    <row r="210" spans="2:6" ht="52.8" x14ac:dyDescent="0.3">
      <c r="B210" s="280" t="s">
        <v>530</v>
      </c>
      <c r="C210" s="271" t="s">
        <v>929</v>
      </c>
      <c r="D210" s="271" t="s">
        <v>929</v>
      </c>
      <c r="E210" s="271" t="s">
        <v>929</v>
      </c>
      <c r="F210" s="271" t="s">
        <v>929</v>
      </c>
    </row>
    <row r="211" spans="2:6" ht="39.6" x14ac:dyDescent="0.3">
      <c r="B211" s="280" t="s">
        <v>709</v>
      </c>
      <c r="C211" s="271" t="s">
        <v>858</v>
      </c>
      <c r="D211" s="271" t="s">
        <v>858</v>
      </c>
      <c r="E211" s="271" t="s">
        <v>858</v>
      </c>
      <c r="F211" s="271" t="s">
        <v>858</v>
      </c>
    </row>
    <row r="212" spans="2:6" ht="52.8" x14ac:dyDescent="0.3">
      <c r="B212" s="280" t="s">
        <v>709</v>
      </c>
      <c r="C212" s="271" t="s">
        <v>859</v>
      </c>
      <c r="D212" s="271" t="s">
        <v>859</v>
      </c>
      <c r="E212" s="271" t="s">
        <v>859</v>
      </c>
      <c r="F212" s="271" t="s">
        <v>859</v>
      </c>
    </row>
    <row r="213" spans="2:6" ht="26.4" x14ac:dyDescent="0.3">
      <c r="B213" s="280" t="s">
        <v>709</v>
      </c>
      <c r="C213" s="282" t="s">
        <v>854</v>
      </c>
      <c r="D213" s="282" t="s">
        <v>854</v>
      </c>
      <c r="E213" s="282" t="s">
        <v>854</v>
      </c>
      <c r="F213" s="282" t="s">
        <v>854</v>
      </c>
    </row>
    <row r="214" spans="2:6" ht="39.6" x14ac:dyDescent="0.3">
      <c r="B214" s="280" t="s">
        <v>709</v>
      </c>
      <c r="C214" s="282" t="s">
        <v>819</v>
      </c>
      <c r="D214" s="282" t="s">
        <v>819</v>
      </c>
      <c r="E214" s="282" t="s">
        <v>819</v>
      </c>
      <c r="F214" s="282" t="s">
        <v>819</v>
      </c>
    </row>
    <row r="215" spans="2:6" ht="26.4" x14ac:dyDescent="0.3">
      <c r="B215" s="280" t="s">
        <v>709</v>
      </c>
      <c r="C215" s="282" t="s">
        <v>904</v>
      </c>
      <c r="D215" s="282" t="s">
        <v>904</v>
      </c>
      <c r="E215" s="282" t="s">
        <v>904</v>
      </c>
      <c r="F215" s="282" t="s">
        <v>904</v>
      </c>
    </row>
    <row r="216" spans="2:6" ht="26.4" x14ac:dyDescent="0.3">
      <c r="B216" s="280" t="s">
        <v>709</v>
      </c>
      <c r="C216" s="282" t="s">
        <v>840</v>
      </c>
      <c r="D216" s="282" t="s">
        <v>840</v>
      </c>
      <c r="E216" s="282" t="s">
        <v>840</v>
      </c>
      <c r="F216" s="282" t="s">
        <v>840</v>
      </c>
    </row>
    <row r="217" spans="2:6" ht="26.4" x14ac:dyDescent="0.3">
      <c r="B217" s="280" t="s">
        <v>709</v>
      </c>
      <c r="C217" s="282" t="s">
        <v>841</v>
      </c>
      <c r="D217" s="282" t="s">
        <v>841</v>
      </c>
      <c r="E217" s="282" t="s">
        <v>841</v>
      </c>
      <c r="F217" s="282" t="s">
        <v>841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tabColor rgb="FFFFFF00"/>
  </sheetPr>
  <dimension ref="B1:I41"/>
  <sheetViews>
    <sheetView workbookViewId="0">
      <selection activeCell="I1" sqref="I1"/>
    </sheetView>
  </sheetViews>
  <sheetFormatPr defaultColWidth="9.109375" defaultRowHeight="12.6" x14ac:dyDescent="0.25"/>
  <cols>
    <col min="1" max="1" width="3" style="1" customWidth="1"/>
    <col min="2" max="2" width="9.109375" style="1"/>
    <col min="3" max="3" width="46.5546875" style="1" customWidth="1"/>
    <col min="4" max="5" width="9.109375" style="1"/>
    <col min="6" max="6" width="15.109375" style="1" customWidth="1"/>
    <col min="7" max="7" width="47.33203125" style="1" customWidth="1"/>
    <col min="8" max="8" width="15.88671875" style="1" customWidth="1"/>
    <col min="9" max="9" width="25.109375" style="116" customWidth="1"/>
    <col min="10" max="16384" width="9.109375" style="1"/>
  </cols>
  <sheetData>
    <row r="1" spans="2:9" customFormat="1" ht="15" thickBot="1" x14ac:dyDescent="0.35"/>
    <row r="2" spans="2:9" customFormat="1" ht="21" thickBot="1" x14ac:dyDescent="0.4">
      <c r="B2" s="8" t="s">
        <v>23</v>
      </c>
      <c r="C2" s="9"/>
      <c r="D2" s="10" t="s">
        <v>360</v>
      </c>
      <c r="E2" s="100"/>
    </row>
    <row r="3" spans="2:9" customFormat="1" ht="14.4" x14ac:dyDescent="0.3"/>
    <row r="4" spans="2:9" customFormat="1" ht="14.4" x14ac:dyDescent="0.3"/>
    <row r="5" spans="2:9" customFormat="1" ht="17.399999999999999" x14ac:dyDescent="0.3">
      <c r="B5" s="101" t="s">
        <v>209</v>
      </c>
    </row>
    <row r="6" spans="2:9" customFormat="1" ht="15" thickBot="1" x14ac:dyDescent="0.35"/>
    <row r="7" spans="2:9" customFormat="1" ht="28.2" thickBot="1" x14ac:dyDescent="0.35">
      <c r="B7" s="146" t="s">
        <v>1</v>
      </c>
      <c r="C7" s="146" t="s">
        <v>28</v>
      </c>
      <c r="D7" s="146" t="s">
        <v>29</v>
      </c>
      <c r="E7" s="146" t="s">
        <v>210</v>
      </c>
      <c r="F7" s="146" t="s">
        <v>30</v>
      </c>
      <c r="G7" s="146" t="s">
        <v>31</v>
      </c>
      <c r="H7" s="102" t="s">
        <v>32</v>
      </c>
      <c r="I7" s="102" t="s">
        <v>33</v>
      </c>
    </row>
    <row r="8" spans="2:9" ht="37.799999999999997" x14ac:dyDescent="0.25">
      <c r="B8" s="82">
        <v>1</v>
      </c>
      <c r="C8" s="250" t="s">
        <v>374</v>
      </c>
      <c r="D8" s="22" t="s">
        <v>35</v>
      </c>
      <c r="E8" s="22" t="s">
        <v>212</v>
      </c>
      <c r="F8" s="22" t="s">
        <v>306</v>
      </c>
      <c r="G8" s="60" t="s">
        <v>316</v>
      </c>
      <c r="H8" s="147" t="s">
        <v>37</v>
      </c>
      <c r="I8" s="82" t="s">
        <v>165</v>
      </c>
    </row>
    <row r="9" spans="2:9" ht="37.799999999999997" x14ac:dyDescent="0.25">
      <c r="B9" s="45">
        <v>2</v>
      </c>
      <c r="C9" s="21" t="s">
        <v>375</v>
      </c>
      <c r="D9" s="22" t="s">
        <v>35</v>
      </c>
      <c r="E9" s="22" t="s">
        <v>212</v>
      </c>
      <c r="F9" s="22" t="s">
        <v>19</v>
      </c>
      <c r="G9" s="106" t="s">
        <v>376</v>
      </c>
      <c r="H9" s="148" t="s">
        <v>37</v>
      </c>
      <c r="I9" s="45" t="s">
        <v>377</v>
      </c>
    </row>
    <row r="10" spans="2:9" ht="25.2" x14ac:dyDescent="0.25">
      <c r="B10" s="45">
        <v>3</v>
      </c>
      <c r="C10" s="21" t="s">
        <v>378</v>
      </c>
      <c r="D10" s="22" t="s">
        <v>35</v>
      </c>
      <c r="E10" s="22" t="s">
        <v>212</v>
      </c>
      <c r="F10" s="22" t="s">
        <v>326</v>
      </c>
      <c r="G10" s="25" t="s">
        <v>316</v>
      </c>
      <c r="H10" s="148" t="s">
        <v>37</v>
      </c>
      <c r="I10" s="45" t="s">
        <v>165</v>
      </c>
    </row>
    <row r="11" spans="2:9" ht="25.2" x14ac:dyDescent="0.25">
      <c r="B11" s="45">
        <v>4</v>
      </c>
      <c r="C11" s="21" t="s">
        <v>379</v>
      </c>
      <c r="D11" s="22" t="s">
        <v>35</v>
      </c>
      <c r="E11" s="22" t="s">
        <v>212</v>
      </c>
      <c r="F11" s="22" t="s">
        <v>310</v>
      </c>
      <c r="G11" s="23" t="s">
        <v>293</v>
      </c>
      <c r="H11" s="148" t="s">
        <v>35</v>
      </c>
      <c r="I11" s="45" t="s">
        <v>377</v>
      </c>
    </row>
    <row r="12" spans="2:9" ht="37.799999999999997" x14ac:dyDescent="0.25">
      <c r="B12" s="45">
        <v>5</v>
      </c>
      <c r="C12" s="250" t="s">
        <v>380</v>
      </c>
      <c r="D12" s="22" t="s">
        <v>35</v>
      </c>
      <c r="E12" s="22" t="s">
        <v>212</v>
      </c>
      <c r="F12" s="22" t="s">
        <v>306</v>
      </c>
      <c r="G12" s="25" t="s">
        <v>381</v>
      </c>
      <c r="H12" s="148" t="s">
        <v>37</v>
      </c>
      <c r="I12" s="45" t="s">
        <v>382</v>
      </c>
    </row>
    <row r="13" spans="2:9" ht="37.799999999999997" x14ac:dyDescent="0.25">
      <c r="B13" s="45">
        <v>6</v>
      </c>
      <c r="C13" s="250" t="s">
        <v>383</v>
      </c>
      <c r="D13" s="22" t="s">
        <v>35</v>
      </c>
      <c r="E13" s="22" t="s">
        <v>212</v>
      </c>
      <c r="F13" s="22" t="s">
        <v>19</v>
      </c>
      <c r="G13" s="106" t="s">
        <v>384</v>
      </c>
      <c r="H13" s="148" t="s">
        <v>37</v>
      </c>
      <c r="I13" s="45" t="s">
        <v>382</v>
      </c>
    </row>
    <row r="14" spans="2:9" ht="25.2" x14ac:dyDescent="0.25">
      <c r="B14" s="45">
        <v>7</v>
      </c>
      <c r="C14" s="21" t="s">
        <v>385</v>
      </c>
      <c r="D14" s="22" t="s">
        <v>35</v>
      </c>
      <c r="E14" s="22" t="s">
        <v>212</v>
      </c>
      <c r="F14" s="22" t="s">
        <v>326</v>
      </c>
      <c r="G14" s="25" t="s">
        <v>381</v>
      </c>
      <c r="H14" s="148" t="s">
        <v>37</v>
      </c>
      <c r="I14" s="45" t="s">
        <v>382</v>
      </c>
    </row>
    <row r="15" spans="2:9" ht="25.2" x14ac:dyDescent="0.25">
      <c r="B15" s="45">
        <v>8</v>
      </c>
      <c r="C15" s="21" t="s">
        <v>386</v>
      </c>
      <c r="D15" s="22" t="s">
        <v>35</v>
      </c>
      <c r="E15" s="22" t="s">
        <v>212</v>
      </c>
      <c r="F15" s="22" t="s">
        <v>310</v>
      </c>
      <c r="G15" s="23" t="s">
        <v>293</v>
      </c>
      <c r="H15" s="148" t="s">
        <v>35</v>
      </c>
      <c r="I15" s="45" t="s">
        <v>382</v>
      </c>
    </row>
    <row r="16" spans="2:9" ht="37.799999999999997" x14ac:dyDescent="0.25">
      <c r="B16" s="45">
        <v>9</v>
      </c>
      <c r="C16" s="21" t="s">
        <v>387</v>
      </c>
      <c r="D16" s="22" t="s">
        <v>35</v>
      </c>
      <c r="E16" s="22" t="s">
        <v>212</v>
      </c>
      <c r="F16" s="22" t="s">
        <v>306</v>
      </c>
      <c r="G16" s="25" t="s">
        <v>381</v>
      </c>
      <c r="H16" s="148" t="s">
        <v>37</v>
      </c>
      <c r="I16" s="45" t="s">
        <v>382</v>
      </c>
    </row>
    <row r="17" spans="2:9" ht="37.799999999999997" x14ac:dyDescent="0.25">
      <c r="B17" s="45">
        <v>10</v>
      </c>
      <c r="C17" s="21" t="s">
        <v>388</v>
      </c>
      <c r="D17" s="22" t="s">
        <v>35</v>
      </c>
      <c r="E17" s="22" t="s">
        <v>212</v>
      </c>
      <c r="F17" s="22" t="s">
        <v>19</v>
      </c>
      <c r="G17" s="106" t="s">
        <v>384</v>
      </c>
      <c r="H17" s="148" t="s">
        <v>37</v>
      </c>
      <c r="I17" s="45" t="s">
        <v>382</v>
      </c>
    </row>
    <row r="18" spans="2:9" ht="25.2" x14ac:dyDescent="0.25">
      <c r="B18" s="45">
        <v>11</v>
      </c>
      <c r="C18" s="21" t="s">
        <v>389</v>
      </c>
      <c r="D18" s="22" t="s">
        <v>35</v>
      </c>
      <c r="E18" s="22" t="s">
        <v>212</v>
      </c>
      <c r="F18" s="22" t="s">
        <v>326</v>
      </c>
      <c r="G18" s="25" t="s">
        <v>381</v>
      </c>
      <c r="H18" s="148" t="s">
        <v>37</v>
      </c>
      <c r="I18" s="45" t="s">
        <v>382</v>
      </c>
    </row>
    <row r="19" spans="2:9" ht="25.2" x14ac:dyDescent="0.25">
      <c r="B19" s="45">
        <v>12</v>
      </c>
      <c r="C19" s="21" t="s">
        <v>390</v>
      </c>
      <c r="D19" s="22" t="s">
        <v>35</v>
      </c>
      <c r="E19" s="22" t="s">
        <v>212</v>
      </c>
      <c r="F19" s="22" t="s">
        <v>310</v>
      </c>
      <c r="G19" s="23" t="s">
        <v>293</v>
      </c>
      <c r="H19" s="148" t="s">
        <v>35</v>
      </c>
      <c r="I19" s="45" t="s">
        <v>382</v>
      </c>
    </row>
    <row r="20" spans="2:9" ht="25.2" x14ac:dyDescent="0.25">
      <c r="B20" s="45">
        <v>13</v>
      </c>
      <c r="C20" s="250" t="s">
        <v>391</v>
      </c>
      <c r="D20" s="22" t="s">
        <v>35</v>
      </c>
      <c r="E20" s="22" t="s">
        <v>212</v>
      </c>
      <c r="F20" s="22" t="s">
        <v>306</v>
      </c>
      <c r="G20" s="25" t="s">
        <v>392</v>
      </c>
      <c r="H20" s="148" t="s">
        <v>37</v>
      </c>
      <c r="I20" s="45" t="s">
        <v>393</v>
      </c>
    </row>
    <row r="21" spans="2:9" ht="50.4" x14ac:dyDescent="0.25">
      <c r="B21" s="45">
        <v>14</v>
      </c>
      <c r="C21" s="250" t="s">
        <v>394</v>
      </c>
      <c r="D21" s="22" t="s">
        <v>35</v>
      </c>
      <c r="E21" s="22" t="s">
        <v>212</v>
      </c>
      <c r="F21" s="22" t="s">
        <v>19</v>
      </c>
      <c r="G21" s="106" t="s">
        <v>395</v>
      </c>
      <c r="H21" s="148" t="s">
        <v>37</v>
      </c>
      <c r="I21" s="45" t="s">
        <v>263</v>
      </c>
    </row>
    <row r="22" spans="2:9" ht="25.2" x14ac:dyDescent="0.25">
      <c r="B22" s="45">
        <v>15</v>
      </c>
      <c r="C22" s="21" t="s">
        <v>396</v>
      </c>
      <c r="D22" s="22" t="s">
        <v>35</v>
      </c>
      <c r="E22" s="22" t="s">
        <v>212</v>
      </c>
      <c r="F22" s="22" t="s">
        <v>326</v>
      </c>
      <c r="G22" s="25" t="s">
        <v>392</v>
      </c>
      <c r="H22" s="148" t="s">
        <v>37</v>
      </c>
      <c r="I22" s="45" t="s">
        <v>397</v>
      </c>
    </row>
    <row r="23" spans="2:9" ht="25.2" x14ac:dyDescent="0.25">
      <c r="B23" s="45">
        <v>16</v>
      </c>
      <c r="C23" s="21" t="s">
        <v>398</v>
      </c>
      <c r="D23" s="22" t="s">
        <v>35</v>
      </c>
      <c r="E23" s="22" t="s">
        <v>212</v>
      </c>
      <c r="F23" s="22" t="s">
        <v>310</v>
      </c>
      <c r="G23" s="23" t="s">
        <v>293</v>
      </c>
      <c r="H23" s="148" t="s">
        <v>35</v>
      </c>
      <c r="I23" s="45" t="s">
        <v>382</v>
      </c>
    </row>
    <row r="24" spans="2:9" ht="37.799999999999997" x14ac:dyDescent="0.25">
      <c r="B24" s="18">
        <v>17</v>
      </c>
      <c r="C24" s="247" t="s">
        <v>399</v>
      </c>
      <c r="D24" s="19" t="s">
        <v>35</v>
      </c>
      <c r="E24" s="19" t="s">
        <v>212</v>
      </c>
      <c r="F24" s="19" t="s">
        <v>306</v>
      </c>
      <c r="G24" s="963" t="s">
        <v>45</v>
      </c>
      <c r="H24" s="109" t="s">
        <v>35</v>
      </c>
      <c r="I24" s="18" t="s">
        <v>15</v>
      </c>
    </row>
    <row r="25" spans="2:9" ht="25.2" x14ac:dyDescent="0.25">
      <c r="B25" s="40">
        <v>18</v>
      </c>
      <c r="C25" s="248" t="s">
        <v>400</v>
      </c>
      <c r="D25" s="41" t="s">
        <v>35</v>
      </c>
      <c r="E25" s="41" t="s">
        <v>212</v>
      </c>
      <c r="F25" s="41" t="s">
        <v>19</v>
      </c>
      <c r="G25" s="1140"/>
      <c r="H25" s="132" t="s">
        <v>35</v>
      </c>
      <c r="I25" s="40" t="s">
        <v>15</v>
      </c>
    </row>
    <row r="26" spans="2:9" ht="25.2" x14ac:dyDescent="0.25">
      <c r="B26" s="40">
        <v>19</v>
      </c>
      <c r="C26" s="40" t="s">
        <v>401</v>
      </c>
      <c r="D26" s="41" t="s">
        <v>35</v>
      </c>
      <c r="E26" s="41" t="s">
        <v>212</v>
      </c>
      <c r="F26" s="41" t="s">
        <v>326</v>
      </c>
      <c r="G26" s="1140"/>
      <c r="H26" s="132" t="s">
        <v>35</v>
      </c>
      <c r="I26" s="40" t="s">
        <v>15</v>
      </c>
    </row>
    <row r="27" spans="2:9" ht="25.2" x14ac:dyDescent="0.25">
      <c r="B27" s="149">
        <v>20</v>
      </c>
      <c r="C27" s="150" t="s">
        <v>402</v>
      </c>
      <c r="D27" s="151" t="s">
        <v>35</v>
      </c>
      <c r="E27" s="151" t="s">
        <v>212</v>
      </c>
      <c r="F27" s="151" t="s">
        <v>310</v>
      </c>
      <c r="G27" s="1197"/>
      <c r="H27" s="152" t="s">
        <v>35</v>
      </c>
      <c r="I27" s="149" t="s">
        <v>15</v>
      </c>
    </row>
    <row r="28" spans="2:9" ht="37.799999999999997" x14ac:dyDescent="0.25">
      <c r="B28" s="153">
        <v>21</v>
      </c>
      <c r="C28" s="265" t="s">
        <v>403</v>
      </c>
      <c r="D28" s="154" t="s">
        <v>35</v>
      </c>
      <c r="E28" s="154" t="s">
        <v>212</v>
      </c>
      <c r="F28" s="154" t="s">
        <v>306</v>
      </c>
      <c r="G28" s="155" t="s">
        <v>155</v>
      </c>
      <c r="H28" s="156" t="s">
        <v>37</v>
      </c>
      <c r="I28" s="153" t="s">
        <v>152</v>
      </c>
    </row>
    <row r="29" spans="2:9" ht="37.799999999999997" x14ac:dyDescent="0.25">
      <c r="B29" s="157">
        <v>22</v>
      </c>
      <c r="C29" s="266" t="s">
        <v>404</v>
      </c>
      <c r="D29" s="159" t="s">
        <v>35</v>
      </c>
      <c r="E29" s="159" t="s">
        <v>212</v>
      </c>
      <c r="F29" s="159" t="s">
        <v>19</v>
      </c>
      <c r="G29" s="160" t="s">
        <v>151</v>
      </c>
      <c r="H29" s="161" t="s">
        <v>37</v>
      </c>
      <c r="I29" s="157" t="s">
        <v>136</v>
      </c>
    </row>
    <row r="30" spans="2:9" ht="37.799999999999997" x14ac:dyDescent="0.25">
      <c r="B30" s="157">
        <v>23</v>
      </c>
      <c r="C30" s="158" t="s">
        <v>405</v>
      </c>
      <c r="D30" s="159" t="s">
        <v>35</v>
      </c>
      <c r="E30" s="159" t="s">
        <v>212</v>
      </c>
      <c r="F30" s="159" t="s">
        <v>306</v>
      </c>
      <c r="G30" s="162" t="s">
        <v>381</v>
      </c>
      <c r="H30" s="161" t="s">
        <v>37</v>
      </c>
      <c r="I30" s="157" t="s">
        <v>382</v>
      </c>
    </row>
    <row r="31" spans="2:9" ht="75.599999999999994" x14ac:dyDescent="0.25">
      <c r="B31" s="157">
        <v>24</v>
      </c>
      <c r="C31" s="158" t="s">
        <v>406</v>
      </c>
      <c r="D31" s="159" t="s">
        <v>35</v>
      </c>
      <c r="E31" s="159" t="s">
        <v>212</v>
      </c>
      <c r="F31" s="159" t="s">
        <v>306</v>
      </c>
      <c r="G31" s="160" t="s">
        <v>40</v>
      </c>
      <c r="H31" s="161" t="s">
        <v>37</v>
      </c>
      <c r="I31" s="157" t="s">
        <v>41</v>
      </c>
    </row>
    <row r="32" spans="2:9" ht="37.799999999999997" x14ac:dyDescent="0.25">
      <c r="B32" s="157">
        <v>25</v>
      </c>
      <c r="C32" s="158" t="s">
        <v>407</v>
      </c>
      <c r="D32" s="159" t="s">
        <v>35</v>
      </c>
      <c r="E32" s="159" t="s">
        <v>212</v>
      </c>
      <c r="F32" s="159" t="s">
        <v>19</v>
      </c>
      <c r="G32" s="160" t="s">
        <v>384</v>
      </c>
      <c r="H32" s="161" t="s">
        <v>37</v>
      </c>
      <c r="I32" s="157" t="s">
        <v>382</v>
      </c>
    </row>
    <row r="33" spans="2:9" ht="75.599999999999994" x14ac:dyDescent="0.25">
      <c r="B33" s="157">
        <v>26</v>
      </c>
      <c r="C33" s="158" t="s">
        <v>408</v>
      </c>
      <c r="D33" s="159" t="s">
        <v>35</v>
      </c>
      <c r="E33" s="159" t="s">
        <v>212</v>
      </c>
      <c r="F33" s="159" t="s">
        <v>19</v>
      </c>
      <c r="G33" s="160" t="s">
        <v>40</v>
      </c>
      <c r="H33" s="161" t="s">
        <v>37</v>
      </c>
      <c r="I33" s="157" t="s">
        <v>48</v>
      </c>
    </row>
    <row r="34" spans="2:9" ht="25.2" x14ac:dyDescent="0.25">
      <c r="B34" s="157">
        <v>27</v>
      </c>
      <c r="C34" s="158" t="s">
        <v>409</v>
      </c>
      <c r="D34" s="159" t="s">
        <v>35</v>
      </c>
      <c r="E34" s="159" t="s">
        <v>212</v>
      </c>
      <c r="F34" s="159" t="s">
        <v>410</v>
      </c>
      <c r="G34" s="162" t="s">
        <v>381</v>
      </c>
      <c r="H34" s="161" t="s">
        <v>37</v>
      </c>
      <c r="I34" s="157" t="s">
        <v>382</v>
      </c>
    </row>
    <row r="35" spans="2:9" ht="25.8" thickBot="1" x14ac:dyDescent="0.3">
      <c r="B35" s="163">
        <v>28</v>
      </c>
      <c r="C35" s="164" t="s">
        <v>411</v>
      </c>
      <c r="D35" s="165" t="s">
        <v>35</v>
      </c>
      <c r="E35" s="165" t="s">
        <v>212</v>
      </c>
      <c r="F35" s="165" t="s">
        <v>310</v>
      </c>
      <c r="G35" s="166" t="s">
        <v>293</v>
      </c>
      <c r="H35" s="167" t="s">
        <v>35</v>
      </c>
      <c r="I35" s="163" t="s">
        <v>382</v>
      </c>
    </row>
    <row r="38" spans="2:9" ht="13.2" thickBot="1" x14ac:dyDescent="0.3">
      <c r="B38" s="114" t="s">
        <v>0</v>
      </c>
    </row>
    <row r="39" spans="2:9" ht="25.8" thickBot="1" x14ac:dyDescent="0.3">
      <c r="B39" s="117" t="s">
        <v>1</v>
      </c>
      <c r="C39" s="1158" t="s">
        <v>2</v>
      </c>
      <c r="D39" s="1159"/>
      <c r="E39" s="1160"/>
      <c r="F39" s="118" t="s">
        <v>3</v>
      </c>
    </row>
    <row r="40" spans="2:9" ht="50.4" x14ac:dyDescent="0.25">
      <c r="B40" s="123" t="s">
        <v>412</v>
      </c>
      <c r="C40" s="783" t="s">
        <v>413</v>
      </c>
      <c r="D40" s="783"/>
      <c r="E40" s="783"/>
      <c r="F40" s="84" t="s">
        <v>414</v>
      </c>
      <c r="G40" s="1" t="s">
        <v>329</v>
      </c>
    </row>
    <row r="41" spans="2:9" ht="30.75" customHeight="1" thickBot="1" x14ac:dyDescent="0.3">
      <c r="B41" s="125" t="s">
        <v>397</v>
      </c>
      <c r="C41" s="958" t="s">
        <v>415</v>
      </c>
      <c r="D41" s="958"/>
      <c r="E41" s="958"/>
      <c r="F41" s="7" t="s">
        <v>361</v>
      </c>
      <c r="G41" s="1" t="s">
        <v>329</v>
      </c>
    </row>
  </sheetData>
  <mergeCells count="4">
    <mergeCell ref="G24:G27"/>
    <mergeCell ref="C39:E39"/>
    <mergeCell ref="C40:E40"/>
    <mergeCell ref="C41:E4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tabColor rgb="FFFFFF00"/>
  </sheetPr>
  <dimension ref="B1:I24"/>
  <sheetViews>
    <sheetView topLeftCell="A16" workbookViewId="0">
      <selection activeCell="E27" sqref="E27"/>
    </sheetView>
  </sheetViews>
  <sheetFormatPr defaultColWidth="9.109375" defaultRowHeight="12.6" x14ac:dyDescent="0.25"/>
  <cols>
    <col min="1" max="1" width="3" style="1" customWidth="1"/>
    <col min="2" max="2" width="9.109375" style="1"/>
    <col min="3" max="3" width="46.5546875" style="1" customWidth="1"/>
    <col min="4" max="5" width="9.109375" style="1"/>
    <col min="6" max="6" width="15.109375" style="1" customWidth="1"/>
    <col min="7" max="7" width="47.33203125" style="1" customWidth="1"/>
    <col min="8" max="8" width="15.88671875" style="1" customWidth="1"/>
    <col min="9" max="9" width="25.109375" style="1" customWidth="1"/>
    <col min="10" max="16384" width="9.109375" style="1"/>
  </cols>
  <sheetData>
    <row r="1" spans="2:9" customFormat="1" ht="15" thickBot="1" x14ac:dyDescent="0.35"/>
    <row r="2" spans="2:9" customFormat="1" ht="21" thickBot="1" x14ac:dyDescent="0.4">
      <c r="B2" s="8" t="s">
        <v>23</v>
      </c>
      <c r="C2" s="9"/>
      <c r="D2" s="10" t="s">
        <v>337</v>
      </c>
      <c r="E2" s="119"/>
      <c r="F2" s="36"/>
    </row>
    <row r="3" spans="2:9" customFormat="1" ht="14.4" x14ac:dyDescent="0.3"/>
    <row r="4" spans="2:9" customFormat="1" ht="14.4" x14ac:dyDescent="0.3"/>
    <row r="5" spans="2:9" customFormat="1" ht="17.399999999999999" x14ac:dyDescent="0.3">
      <c r="B5" s="101" t="s">
        <v>209</v>
      </c>
    </row>
    <row r="6" spans="2:9" customFormat="1" ht="15" thickBot="1" x14ac:dyDescent="0.35"/>
    <row r="7" spans="2:9" customFormat="1" ht="28.2" thickBot="1" x14ac:dyDescent="0.35">
      <c r="B7" s="102" t="s">
        <v>1</v>
      </c>
      <c r="C7" s="102" t="s">
        <v>28</v>
      </c>
      <c r="D7" s="102" t="s">
        <v>29</v>
      </c>
      <c r="E7" s="102" t="s">
        <v>210</v>
      </c>
      <c r="F7" s="102" t="s">
        <v>30</v>
      </c>
      <c r="G7" s="102" t="s">
        <v>31</v>
      </c>
      <c r="H7" s="102" t="s">
        <v>32</v>
      </c>
      <c r="I7" s="102" t="s">
        <v>33</v>
      </c>
    </row>
    <row r="8" spans="2:9" ht="37.799999999999997" x14ac:dyDescent="0.25">
      <c r="B8" s="82">
        <v>1</v>
      </c>
      <c r="C8" s="83" t="s">
        <v>338</v>
      </c>
      <c r="D8" s="83" t="s">
        <v>35</v>
      </c>
      <c r="E8" s="83" t="s">
        <v>212</v>
      </c>
      <c r="F8" s="83" t="s">
        <v>306</v>
      </c>
      <c r="G8" s="3" t="s">
        <v>339</v>
      </c>
      <c r="H8" s="85" t="s">
        <v>37</v>
      </c>
      <c r="I8" s="83" t="s">
        <v>340</v>
      </c>
    </row>
    <row r="9" spans="2:9" ht="37.799999999999997" x14ac:dyDescent="0.25">
      <c r="B9" s="45">
        <v>2</v>
      </c>
      <c r="C9" s="21" t="s">
        <v>341</v>
      </c>
      <c r="D9" s="21" t="s">
        <v>35</v>
      </c>
      <c r="E9" s="21" t="s">
        <v>212</v>
      </c>
      <c r="F9" s="21" t="s">
        <v>19</v>
      </c>
      <c r="G9" s="5" t="s">
        <v>342</v>
      </c>
      <c r="H9" s="47" t="s">
        <v>37</v>
      </c>
      <c r="I9" s="21" t="s">
        <v>343</v>
      </c>
    </row>
    <row r="10" spans="2:9" ht="37.799999999999997" x14ac:dyDescent="0.25">
      <c r="B10" s="45">
        <v>3</v>
      </c>
      <c r="C10" s="21" t="s">
        <v>344</v>
      </c>
      <c r="D10" s="21" t="s">
        <v>35</v>
      </c>
      <c r="E10" s="21" t="s">
        <v>212</v>
      </c>
      <c r="F10" s="21" t="s">
        <v>326</v>
      </c>
      <c r="G10" s="5" t="s">
        <v>339</v>
      </c>
      <c r="H10" s="47" t="s">
        <v>37</v>
      </c>
      <c r="I10" s="21" t="s">
        <v>340</v>
      </c>
    </row>
    <row r="11" spans="2:9" ht="37.799999999999997" x14ac:dyDescent="0.25">
      <c r="B11" s="45">
        <v>4</v>
      </c>
      <c r="C11" s="21" t="s">
        <v>345</v>
      </c>
      <c r="D11" s="21" t="s">
        <v>35</v>
      </c>
      <c r="E11" s="21" t="s">
        <v>212</v>
      </c>
      <c r="F11" s="21" t="s">
        <v>310</v>
      </c>
      <c r="G11" s="5" t="s">
        <v>346</v>
      </c>
      <c r="H11" s="47" t="s">
        <v>37</v>
      </c>
      <c r="I11" s="21" t="s">
        <v>347</v>
      </c>
    </row>
    <row r="12" spans="2:9" ht="37.799999999999997" x14ac:dyDescent="0.25">
      <c r="B12" s="45">
        <v>5</v>
      </c>
      <c r="C12" s="21" t="s">
        <v>348</v>
      </c>
      <c r="D12" s="21" t="s">
        <v>35</v>
      </c>
      <c r="E12" s="21" t="s">
        <v>212</v>
      </c>
      <c r="F12" s="21" t="s">
        <v>306</v>
      </c>
      <c r="G12" s="5" t="s">
        <v>339</v>
      </c>
      <c r="H12" s="47" t="s">
        <v>37</v>
      </c>
      <c r="I12" s="21" t="s">
        <v>340</v>
      </c>
    </row>
    <row r="13" spans="2:9" ht="25.2" x14ac:dyDescent="0.25">
      <c r="B13" s="45">
        <v>6</v>
      </c>
      <c r="C13" s="21" t="s">
        <v>349</v>
      </c>
      <c r="D13" s="21" t="s">
        <v>35</v>
      </c>
      <c r="E13" s="21" t="s">
        <v>212</v>
      </c>
      <c r="F13" s="21" t="s">
        <v>19</v>
      </c>
      <c r="G13" s="5" t="s">
        <v>342</v>
      </c>
      <c r="H13" s="47" t="s">
        <v>37</v>
      </c>
      <c r="I13" s="21" t="s">
        <v>343</v>
      </c>
    </row>
    <row r="14" spans="2:9" ht="37.799999999999997" x14ac:dyDescent="0.25">
      <c r="B14" s="45">
        <v>7</v>
      </c>
      <c r="C14" s="21" t="s">
        <v>350</v>
      </c>
      <c r="D14" s="21" t="s">
        <v>35</v>
      </c>
      <c r="E14" s="21" t="s">
        <v>212</v>
      </c>
      <c r="F14" s="21" t="s">
        <v>326</v>
      </c>
      <c r="G14" s="5" t="s">
        <v>339</v>
      </c>
      <c r="H14" s="47" t="s">
        <v>37</v>
      </c>
      <c r="I14" s="21" t="s">
        <v>340</v>
      </c>
    </row>
    <row r="15" spans="2:9" ht="37.799999999999997" x14ac:dyDescent="0.25">
      <c r="B15" s="45">
        <v>8</v>
      </c>
      <c r="C15" s="21" t="s">
        <v>351</v>
      </c>
      <c r="D15" s="21" t="s">
        <v>35</v>
      </c>
      <c r="E15" s="21" t="s">
        <v>212</v>
      </c>
      <c r="F15" s="21" t="s">
        <v>310</v>
      </c>
      <c r="G15" s="5" t="s">
        <v>346</v>
      </c>
      <c r="H15" s="47" t="s">
        <v>37</v>
      </c>
      <c r="I15" s="21" t="s">
        <v>347</v>
      </c>
    </row>
    <row r="16" spans="2:9" ht="42.75" customHeight="1" thickBot="1" x14ac:dyDescent="0.3">
      <c r="B16" s="93">
        <v>9</v>
      </c>
      <c r="C16" s="26" t="s">
        <v>352</v>
      </c>
      <c r="D16" s="26" t="s">
        <v>35</v>
      </c>
      <c r="E16" s="26" t="s">
        <v>212</v>
      </c>
      <c r="F16" s="26" t="s">
        <v>353</v>
      </c>
      <c r="G16" s="144" t="s">
        <v>293</v>
      </c>
      <c r="H16" s="29" t="s">
        <v>35</v>
      </c>
      <c r="I16" s="26" t="s">
        <v>354</v>
      </c>
    </row>
    <row r="19" spans="2:7" ht="13.2" thickBot="1" x14ac:dyDescent="0.3">
      <c r="B19" s="114" t="s">
        <v>0</v>
      </c>
    </row>
    <row r="20" spans="2:7" ht="25.8" thickBot="1" x14ac:dyDescent="0.3">
      <c r="B20" s="117" t="s">
        <v>1</v>
      </c>
      <c r="C20" s="1158" t="s">
        <v>2</v>
      </c>
      <c r="D20" s="1159"/>
      <c r="E20" s="1160"/>
      <c r="F20" s="118" t="s">
        <v>3</v>
      </c>
    </row>
    <row r="21" spans="2:7" ht="36" customHeight="1" x14ac:dyDescent="0.25">
      <c r="B21" s="123" t="s">
        <v>340</v>
      </c>
      <c r="C21" s="783" t="s">
        <v>355</v>
      </c>
      <c r="D21" s="783"/>
      <c r="E21" s="783"/>
      <c r="F21" s="123" t="s">
        <v>306</v>
      </c>
      <c r="G21" s="1" t="s">
        <v>329</v>
      </c>
    </row>
    <row r="22" spans="2:7" ht="42.75" customHeight="1" x14ac:dyDescent="0.25">
      <c r="B22" s="124" t="s">
        <v>343</v>
      </c>
      <c r="C22" s="774" t="s">
        <v>356</v>
      </c>
      <c r="D22" s="774"/>
      <c r="E22" s="774"/>
      <c r="F22" s="124" t="s">
        <v>19</v>
      </c>
      <c r="G22" s="1" t="s">
        <v>329</v>
      </c>
    </row>
    <row r="23" spans="2:7" ht="54" customHeight="1" x14ac:dyDescent="0.25">
      <c r="B23" s="124" t="s">
        <v>347</v>
      </c>
      <c r="C23" s="774" t="s">
        <v>357</v>
      </c>
      <c r="D23" s="774"/>
      <c r="E23" s="774"/>
      <c r="F23" s="124" t="s">
        <v>310</v>
      </c>
      <c r="G23" s="1" t="s">
        <v>329</v>
      </c>
    </row>
    <row r="24" spans="2:7" ht="39.75" customHeight="1" thickBot="1" x14ac:dyDescent="0.3">
      <c r="B24" s="125" t="s">
        <v>354</v>
      </c>
      <c r="C24" s="958" t="s">
        <v>358</v>
      </c>
      <c r="D24" s="958"/>
      <c r="E24" s="958"/>
      <c r="F24" s="7" t="s">
        <v>359</v>
      </c>
      <c r="G24" s="1" t="s">
        <v>329</v>
      </c>
    </row>
  </sheetData>
  <mergeCells count="5">
    <mergeCell ref="C20:E20"/>
    <mergeCell ref="C21:E21"/>
    <mergeCell ref="C22:E22"/>
    <mergeCell ref="C23:E23"/>
    <mergeCell ref="C24:E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39</vt:i4>
      </vt:variant>
      <vt:variant>
        <vt:lpstr>Named Ranges</vt:lpstr>
      </vt:variant>
      <vt:variant>
        <vt:i4>15</vt:i4>
      </vt:variant>
    </vt:vector>
  </HeadingPairs>
  <TitlesOfParts>
    <vt:vector size="54" baseType="lpstr">
      <vt:lpstr>Pending works on each acc bal</vt:lpstr>
      <vt:lpstr>NET of FAP</vt:lpstr>
      <vt:lpstr>Fixed Assets</vt:lpstr>
      <vt:lpstr>NET Summary</vt:lpstr>
      <vt:lpstr>ROMM &amp; FAP summary - FS level</vt:lpstr>
      <vt:lpstr>Sheet1</vt:lpstr>
      <vt:lpstr>ROMM &amp; FAP summary - MCOTABD</vt:lpstr>
      <vt:lpstr>Relating Assertions to Risks</vt:lpstr>
      <vt:lpstr>Controls not tested</vt:lpstr>
      <vt:lpstr>Controls not tested1</vt:lpstr>
      <vt:lpstr>FA</vt:lpstr>
      <vt:lpstr>Cash Bank</vt:lpstr>
      <vt:lpstr>Payroll</vt:lpstr>
      <vt:lpstr>Inventory</vt:lpstr>
      <vt:lpstr>Receivables</vt:lpstr>
      <vt:lpstr>Salary</vt:lpstr>
      <vt:lpstr>Debtors</vt:lpstr>
      <vt:lpstr>Stock</vt:lpstr>
      <vt:lpstr>Cash &amp; Bank</vt:lpstr>
      <vt:lpstr>Investments</vt:lpstr>
      <vt:lpstr>Debt</vt:lpstr>
      <vt:lpstr>Accounts Payable</vt:lpstr>
      <vt:lpstr>Expenses Payable</vt:lpstr>
      <vt:lpstr>Statutory Payables</vt:lpstr>
      <vt:lpstr>Loans and Advances</vt:lpstr>
      <vt:lpstr>Revenue</vt:lpstr>
      <vt:lpstr>Provisions</vt:lpstr>
      <vt:lpstr>Operating Expenses</vt:lpstr>
      <vt:lpstr>Equity</vt:lpstr>
      <vt:lpstr>Share Capital</vt:lpstr>
      <vt:lpstr>Loans</vt:lpstr>
      <vt:lpstr>Creditors</vt:lpstr>
      <vt:lpstr>Provns</vt:lpstr>
      <vt:lpstr>L&amp;A</vt:lpstr>
      <vt:lpstr>Sales</vt:lpstr>
      <vt:lpstr>Equity old</vt:lpstr>
      <vt:lpstr>List Data</vt:lpstr>
      <vt:lpstr>Expenses</vt:lpstr>
      <vt:lpstr>COGS</vt:lpstr>
      <vt:lpstr>Accounts_payable</vt:lpstr>
      <vt:lpstr>Cash___Bank</vt:lpstr>
      <vt:lpstr>Debt</vt:lpstr>
      <vt:lpstr>Equity</vt:lpstr>
      <vt:lpstr>Fixed_Assets</vt:lpstr>
      <vt:lpstr>Inventory</vt:lpstr>
      <vt:lpstr>Loans___advances</vt:lpstr>
      <vt:lpstr>Manufacturing</vt:lpstr>
      <vt:lpstr>Operating_Expenses</vt:lpstr>
      <vt:lpstr>Payroll</vt:lpstr>
      <vt:lpstr>Receivables</vt:lpstr>
      <vt:lpstr>Revenue</vt:lpstr>
      <vt:lpstr>Service</vt:lpstr>
      <vt:lpstr>Trading</vt:lpstr>
      <vt:lpstr>Works_Contract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2026-03-13T12:30:27Z</dcterms:modified>
</cp:coreProperties>
</file>